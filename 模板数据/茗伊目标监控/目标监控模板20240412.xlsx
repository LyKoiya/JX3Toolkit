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4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010\剑网3\工具代码\output\茗伊目标监控\"/>
    </mc:Choice>
  </mc:AlternateContent>
  <xr:revisionPtr revIDLastSave="0" documentId="13_ncr:9_{1F5FC06A-1257-4B2B-8D25-EFFDC4371E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茗伊目标监控_1712856129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 s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2" i="1" l="1"/>
</calcChain>
</file>

<file path=xl/sharedStrings.xml><?xml version="1.0" encoding="utf-8"?>
<sst xmlns="http://purl.oclc.org/ooxml/spreadsheetml/main" count="552" uniqueCount="231">
  <si>
    <t>序号</t>
  </si>
  <si>
    <t>dwID</t>
  </si>
  <si>
    <t>等级</t>
  </si>
  <si>
    <t>层数</t>
  </si>
  <si>
    <t>图标ID</t>
  </si>
  <si>
    <t>提示内容</t>
  </si>
  <si>
    <t>备注名称</t>
  </si>
  <si>
    <t>颜色RGB</t>
  </si>
  <si>
    <t>监控组名</t>
  </si>
  <si>
    <t>分组ID</t>
  </si>
  <si>
    <t>激活特效框</t>
  </si>
  <si>
    <t>通用设置</t>
  </si>
  <si>
    <t>消失则不显示</t>
  </si>
  <si>
    <t>只显示自己的</t>
  </si>
  <si>
    <t>自身心法要求</t>
  </si>
  <si>
    <t>目标心法要求</t>
  </si>
  <si>
    <t>所在地图要求</t>
  </si>
  <si>
    <t>出现提示音</t>
  </si>
  <si>
    <t>消失提示音</t>
  </si>
  <si>
    <t>szUUID</t>
  </si>
  <si>
    <t>return{</t>
  </si>
  <si>
    <t>#项目标签</t>
  </si>
  <si>
    <t>卸除气劲</t>
  </si>
  <si>
    <t>bCdBar:false|bCdCircle:true|bCdFlash:false|bCdReadySpark:true|bDraggable:false|bEnable:true|bHideOthers:false|bHideVoid:true|bIgnoreSystemUIScale:true|bPenetrable:false|bPlaySound:true|bShowName:true|fIconFontScale:1|fOtherFontScale:1|fScale:0.8|nCdBarWidth:240|nDecimalTime:1|nMaxLineCount:16|szAlignment:LEFT|szAuthor:荷花鲤|szBoxBgUITex:|szCdBarUITex:/ui/Image/Common/Money.UITex{&lt;^3&gt;}208|szTarget:CLIENT_PLAYER|szTitle:卸除气劲|szType:BUFF|szVersion:2024/2/27|szUUID:3E1852CE-1F4A-4EAC-A0A3-7CD0F373D6C6|</t>
  </si>
  <si>
    <t>BOTTOMCENTER</t>
  </si>
  <si>
    <t>调息</t>
  </si>
  <si>
    <t>{bAll=true,}</t>
  </si>
  <si>
    <t>{}</t>
  </si>
  <si>
    <t>E2AE4706-0A26-48B2-9571-CACD1A3C27B3</t>
  </si>
  <si>
    <t>按1</t>
  </si>
  <si>
    <t>云龙三折</t>
  </si>
  <si>
    <t>{bAll=false,[23]=true,}</t>
  </si>
  <si>
    <t>A494AD6A-8B22-4429-BE29-FCA356AEAE06</t>
  </si>
  <si>
    <t>按2</t>
  </si>
  <si>
    <t>轻灵踏燕</t>
  </si>
  <si>
    <t>BF7C50F8-2C90-4FF7-A473-2CE3D8EE6963</t>
  </si>
  <si>
    <t>按3</t>
  </si>
  <si>
    <t>惊鸿照影</t>
  </si>
  <si>
    <t>11081D66-F368-4586-9A09-585F858824DA</t>
  </si>
  <si>
    <t>急速恢复</t>
  </si>
  <si>
    <t>{bAll=false,[579]=true,[580]=true,[581]=true,[582]=true,}</t>
  </si>
  <si>
    <t>A4A4703A-B5D4-4B4C-9B30-6EACD6B0870E</t>
  </si>
  <si>
    <t>遁影</t>
  </si>
  <si>
    <t>12926EE8-B636-4BCB-AFEF-BC94AFD27D6E</t>
  </si>
  <si>
    <t>太虚</t>
  </si>
  <si>
    <t>F24EC820-F3B2-411C-976E-2851F9A11BCF</t>
  </si>
  <si>
    <t>回神</t>
  </si>
  <si>
    <t>E52AD4CE-6C66-4DFE-83CC-9EAF1FCDA46F</t>
  </si>
  <si>
    <t>B4D06DDE-308A-46F5-AAD6-B0870E3B4F2D</t>
  </si>
  <si>
    <t>34941806-F8B6-4F9E-AF7B-69D685450140</t>
  </si>
  <si>
    <t>战</t>
  </si>
  <si>
    <t>10661292-6EE8-4B62-AEBE-EFBC94AFD27D</t>
  </si>
  <si>
    <t>免疫</t>
  </si>
  <si>
    <t>C480E52A-D4CE-46C6-B70C-CC9EAF1FCDA4</t>
  </si>
  <si>
    <t>传功腾云</t>
  </si>
  <si>
    <t>041635E2-BE4E-47E7-A581-BDBA67D688D6</t>
  </si>
  <si>
    <t>骑御</t>
  </si>
  <si>
    <t>3704CD0C-0466-4376-9021-2D833AF960BC</t>
  </si>
  <si>
    <t>喝茶</t>
  </si>
  <si>
    <t>{bAll=false,[582]=true,}</t>
  </si>
  <si>
    <t>A45E7C8C-D1BA-4F45-9CD6-C6EE2DE42B44</t>
  </si>
  <si>
    <t>饱食</t>
  </si>
  <si>
    <t>吃坏肚子了</t>
  </si>
  <si>
    <t>{bAll=false,[-17]=false,[-15]=true,[-5]=false,[-4]=false,[-2]=false,}</t>
  </si>
  <si>
    <t>滑翔</t>
  </si>
  <si>
    <t>白羽焰翼</t>
  </si>
  <si>
    <t>F566554E-2F0A-4C44-BB2E-1C0F5E4F4F13</t>
  </si>
  <si>
    <t>稻香饼</t>
  </si>
  <si>
    <t>{bAll=false,[-6]=true,}</t>
  </si>
  <si>
    <t>050ACB7E-81B6-43EB-BBEF-88EA2ED215D8</t>
  </si>
  <si>
    <t>无敌</t>
  </si>
  <si>
    <t>27BAD76C-5FD4-4050-B281-3EF2EF88EA2E</t>
  </si>
  <si>
    <t>净灵·生</t>
  </si>
  <si>
    <t>CE201A26-3D10-427B-ACD2-A3AC8A42FD29</t>
  </si>
  <si>
    <t>时辰·净灵·生</t>
  </si>
  <si>
    <t>8E96A664-C97E-420F-9503-8872668A6B77</t>
  </si>
  <si>
    <t>注疏·命</t>
  </si>
  <si>
    <t>劲骨·生</t>
  </si>
  <si>
    <t>D9349550-76FA-475D-9616-E1460A8A5771</t>
  </si>
  <si>
    <t>时辰·劲骨·生</t>
  </si>
  <si>
    <t>892424C2-DB96-43CF-A722-6F062A52AA01</t>
  </si>
  <si>
    <t>注疏·守</t>
  </si>
  <si>
    <t>B5D4B4D0-6DDE-4308-9BAC-D6B0870E3B4F</t>
  </si>
  <si>
    <t>妙殊·生</t>
  </si>
  <si>
    <t>8BB6F566-554E-42F0-B0EF-2E1C0F5E4F4F</t>
  </si>
  <si>
    <t>时辰·妙殊·生</t>
  </si>
  <si>
    <t>7184D90C-5A46-442F-816D-03B76126C400</t>
  </si>
  <si>
    <t>免伤</t>
  </si>
  <si>
    <t>老本免伤</t>
  </si>
  <si>
    <t>{bAll=false,[-3]=true,}</t>
  </si>
  <si>
    <t>7184D90C-5A46-442F-816D-03B76126C401</t>
  </si>
  <si>
    <t>通用CD1</t>
  </si>
  <si>
    <t>{bAll=false,}</t>
  </si>
  <si>
    <t>E4B4DF7A-D378-42C7-9609-F5CF77126ADB</t>
  </si>
  <si>
    <t>通用CD2</t>
  </si>
  <si>
    <t>6DAE8DC0-9870-4EC0-BD12-7C26BBEA1B21</t>
  </si>
  <si>
    <t>更换交通</t>
  </si>
  <si>
    <t>更换交通表现标记BUFF</t>
  </si>
  <si>
    <t>D76C5FD4-050A-4CB7-9F3E-F2EF88EA2ED2</t>
  </si>
  <si>
    <t>自身隐藏气劲</t>
  </si>
  <si>
    <t>bCdBar:false|bCdCircle:true|bCdFlash:false|bCdReadySpark:true|bDraggable:false|bEnable:true|bHideOthers:false|bHideVoid:true|bIgnoreSystemUIScale:true|bPenetrable:false|bPlaySound:true|bShowName:true|fIconFontScale:1|fOtherFontScale:1|fScale:0.9|nCdBarWidth:240|nDecimalTime:3|nMaxLineCount:6|szAlignment:LEFT|szAuthor:荷花鲤|szBoxBgUITex:|szCdBarUITex:/ui/Image/Common/Money.UITex{&lt;^3&gt;}208|szTarget:CLIENT_PLAYER|szTitle:自身隐藏气劲|szType:BUFF|szVersion:2024/02/27|szUUID:9570B062-D3B2-47E2-9BC3-E4D36BDF0CCC|</t>
  </si>
  <si>
    <t>LEFTCENTER</t>
  </si>
  <si>
    <t>劲足</t>
  </si>
  <si>
    <t>速度·劲足</t>
  </si>
  <si>
    <t>{0,255,0}</t>
  </si>
  <si>
    <t>7B9C1F8A-BC6E-44F9-B2D1-5E1D88523A04</t>
  </si>
  <si>
    <t>郭珠</t>
  </si>
  <si>
    <t>BOSS奖励标记2</t>
  </si>
  <si>
    <t>CA9C4D52-3C40-4A82-97CE-93070C6DC187</t>
  </si>
  <si>
    <t>叶镜池</t>
  </si>
  <si>
    <t>BOSS奖励标记3</t>
  </si>
  <si>
    <t>A942873E-9726-4DEB-B0FE-B83B378AC4D9</t>
  </si>
  <si>
    <t>背负</t>
  </si>
  <si>
    <t>背负苍云伤兵</t>
  </si>
  <si>
    <t>{bAll=false,[193]=true,}</t>
  </si>
  <si>
    <t>08F2768E-A060-436C-9C84-182F8DBA471B</t>
  </si>
  <si>
    <t>缘灭</t>
  </si>
  <si>
    <t>福德齐天·CD</t>
  </si>
  <si>
    <t>{bAll=false,[150]=true,}</t>
  </si>
  <si>
    <t>4DB2EC92-1E4C-416F-B50F-F61B1D417614</t>
  </si>
  <si>
    <t>移动快雪</t>
  </si>
  <si>
    <t>青歌走读快雪</t>
  </si>
  <si>
    <t>{bAll=false,[10021]=true,}</t>
  </si>
  <si>
    <t>2406D0A6-4DDE-4C1C-B0BB-01A9D9996E10</t>
  </si>
  <si>
    <t>目标隐藏气劲</t>
  </si>
  <si>
    <t>bCdBar:false|bCdCircle:true|bCdFlash:false|bCdReadySpark:true|bDraggable:false|bEnable:true|bHideOthers:false|bHideVoid:true|bIgnoreSystemUIScale:true|bPenetrable:false|bPlaySound:true|bShowName:true|fIconFontScale:1|fOtherFontScale:1|fScale:0.9|nCdBarWidth:240|nDecimalTime:3|nMaxLineCount:6|szAlignment:LEFT|szAuthor:荷花鲤|szBoxBgUITex:|szCdBarUITex:/ui/Image/Common/Money.UITex{&lt;^3&gt;}208|szTarget:TARGET|szTitle:目标隐藏气劲|szType:BUFF|szVersion:2024/02/27|szUUID:59908CAC-FC5C-4251-8263-3E76827EEFAA|</t>
  </si>
  <si>
    <t>CENTER</t>
  </si>
  <si>
    <t>破绽</t>
  </si>
  <si>
    <t>通用_破绽层数标记</t>
  </si>
  <si>
    <t>{bAll=false,bNpc=true,}</t>
  </si>
  <si>
    <t>{bAll=false,[-13]=true,}</t>
  </si>
  <si>
    <t>83642ED2-D976-4DB9-8C5D-D9495C41E674</t>
  </si>
  <si>
    <t>连闪</t>
  </si>
  <si>
    <t>通用_EX技_破绽标识buff</t>
  </si>
  <si>
    <t>92B2289E-83B2-4E9B-9919-4B03FEE657E2</t>
  </si>
  <si>
    <t>真元连闪</t>
  </si>
  <si>
    <t>C9EE48AA-B2BE-48E0-B1D9-4FACDB75B8A6</t>
  </si>
  <si>
    <t>涓埃</t>
  </si>
  <si>
    <t>奇穴长针春泥内置CD</t>
  </si>
  <si>
    <t>{bAll=false,[10028]=true,}</t>
  </si>
  <si>
    <t>472020CC-5A24-4AB6-9373-DB8616985540</t>
  </si>
  <si>
    <t>俘虏偷懒</t>
  </si>
  <si>
    <t>狼牙俘虏偷懒</t>
  </si>
  <si>
    <t>7B1A6CF2-D3D8-460B-A3A9-56038EB4DD36</t>
  </si>
  <si>
    <t>喝酒</t>
  </si>
  <si>
    <t>丐帮_喝酒泡泡</t>
  </si>
  <si>
    <t>C8780202-5754-45FE-9FEB-364049ABBD44</t>
  </si>
  <si>
    <t>吃肉</t>
  </si>
  <si>
    <t>丐帮_吃肉泡泡</t>
  </si>
  <si>
    <t>E43496E6-310E-4174-98A3-7D7E3FD9845F</t>
  </si>
  <si>
    <t>{bAll=false,[-7]=true,[25]=true,[27]=true,}</t>
    <phoneticPr fontId="18" type="noConversion"/>
  </si>
  <si>
    <t>{bAll=false,[25]=true,[27]=true,}</t>
    <phoneticPr fontId="18" type="noConversion"/>
  </si>
  <si>
    <t>{bAll=false,[194]=true,}</t>
    <phoneticPr fontId="18" type="noConversion"/>
  </si>
  <si>
    <t>{bAll=false,[159]=true,}</t>
    <phoneticPr fontId="18" type="noConversion"/>
  </si>
  <si>
    <t>hehuali-xiechuqijin-1</t>
    <phoneticPr fontId="18" type="noConversion"/>
  </si>
  <si>
    <t>hehuali-zishenyincangqijin-1</t>
    <phoneticPr fontId="18" type="noConversion"/>
  </si>
  <si>
    <t>hehuali-mubiaoyincangqijin-1</t>
    <phoneticPr fontId="18" type="noConversion"/>
  </si>
  <si>
    <t>{bCdBar = false,bCdCircle = true,bCdFlash = false,bCdReadySpark = true,bDraggable = false,bEnable = true,bHideOthers = false,bHideVoid = true,bIgnoreSystemUIScale = true,bPenetrable = false,bPlaySound = true,bShowName = true,fIconFontScale = 1,fOtherFontScale = 1,fScale = 0.9,nCdBarWidth = 240,nDecimalTime = 3,nMaxLineCount = 6,szAlignment = "LEFT",szAuthor = "荷花鲤",szBoxBgUITex = "",szCdBarUITex = "/ui/Image/Common/Money.UITex|208",szTarget = "CLIENT_PLAYER",szTitle = "自身隐藏气劲",szType = "BUFF",szVersion = "2024/02/27",szUUID = "hehuali-zishenyincangqijin-1",tAnchor = {x = 288.0981440762,y = -179.7801081926,s = "LEFTCENTER",r = "LEFTCENTER",},aMonitor = {</t>
    <phoneticPr fontId="18" type="noConversion"/>
  </si>
  <si>
    <t>{bCdBar = false,bCdCircle = true,bCdFlash = false,bCdReadySpark = true,bDraggable = false,bEnable = true,bHideOthers = false,bHideVoid = true,bIgnoreSystemUIScale = true,bPenetrable = false,bPlaySound = true,bShowName = true,fIconFontScale = 1,fOtherFontScale = 1,fScale = 0.9,nCdBarWidth = 240,nDecimalTime = 3,nMaxLineCount = 6,szAlignment = "LEFT",szAuthor = "荷花鲤",szBoxBgUITex = "",szCdBarUITex = "/ui/Image/Common/Money.UITex|208",szTarget = "TARGET",szTitle = "目标隐藏气劲",szType = "BUFF",szVersion = "2024/02/27",szUUID = "hehuali-mubiaoyincangqijin-1",tAnchor = {x = 215.2849819636,y = -35.78041076571,s = "CENTER",r = "CENTER",},aMonitor = {</t>
    <phoneticPr fontId="18" type="noConversion"/>
  </si>
  <si>
    <t>{bCdBar = false,bCdCircle = true,bCdFlash = false,bCdReadySpark = true,bDraggable = false,bEnable = true,bHideOthers = false,bHideVoid = true,bIgnoreSystemUIScale = true,bPenetrable = false,bPlaySound = true,bShowName = true,fIconFontScale = 1,fOtherFontScale = 1,fScale = 0.8,nCdBarWidth = 240,nDecimalTime = 1,nMaxLineCount = 16,szAlignment = "LEFT",szAuthor = "荷花鲤",szBoxBgUITex = "",szCdBarUITex = "/ui/Image/Common/Money.UITex|208",szTarget = "CLIENT_PLAYER",szTitle = "卸除气劲",szType = "BUFF",szVersion = "2024/2/27",szUUID = "hehuali-xiechuqijin-1",tAnchor = {x = -207.10228947,y = -98.01825752293,s = "BOTTOMCENTER",r = "BOTTOMCENTER",},aMonitor = {</t>
    <phoneticPr fontId="18" type="noConversion"/>
  </si>
  <si>
    <t>QTE</t>
  </si>
  <si>
    <t>千岛湖QTE触发CD</t>
  </si>
  <si>
    <t>BAA2B712-86F6-4100-8C22-2D59B9002A9C</t>
  </si>
  <si>
    <t>石敢当QTE1</t>
  </si>
  <si>
    <t>{235,118,38}</t>
  </si>
  <si>
    <t>71FCFB60-3ED0-48E8-A8C8-205603887266</t>
  </si>
  <si>
    <t>石敢当QTE2</t>
  </si>
  <si>
    <t>{0,146,234}</t>
  </si>
  <si>
    <t>12D0FF62-CD3C-4AA5-AD9D-10D36AE96540</t>
  </si>
  <si>
    <t>石敢当QTE3</t>
  </si>
  <si>
    <t>{219,226,68}</t>
  </si>
  <si>
    <t>D3B27E30-6ECE-4C47-B8D3-6BDF0CCC9EAF</t>
  </si>
  <si>
    <t>按4</t>
  </si>
  <si>
    <t>石敢当QTE4</t>
  </si>
  <si>
    <t>{147,45,228}</t>
  </si>
  <si>
    <t>CE80A4A4-703A-4B5C-AC6D-306EACD6B087</t>
  </si>
  <si>
    <t>醉烟波_垂钓</t>
  </si>
  <si>
    <t>重洋客·挑战</t>
  </si>
  <si>
    <t>小果</t>
  </si>
  <si>
    <t>小果_CD_BUFF</t>
  </si>
  <si>
    <t>867E8924-24C2-4DB8-8F9D-226F062A52AA</t>
  </si>
  <si>
    <t>小花</t>
  </si>
  <si>
    <t>小花_CD_BUFF</t>
  </si>
  <si>
    <t>35E2BE4E-7E7E-498E-A0BD-BA67D688D627</t>
  </si>
  <si>
    <t>冰蓝花客</t>
  </si>
  <si>
    <t>冰蓝花客_CD_BUFF</t>
  </si>
  <si>
    <t>B6F0F15C-C1F4-43B0-934C-E7075F232F4D</t>
  </si>
  <si>
    <t>小诺</t>
  </si>
  <si>
    <t>小诺_CD_BUFF</t>
  </si>
  <si>
    <t>5F144F6A-503C-4133-923B-F1C7F2115D6E</t>
  </si>
  <si>
    <t>红羽大将军</t>
    <phoneticPr fontId="18" type="noConversion"/>
  </si>
  <si>
    <t>红羽大将军_CD_BUFF</t>
  </si>
  <si>
    <t>商周客</t>
  </si>
  <si>
    <t>商周客_CD_BUFF</t>
  </si>
  <si>
    <t>果果</t>
  </si>
  <si>
    <t>果果_CD_BUFF</t>
  </si>
  <si>
    <t>FEDC1290-CB3E-4D12-A255-52EE10328FAD</t>
  </si>
  <si>
    <t>胜负局_CD_BUFF</t>
  </si>
  <si>
    <t>胜负局·间隔</t>
  </si>
  <si>
    <t>胜负局_间隔时间BUFF</t>
  </si>
  <si>
    <t>胜负局·记录</t>
  </si>
  <si>
    <t>胜负局_记录_BUFF</t>
  </si>
  <si>
    <t>东海客_隔日CD</t>
  </si>
  <si>
    <t>42FC080C-6E2C-4033-AD61-26C400E83810</t>
  </si>
  <si>
    <t>东海客</t>
  </si>
  <si>
    <t>东海客_触发CD标记</t>
  </si>
  <si>
    <t>6C66DFF6-0C98-4CD8-A7AF-1FCDA46FB5B4</t>
  </si>
  <si>
    <t>稚子心·封印</t>
  </si>
  <si>
    <t>D7840416-35E2-4BE4-9F98-81BDBA67D688</t>
  </si>
  <si>
    <t>戎马边·封印</t>
  </si>
  <si>
    <t>462C6316-7528-4545-81CC-F0622510D316</t>
  </si>
  <si>
    <t>石敢当·封印</t>
  </si>
  <si>
    <t>石敢当奇遇日常buff</t>
  </si>
  <si>
    <t>61908FF2-2934-4611-B6FB-7FF9D7C6991F</t>
  </si>
  <si>
    <t>{bAll=false,[215]=true,}</t>
    <phoneticPr fontId="18" type="noConversion"/>
  </si>
  <si>
    <t>醉烟波·垂钓</t>
    <phoneticPr fontId="18" type="noConversion"/>
  </si>
  <si>
    <t>重洋客·挑战</t>
    <phoneticPr fontId="18" type="noConversion"/>
  </si>
  <si>
    <t>{bAll=false,[578]=true,}</t>
    <phoneticPr fontId="18" type="noConversion"/>
  </si>
  <si>
    <t>胜负局</t>
    <phoneticPr fontId="18" type="noConversion"/>
  </si>
  <si>
    <t>东海客·封印</t>
    <phoneticPr fontId="18" type="noConversion"/>
  </si>
  <si>
    <t>{bAll=false,[22]=true,}</t>
    <phoneticPr fontId="18" type="noConversion"/>
  </si>
  <si>
    <t>{bAll=false,[5]=true,}</t>
    <phoneticPr fontId="18" type="noConversion"/>
  </si>
  <si>
    <t>{bAll=false,[8]=true,}</t>
    <phoneticPr fontId="18" type="noConversion"/>
  </si>
  <si>
    <t>{bAll=false,[30]=true,}</t>
    <phoneticPr fontId="18" type="noConversion"/>
  </si>
  <si>
    <t>{bAll=false,[100]=true,}</t>
    <phoneticPr fontId="18" type="noConversion"/>
  </si>
  <si>
    <t>{bAll=false,[101]=true,}</t>
    <phoneticPr fontId="18" type="noConversion"/>
  </si>
  <si>
    <t>{bAll=false,[103]=true,}</t>
    <phoneticPr fontId="18" type="noConversion"/>
  </si>
  <si>
    <t>稚子心_标记</t>
    <phoneticPr fontId="18" type="noConversion"/>
  </si>
  <si>
    <t>戎马边_定时</t>
    <phoneticPr fontId="18" type="noConversion"/>
  </si>
  <si>
    <t>{bAll=false,[193] = true,[197] = true,}</t>
    <phoneticPr fontId="18" type="noConversion"/>
  </si>
  <si>
    <t>{bAll=false,[108] = true,}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</si>
</sst>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topLeftCell="G1" workbookViewId="0">
      <selection activeCell="U22" sqref="U22"/>
    </sheetView>
  </sheetViews>
  <sheetFormatPr defaultRowHeight="13.5" x14ac:dyDescent="0.15"/>
  <cols>
    <col min="3" max="3" width="33.625" customWidth="1"/>
    <col min="4" max="4" width="16.75" customWidth="1"/>
    <col min="5" max="5" width="19.375" customWidth="1"/>
    <col min="6" max="6" width="18.625" customWidth="1"/>
    <col min="7" max="7" width="14.375" customWidth="1"/>
    <col min="15" max="15" width="15.625" customWidth="1"/>
    <col min="16" max="16" width="10.375" customWidth="1"/>
    <col min="17" max="17" width="50.75" customWidth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15">
      <c r="A2" t="s">
        <v>21</v>
      </c>
      <c r="B2" t="s">
        <v>22</v>
      </c>
      <c r="C2" t="s">
        <v>154</v>
      </c>
      <c r="D2" t="s">
        <v>159</v>
      </c>
      <c r="E2" t="s">
        <v>23</v>
      </c>
      <c r="F2">
        <v>-207.10228946999999</v>
      </c>
      <c r="G2">
        <v>-98.01825752293</v>
      </c>
      <c r="H2" t="s">
        <v>24</v>
      </c>
      <c r="I2" t="s">
        <v>24</v>
      </c>
      <c r="U2" t="str">
        <f t="shared" ref="U2:U65" si="0">IF(AND(A1&lt;&gt;"",A2=""),"},},}",IF(A2="#项目标签",IF(LOWER(U1)="return{",D2,"},},"&amp;D2),IF(A2="","","{dwID="&amp;B2&amp;",nLevel="&amp;C2&amp;","&amp;"nStackNum="&amp;D2&amp;","&amp;"nIconID="&amp;E2&amp;","&amp;"szContent="""&amp;F2&amp;""","&amp;"szNote="""&amp;G2&amp;""","&amp;IF(H2="","","aContentColor="&amp;H2&amp;",")&amp;IF(I2="","","szGroup="""&amp;I2&amp;""",")&amp;IF(J2="","","szGroupID="""&amp;J2&amp;""",")&amp;IF(K2="","","szExtentAnimate="""&amp;K2&amp;""",")&amp;IF(OR(L2=0,L2="",L2="否",L2="假",LOWER(L2)="false"),"bEnable="&amp;"false"&amp;",","bEnable="&amp;"true"&amp;",")&amp;IF(OR(M2=0,M2="",M2="否",M2="假",LOWER(M2)="false"),"bFlipHideVoid="&amp;"false"&amp;",","bFlipHideVoid="&amp;"true"&amp;",")&amp;IF(OR(N2=0,N2="",N2="否",N2="假",LOWER(N2)="false"),"bFlipHideOthers="&amp;"false"&amp;",","bFlipHideOthers="&amp;"true"&amp;",")&amp;"tKungfu="&amp;O2&amp;","&amp;"tTargetKungfu="&amp;P2&amp;","&amp;"tMap="&amp;Q2&amp;","&amp;"aSoundAppear="&amp;R2&amp;","&amp;"aSoundDisappear="&amp;S2&amp;","&amp;"szUUID="""&amp;T2&amp;""",},")))</f>
        <v>{bCdBar = false,bCdCircle = true,bCdFlash = false,bCdReadySpark = true,bDraggable = false,bEnable = true,bHideOthers = false,bHideVoid = true,bIgnoreSystemUIScale = true,bPenetrable = false,bPlaySound = true,bShowName = true,fIconFontScale = 1,fOtherFontScale = 1,fScale = 0.8,nCdBarWidth = 240,nDecimalTime = 1,nMaxLineCount = 16,szAlignment = "LEFT",szAuthor = "荷花鲤",szBoxBgUITex = "",szCdBarUITex = "/ui/Image/Common/Money.UITex|208",szTarget = "CLIENT_PLAYER",szTitle = "卸除气劲",szType = "BUFF",szVersion = "2024/2/27",szUUID = "hehuali-xiechuqijin-1",tAnchor = {x = -207.10228947,y = -98.01825752293,s = "BOTTOMCENTER",r = "BOTTOMCENTER",},aMonitor = {</v>
      </c>
    </row>
    <row r="3" spans="1:21" x14ac:dyDescent="0.15">
      <c r="A3">
        <v>1</v>
      </c>
      <c r="B3">
        <v>103</v>
      </c>
      <c r="C3">
        <v>0</v>
      </c>
      <c r="D3">
        <v>0</v>
      </c>
      <c r="E3">
        <v>533</v>
      </c>
      <c r="G3" t="s">
        <v>25</v>
      </c>
      <c r="L3">
        <v>1</v>
      </c>
      <c r="O3" t="s">
        <v>26</v>
      </c>
      <c r="P3" t="s">
        <v>26</v>
      </c>
      <c r="Q3" t="s">
        <v>26</v>
      </c>
      <c r="R3" t="s">
        <v>27</v>
      </c>
      <c r="S3" t="s">
        <v>27</v>
      </c>
      <c r="T3" t="s">
        <v>28</v>
      </c>
      <c r="U3" t="str">
        <f t="shared" si="0"/>
        <v>{dwID=103,nLevel=0,nStackNum=0,nIconID=533,szContent="",szNote="调息",bEnable=true,bFlipHideVoid=false,bFlipHideOthers=false,tKungfu={bAll=true,},tTargetKungfu={bAll=true,},tMap={bAll=true,},aSoundAppear={},aSoundDisappear={},szUUID="E2AE4706-0A26-48B2-9571-CACD1A3C27B3",},</v>
      </c>
    </row>
    <row r="4" spans="1:21" x14ac:dyDescent="0.15">
      <c r="A4">
        <v>2</v>
      </c>
      <c r="B4">
        <v>5046</v>
      </c>
      <c r="C4">
        <v>0</v>
      </c>
      <c r="D4">
        <v>0</v>
      </c>
      <c r="E4">
        <v>3316</v>
      </c>
      <c r="F4" t="s">
        <v>29</v>
      </c>
      <c r="G4" t="s">
        <v>30</v>
      </c>
      <c r="L4">
        <v>1</v>
      </c>
      <c r="O4" t="s">
        <v>27</v>
      </c>
      <c r="P4" t="s">
        <v>27</v>
      </c>
      <c r="Q4" t="s">
        <v>31</v>
      </c>
      <c r="R4" t="s">
        <v>27</v>
      </c>
      <c r="S4" t="s">
        <v>27</v>
      </c>
      <c r="T4" t="s">
        <v>32</v>
      </c>
      <c r="U4" t="str">
        <f t="shared" si="0"/>
        <v>{dwID=5046,nLevel=0,nStackNum=0,nIconID=3316,szContent="按1",szNote="云龙三折",bEnable=true,bFlipHideVoid=false,bFlipHideOthers=false,tKungfu={},tTargetKungfu={},tMap={bAll=false,[23]=true,},aSoundAppear={},aSoundDisappear={},szUUID="A494AD6A-8B22-4429-BE29-FCA356AEAE06",},</v>
      </c>
    </row>
    <row r="5" spans="1:21" x14ac:dyDescent="0.15">
      <c r="A5">
        <v>3</v>
      </c>
      <c r="B5">
        <v>5047</v>
      </c>
      <c r="C5">
        <v>0</v>
      </c>
      <c r="D5">
        <v>0</v>
      </c>
      <c r="E5">
        <v>3317</v>
      </c>
      <c r="F5" t="s">
        <v>33</v>
      </c>
      <c r="G5" t="s">
        <v>34</v>
      </c>
      <c r="L5">
        <v>1</v>
      </c>
      <c r="O5" t="s">
        <v>27</v>
      </c>
      <c r="P5" t="s">
        <v>27</v>
      </c>
      <c r="Q5" t="s">
        <v>31</v>
      </c>
      <c r="R5" t="s">
        <v>27</v>
      </c>
      <c r="S5" t="s">
        <v>27</v>
      </c>
      <c r="T5" t="s">
        <v>35</v>
      </c>
      <c r="U5" t="str">
        <f t="shared" si="0"/>
        <v>{dwID=5047,nLevel=0,nStackNum=0,nIconID=3317,szContent="按2",szNote="轻灵踏燕",bEnable=true,bFlipHideVoid=false,bFlipHideOthers=false,tKungfu={},tTargetKungfu={},tMap={bAll=false,[23]=true,},aSoundAppear={},aSoundDisappear={},szUUID="BF7C50F8-2C90-4FF7-A473-2CE3D8EE6963",},</v>
      </c>
    </row>
    <row r="6" spans="1:21" x14ac:dyDescent="0.15">
      <c r="A6">
        <v>4</v>
      </c>
      <c r="B6">
        <v>5048</v>
      </c>
      <c r="C6">
        <v>0</v>
      </c>
      <c r="D6">
        <v>0</v>
      </c>
      <c r="E6">
        <v>3319</v>
      </c>
      <c r="F6" t="s">
        <v>36</v>
      </c>
      <c r="G6" t="s">
        <v>37</v>
      </c>
      <c r="L6">
        <v>1</v>
      </c>
      <c r="O6" t="s">
        <v>27</v>
      </c>
      <c r="P6" t="s">
        <v>27</v>
      </c>
      <c r="Q6" t="s">
        <v>31</v>
      </c>
      <c r="R6" t="s">
        <v>27</v>
      </c>
      <c r="S6" t="s">
        <v>27</v>
      </c>
      <c r="T6" t="s">
        <v>38</v>
      </c>
      <c r="U6" t="str">
        <f t="shared" si="0"/>
        <v>{dwID=5048,nLevel=0,nStackNum=0,nIconID=3319,szContent="按3",szNote="惊鸿照影",bEnable=true,bFlipHideVoid=false,bFlipHideOthers=false,tKungfu={},tTargetKungfu={},tMap={bAll=false,[23]=true,},aSoundAppear={},aSoundDisappear={},szUUID="11081D66-F368-4586-9A09-585F858824DA",},</v>
      </c>
    </row>
    <row r="7" spans="1:21" x14ac:dyDescent="0.15">
      <c r="A7">
        <v>5</v>
      </c>
      <c r="B7">
        <v>24700</v>
      </c>
      <c r="C7">
        <v>0</v>
      </c>
      <c r="D7">
        <v>0</v>
      </c>
      <c r="E7">
        <v>1483</v>
      </c>
      <c r="G7" t="s">
        <v>39</v>
      </c>
      <c r="L7">
        <v>1</v>
      </c>
      <c r="O7" t="s">
        <v>27</v>
      </c>
      <c r="P7" t="s">
        <v>27</v>
      </c>
      <c r="Q7" t="s">
        <v>40</v>
      </c>
      <c r="R7" t="s">
        <v>27</v>
      </c>
      <c r="S7" t="s">
        <v>27</v>
      </c>
      <c r="T7" t="s">
        <v>41</v>
      </c>
      <c r="U7" t="str">
        <f t="shared" si="0"/>
        <v>{dwID=24700,nLevel=0,nStackNum=0,nIconID=1483,szContent="",szNote="急速恢复",bEnable=true,bFlipHideVoid=false,bFlipHideOthers=false,tKungfu={},tTargetKungfu={},tMap={bAll=false,[579]=true,[580]=true,[581]=true,[582]=true,},aSoundAppear={},aSoundDisappear={},szUUID="A4A4703A-B5D4-4B4C-9B30-6EACD6B0870E",},</v>
      </c>
    </row>
    <row r="8" spans="1:21" x14ac:dyDescent="0.15">
      <c r="A8">
        <v>6</v>
      </c>
      <c r="B8">
        <v>108</v>
      </c>
      <c r="C8">
        <v>0</v>
      </c>
      <c r="D8">
        <v>0</v>
      </c>
      <c r="E8">
        <v>17</v>
      </c>
      <c r="G8" t="s">
        <v>42</v>
      </c>
      <c r="L8">
        <v>1</v>
      </c>
      <c r="O8" t="s">
        <v>27</v>
      </c>
      <c r="P8" t="s">
        <v>27</v>
      </c>
      <c r="Q8" t="s">
        <v>26</v>
      </c>
      <c r="R8" t="s">
        <v>27</v>
      </c>
      <c r="S8" t="s">
        <v>27</v>
      </c>
      <c r="T8" t="s">
        <v>43</v>
      </c>
      <c r="U8" t="str">
        <f t="shared" si="0"/>
        <v>{dwID=108,nLevel=0,nStackNum=0,nIconID=17,szContent="",szNote="遁影",bEnable=true,bFlipHideVoid=false,bFlipHideOthers=false,tKungfu={},tTargetKungfu={},tMap={bAll=true,},aSoundAppear={},aSoundDisappear={},szUUID="12926EE8-B636-4BCB-AFEF-BC94AFD27D6E",},</v>
      </c>
    </row>
    <row r="9" spans="1:21" x14ac:dyDescent="0.15">
      <c r="A9">
        <v>7</v>
      </c>
      <c r="B9">
        <v>961</v>
      </c>
      <c r="C9">
        <v>0</v>
      </c>
      <c r="D9">
        <v>0</v>
      </c>
      <c r="E9">
        <v>324</v>
      </c>
      <c r="G9" t="s">
        <v>44</v>
      </c>
      <c r="L9">
        <v>1</v>
      </c>
      <c r="O9" t="s">
        <v>27</v>
      </c>
      <c r="P9" t="s">
        <v>27</v>
      </c>
      <c r="Q9" t="s">
        <v>26</v>
      </c>
      <c r="R9" t="s">
        <v>27</v>
      </c>
      <c r="S9" t="s">
        <v>27</v>
      </c>
      <c r="T9" t="s">
        <v>45</v>
      </c>
      <c r="U9" t="str">
        <f t="shared" si="0"/>
        <v>{dwID=961,nLevel=0,nStackNum=0,nIconID=324,szContent="",szNote="太虚",bEnable=true,bFlipHideVoid=false,bFlipHideOthers=false,tKungfu={},tTargetKungfu={},tMap={bAll=true,},aSoundAppear={},aSoundDisappear={},szUUID="F24EC820-F3B2-411C-976E-2851F9A11BCF",},</v>
      </c>
    </row>
    <row r="10" spans="1:21" x14ac:dyDescent="0.15">
      <c r="A10">
        <v>8</v>
      </c>
      <c r="B10">
        <v>772</v>
      </c>
      <c r="C10">
        <v>0</v>
      </c>
      <c r="D10">
        <v>0</v>
      </c>
      <c r="E10">
        <v>324</v>
      </c>
      <c r="G10" t="s">
        <v>46</v>
      </c>
      <c r="L10">
        <v>1</v>
      </c>
      <c r="O10" t="s">
        <v>27</v>
      </c>
      <c r="P10" t="s">
        <v>27</v>
      </c>
      <c r="Q10" t="s">
        <v>26</v>
      </c>
      <c r="R10" t="s">
        <v>27</v>
      </c>
      <c r="S10" t="s">
        <v>27</v>
      </c>
      <c r="T10" t="s">
        <v>47</v>
      </c>
      <c r="U10" t="str">
        <f t="shared" si="0"/>
        <v>{dwID=772,nLevel=0,nStackNum=0,nIconID=324,szContent="",szNote="回神",bEnable=true,bFlipHideVoid=false,bFlipHideOthers=false,tKungfu={},tTargetKungfu={},tMap={bAll=true,},aSoundAppear={},aSoundDisappear={},szUUID="E52AD4CE-6C66-4DFE-83CC-9EAF1FCDA46F",},</v>
      </c>
    </row>
    <row r="11" spans="1:21" x14ac:dyDescent="0.15">
      <c r="A11">
        <v>9</v>
      </c>
      <c r="B11">
        <v>12186</v>
      </c>
      <c r="C11">
        <v>0</v>
      </c>
      <c r="D11">
        <v>0</v>
      </c>
      <c r="E11">
        <v>324</v>
      </c>
      <c r="G11" t="s">
        <v>44</v>
      </c>
      <c r="L11">
        <v>1</v>
      </c>
      <c r="O11" t="s">
        <v>27</v>
      </c>
      <c r="P11" t="s">
        <v>27</v>
      </c>
      <c r="Q11" t="s">
        <v>26</v>
      </c>
      <c r="R11" t="s">
        <v>27</v>
      </c>
      <c r="S11" t="s">
        <v>27</v>
      </c>
      <c r="T11" t="s">
        <v>48</v>
      </c>
      <c r="U11" t="str">
        <f t="shared" si="0"/>
        <v>{dwID=12186,nLevel=0,nStackNum=0,nIconID=324,szContent="",szNote="太虚",bEnable=true,bFlipHideVoid=false,bFlipHideOthers=false,tKungfu={},tTargetKungfu={},tMap={bAll=true,},aSoundAppear={},aSoundDisappear={},szUUID="B4D06DDE-308A-46F5-AAD6-B0870E3B4F2D",},</v>
      </c>
    </row>
    <row r="12" spans="1:21" x14ac:dyDescent="0.15">
      <c r="A12">
        <v>10</v>
      </c>
      <c r="B12">
        <v>50786</v>
      </c>
      <c r="C12">
        <v>0</v>
      </c>
      <c r="D12">
        <v>0</v>
      </c>
      <c r="E12">
        <v>324</v>
      </c>
      <c r="G12" t="s">
        <v>46</v>
      </c>
      <c r="L12">
        <v>1</v>
      </c>
      <c r="O12" t="s">
        <v>27</v>
      </c>
      <c r="P12" t="s">
        <v>27</v>
      </c>
      <c r="Q12" t="s">
        <v>26</v>
      </c>
      <c r="R12" t="s">
        <v>27</v>
      </c>
      <c r="S12" t="s">
        <v>27</v>
      </c>
      <c r="T12" t="s">
        <v>49</v>
      </c>
      <c r="U12" t="str">
        <f t="shared" si="0"/>
        <v>{dwID=50786,nLevel=0,nStackNum=0,nIconID=324,szContent="",szNote="回神",bEnable=true,bFlipHideVoid=false,bFlipHideOthers=false,tKungfu={},tTargetKungfu={},tMap={bAll=true,},aSoundAppear={},aSoundDisappear={},szUUID="34941806-F8B6-4F9E-AF7B-69D685450140",},</v>
      </c>
    </row>
    <row r="13" spans="1:21" x14ac:dyDescent="0.15">
      <c r="A13">
        <v>11</v>
      </c>
      <c r="B13">
        <v>1413</v>
      </c>
      <c r="C13">
        <v>0</v>
      </c>
      <c r="D13">
        <v>0</v>
      </c>
      <c r="E13">
        <v>2022</v>
      </c>
      <c r="G13" t="s">
        <v>50</v>
      </c>
      <c r="L13">
        <v>1</v>
      </c>
      <c r="O13" t="s">
        <v>27</v>
      </c>
      <c r="P13" t="s">
        <v>27</v>
      </c>
      <c r="Q13" t="s">
        <v>150</v>
      </c>
      <c r="R13" t="s">
        <v>27</v>
      </c>
      <c r="S13" t="s">
        <v>27</v>
      </c>
      <c r="T13" t="s">
        <v>51</v>
      </c>
      <c r="U13" t="str">
        <f t="shared" si="0"/>
        <v>{dwID=1413,nLevel=0,nStackNum=0,nIconID=2022,szContent="",szNote="战",bEnable=true,bFlipHideVoid=false,bFlipHideOthers=false,tKungfu={},tTargetKungfu={},tMap={bAll=false,[-7]=true,[25]=true,[27]=true,},aSoundAppear={},aSoundDisappear={},szUUID="10661292-6EE8-4B62-AEBE-EFBC94AFD27D",},</v>
      </c>
    </row>
    <row r="14" spans="1:21" x14ac:dyDescent="0.15">
      <c r="A14">
        <v>12</v>
      </c>
      <c r="B14">
        <v>7746</v>
      </c>
      <c r="C14">
        <v>0</v>
      </c>
      <c r="D14">
        <v>0</v>
      </c>
      <c r="E14">
        <v>4540</v>
      </c>
      <c r="G14" t="s">
        <v>52</v>
      </c>
      <c r="L14">
        <v>1</v>
      </c>
      <c r="O14" t="s">
        <v>27</v>
      </c>
      <c r="P14" t="s">
        <v>27</v>
      </c>
      <c r="Q14" t="s">
        <v>150</v>
      </c>
      <c r="R14" t="s">
        <v>27</v>
      </c>
      <c r="S14" t="s">
        <v>27</v>
      </c>
      <c r="T14" t="s">
        <v>53</v>
      </c>
      <c r="U14" t="str">
        <f t="shared" si="0"/>
        <v>{dwID=7746,nLevel=0,nStackNum=0,nIconID=4540,szContent="",szNote="免疫",bEnable=true,bFlipHideVoid=false,bFlipHideOthers=false,tKungfu={},tTargetKungfu={},tMap={bAll=false,[-7]=true,[25]=true,[27]=true,},aSoundAppear={},aSoundDisappear={},szUUID="C480E52A-D4CE-46C6-B70C-CC9EAF1FCDA4",},</v>
      </c>
    </row>
    <row r="15" spans="1:21" x14ac:dyDescent="0.15">
      <c r="A15">
        <v>13</v>
      </c>
      <c r="B15">
        <v>1061</v>
      </c>
      <c r="C15">
        <v>0</v>
      </c>
      <c r="D15">
        <v>0</v>
      </c>
      <c r="E15">
        <v>1485</v>
      </c>
      <c r="G15" t="s">
        <v>54</v>
      </c>
      <c r="L15">
        <v>1</v>
      </c>
      <c r="O15" t="s">
        <v>27</v>
      </c>
      <c r="P15" t="s">
        <v>27</v>
      </c>
      <c r="Q15" t="s">
        <v>26</v>
      </c>
      <c r="R15" t="s">
        <v>27</v>
      </c>
      <c r="S15" t="s">
        <v>27</v>
      </c>
      <c r="T15" t="s">
        <v>55</v>
      </c>
      <c r="U15" t="str">
        <f t="shared" si="0"/>
        <v>{dwID=1061,nLevel=0,nStackNum=0,nIconID=1485,szContent="",szNote="传功腾云",bEnable=true,bFlipHideVoid=false,bFlipHideOthers=false,tKungfu={},tTargetKungfu={},tMap={bAll=true,},aSoundAppear={},aSoundDisappear={},szUUID="041635E2-BE4E-47E7-A581-BDBA67D688D6",},</v>
      </c>
    </row>
    <row r="16" spans="1:21" x14ac:dyDescent="0.15">
      <c r="A16">
        <v>14</v>
      </c>
      <c r="B16">
        <v>244</v>
      </c>
      <c r="C16">
        <v>0</v>
      </c>
      <c r="D16">
        <v>0</v>
      </c>
      <c r="E16">
        <v>1899</v>
      </c>
      <c r="G16" t="s">
        <v>56</v>
      </c>
      <c r="L16">
        <v>1</v>
      </c>
      <c r="O16" t="s">
        <v>27</v>
      </c>
      <c r="P16" t="s">
        <v>27</v>
      </c>
      <c r="Q16" t="s">
        <v>26</v>
      </c>
      <c r="R16" t="s">
        <v>27</v>
      </c>
      <c r="S16" t="s">
        <v>27</v>
      </c>
      <c r="T16" t="s">
        <v>57</v>
      </c>
      <c r="U16" t="str">
        <f t="shared" si="0"/>
        <v>{dwID=244,nLevel=0,nStackNum=0,nIconID=1899,szContent="",szNote="骑御",bEnable=true,bFlipHideVoid=false,bFlipHideOthers=false,tKungfu={},tTargetKungfu={},tMap={bAll=true,},aSoundAppear={},aSoundDisappear={},szUUID="3704CD0C-0466-4376-9021-2D833AF960BC",},</v>
      </c>
    </row>
    <row r="17" spans="1:21" x14ac:dyDescent="0.15">
      <c r="A17">
        <v>15</v>
      </c>
      <c r="B17">
        <v>24603</v>
      </c>
      <c r="C17">
        <v>0</v>
      </c>
      <c r="D17">
        <v>0</v>
      </c>
      <c r="E17">
        <v>105</v>
      </c>
      <c r="G17" t="s">
        <v>58</v>
      </c>
      <c r="L17">
        <v>1</v>
      </c>
      <c r="O17" t="s">
        <v>27</v>
      </c>
      <c r="P17" t="s">
        <v>27</v>
      </c>
      <c r="Q17" t="s">
        <v>59</v>
      </c>
      <c r="R17" t="s">
        <v>27</v>
      </c>
      <c r="S17" t="s">
        <v>27</v>
      </c>
      <c r="T17" t="s">
        <v>60</v>
      </c>
      <c r="U17" t="str">
        <f t="shared" si="0"/>
        <v>{dwID=24603,nLevel=0,nStackNum=0,nIconID=105,szContent="",szNote="喝茶",bEnable=true,bFlipHideVoid=false,bFlipHideOthers=false,tKungfu={},tTargetKungfu={},tMap={bAll=false,[582]=true,},aSoundAppear={},aSoundDisappear={},szUUID="A45E7C8C-D1BA-4F45-9CD6-C6EE2DE42B44",},</v>
      </c>
    </row>
    <row r="18" spans="1:21" x14ac:dyDescent="0.15">
      <c r="A18">
        <v>16</v>
      </c>
      <c r="B18">
        <v>17149</v>
      </c>
      <c r="C18">
        <v>0</v>
      </c>
      <c r="D18">
        <v>0</v>
      </c>
      <c r="E18">
        <v>3409</v>
      </c>
      <c r="F18" t="s">
        <v>61</v>
      </c>
      <c r="G18" t="s">
        <v>62</v>
      </c>
      <c r="L18">
        <v>1</v>
      </c>
      <c r="O18" t="s">
        <v>27</v>
      </c>
      <c r="P18" t="s">
        <v>27</v>
      </c>
      <c r="Q18" t="s">
        <v>63</v>
      </c>
      <c r="R18" t="s">
        <v>27</v>
      </c>
      <c r="S18" t="s">
        <v>27</v>
      </c>
      <c r="T18" t="s">
        <v>57</v>
      </c>
      <c r="U18" t="str">
        <f t="shared" si="0"/>
        <v>{dwID=17149,nLevel=0,nStackNum=0,nIconID=3409,szContent="饱食",szNote="吃坏肚子了",bEnable=true,bFlipHideVoid=false,bFlipHideOthers=false,tKungfu={},tTargetKungfu={},tMap={bAll=false,[-17]=false,[-15]=true,[-5]=false,[-4]=false,[-2]=false,},aSoundAppear={},aSoundDisappear={},szUUID="3704CD0C-0466-4376-9021-2D833AF960BC",},</v>
      </c>
    </row>
    <row r="19" spans="1:21" x14ac:dyDescent="0.15">
      <c r="A19">
        <v>17</v>
      </c>
      <c r="B19">
        <v>3159</v>
      </c>
      <c r="C19">
        <v>0</v>
      </c>
      <c r="D19">
        <v>0</v>
      </c>
      <c r="E19">
        <v>7682</v>
      </c>
      <c r="F19" t="s">
        <v>64</v>
      </c>
      <c r="G19" t="s">
        <v>65</v>
      </c>
      <c r="L19">
        <v>1</v>
      </c>
      <c r="O19" t="s">
        <v>27</v>
      </c>
      <c r="P19" t="s">
        <v>27</v>
      </c>
      <c r="Q19" t="s">
        <v>26</v>
      </c>
      <c r="R19" t="s">
        <v>27</v>
      </c>
      <c r="S19" t="s">
        <v>27</v>
      </c>
      <c r="T19" t="s">
        <v>66</v>
      </c>
      <c r="U19" t="str">
        <f t="shared" si="0"/>
        <v>{dwID=3159,nLevel=0,nStackNum=0,nIconID=7682,szContent="滑翔",szNote="白羽焰翼",bEnable=true,bFlipHideVoid=false,bFlipHideOthers=false,tKungfu={},tTargetKungfu={},tMap={bAll=true,},aSoundAppear={},aSoundDisappear={},szUUID="F566554E-2F0A-4C44-BB2E-1C0F5E4F4F13",},</v>
      </c>
    </row>
    <row r="20" spans="1:21" x14ac:dyDescent="0.15">
      <c r="A20">
        <v>18</v>
      </c>
      <c r="B20">
        <v>15689</v>
      </c>
      <c r="C20">
        <v>0</v>
      </c>
      <c r="D20">
        <v>0</v>
      </c>
      <c r="E20">
        <v>100</v>
      </c>
      <c r="G20" t="s">
        <v>67</v>
      </c>
      <c r="L20">
        <v>1</v>
      </c>
      <c r="O20" t="s">
        <v>27</v>
      </c>
      <c r="P20" t="s">
        <v>27</v>
      </c>
      <c r="Q20" t="s">
        <v>68</v>
      </c>
      <c r="R20" t="s">
        <v>27</v>
      </c>
      <c r="S20" t="s">
        <v>27</v>
      </c>
      <c r="T20" t="s">
        <v>69</v>
      </c>
      <c r="U20" t="str">
        <f t="shared" si="0"/>
        <v>{dwID=15689,nLevel=0,nStackNum=0,nIconID=100,szContent="",szNote="稻香饼",bEnable=true,bFlipHideVoid=false,bFlipHideOthers=false,tKungfu={},tTargetKungfu={},tMap={bAll=false,[-6]=true,},aSoundAppear={},aSoundDisappear={},szUUID="050ACB7E-81B6-43EB-BBEF-88EA2ED215D8",},</v>
      </c>
    </row>
    <row r="21" spans="1:21" x14ac:dyDescent="0.15">
      <c r="A21">
        <v>19</v>
      </c>
      <c r="B21">
        <v>16843</v>
      </c>
      <c r="C21">
        <v>0</v>
      </c>
      <c r="D21">
        <v>0</v>
      </c>
      <c r="E21">
        <v>3448</v>
      </c>
      <c r="G21" t="s">
        <v>70</v>
      </c>
      <c r="L21">
        <v>1</v>
      </c>
      <c r="O21" t="s">
        <v>27</v>
      </c>
      <c r="P21" t="s">
        <v>27</v>
      </c>
      <c r="Q21" t="s">
        <v>68</v>
      </c>
      <c r="R21" t="s">
        <v>27</v>
      </c>
      <c r="S21" t="s">
        <v>27</v>
      </c>
      <c r="T21" t="s">
        <v>71</v>
      </c>
      <c r="U21" t="str">
        <f t="shared" si="0"/>
        <v>{dwID=16843,nLevel=0,nStackNum=0,nIconID=3448,szContent="",szNote="无敌",bEnable=true,bFlipHideVoid=false,bFlipHideOthers=false,tKungfu={},tTargetKungfu={},tMap={bAll=false,[-6]=true,},aSoundAppear={},aSoundDisappear={},szUUID="27BAD76C-5FD4-4050-B281-3EF2EF88EA2E",},</v>
      </c>
    </row>
    <row r="22" spans="1:21" x14ac:dyDescent="0.15">
      <c r="A22">
        <v>20</v>
      </c>
      <c r="B22">
        <v>15662</v>
      </c>
      <c r="C22">
        <v>0</v>
      </c>
      <c r="D22">
        <v>0</v>
      </c>
      <c r="E22">
        <v>2039</v>
      </c>
      <c r="G22" t="s">
        <v>72</v>
      </c>
      <c r="L22">
        <v>1</v>
      </c>
      <c r="O22" t="s">
        <v>27</v>
      </c>
      <c r="P22" t="s">
        <v>27</v>
      </c>
      <c r="Q22" t="s">
        <v>68</v>
      </c>
      <c r="R22" t="s">
        <v>27</v>
      </c>
      <c r="S22" t="s">
        <v>27</v>
      </c>
      <c r="T22" t="s">
        <v>73</v>
      </c>
      <c r="U22" t="str">
        <f t="shared" si="0"/>
        <v>{dwID=15662,nLevel=0,nStackNum=0,nIconID=2039,szContent="",szNote="净灵·生",bEnable=true,bFlipHideVoid=false,bFlipHideOthers=false,tKungfu={},tTargetKungfu={},tMap={bAll=false,[-6]=true,},aSoundAppear={},aSoundDisappear={},szUUID="CE201A26-3D10-427B-ACD2-A3AC8A42FD29",},</v>
      </c>
    </row>
    <row r="23" spans="1:21" x14ac:dyDescent="0.15">
      <c r="A23">
        <v>21</v>
      </c>
      <c r="B23">
        <v>15647</v>
      </c>
      <c r="C23">
        <v>0</v>
      </c>
      <c r="D23">
        <v>0</v>
      </c>
      <c r="E23">
        <v>2122</v>
      </c>
      <c r="G23" t="s">
        <v>74</v>
      </c>
      <c r="L23">
        <v>1</v>
      </c>
      <c r="O23" t="s">
        <v>27</v>
      </c>
      <c r="P23" t="s">
        <v>27</v>
      </c>
      <c r="Q23" t="s">
        <v>68</v>
      </c>
      <c r="R23" t="s">
        <v>27</v>
      </c>
      <c r="S23" t="s">
        <v>27</v>
      </c>
      <c r="T23" t="s">
        <v>75</v>
      </c>
      <c r="U23" t="str">
        <f t="shared" si="0"/>
        <v>{dwID=15647,nLevel=0,nStackNum=0,nIconID=2122,szContent="",szNote="时辰·净灵·生",bEnable=true,bFlipHideVoid=false,bFlipHideOthers=false,tKungfu={},tTargetKungfu={},tMap={bAll=false,[-6]=true,},aSoundAppear={},aSoundDisappear={},szUUID="8E96A664-C97E-420F-9503-8872668A6B77",},</v>
      </c>
    </row>
    <row r="24" spans="1:21" x14ac:dyDescent="0.15">
      <c r="A24">
        <v>22</v>
      </c>
      <c r="B24">
        <v>19296</v>
      </c>
      <c r="C24">
        <v>0</v>
      </c>
      <c r="D24">
        <v>0</v>
      </c>
      <c r="E24">
        <v>3417</v>
      </c>
      <c r="G24" t="s">
        <v>76</v>
      </c>
      <c r="L24">
        <v>1</v>
      </c>
      <c r="O24" t="s">
        <v>27</v>
      </c>
      <c r="P24" t="s">
        <v>27</v>
      </c>
      <c r="Q24" t="s">
        <v>68</v>
      </c>
      <c r="R24" t="s">
        <v>27</v>
      </c>
      <c r="S24" t="s">
        <v>27</v>
      </c>
      <c r="T24" t="s">
        <v>53</v>
      </c>
      <c r="U24" t="str">
        <f t="shared" si="0"/>
        <v>{dwID=19296,nLevel=0,nStackNum=0,nIconID=3417,szContent="",szNote="注疏·命",bEnable=true,bFlipHideVoid=false,bFlipHideOthers=false,tKungfu={},tTargetKungfu={},tMap={bAll=false,[-6]=true,},aSoundAppear={},aSoundDisappear={},szUUID="C480E52A-D4CE-46C6-B70C-CC9EAF1FCDA4",},</v>
      </c>
    </row>
    <row r="25" spans="1:21" x14ac:dyDescent="0.15">
      <c r="A25">
        <v>23</v>
      </c>
      <c r="B25">
        <v>15648</v>
      </c>
      <c r="C25">
        <v>0</v>
      </c>
      <c r="D25">
        <v>0</v>
      </c>
      <c r="E25">
        <v>3445</v>
      </c>
      <c r="G25" t="s">
        <v>77</v>
      </c>
      <c r="L25">
        <v>1</v>
      </c>
      <c r="O25" t="s">
        <v>27</v>
      </c>
      <c r="P25" t="s">
        <v>27</v>
      </c>
      <c r="Q25" t="s">
        <v>68</v>
      </c>
      <c r="R25" t="s">
        <v>27</v>
      </c>
      <c r="S25" t="s">
        <v>27</v>
      </c>
      <c r="T25" t="s">
        <v>78</v>
      </c>
      <c r="U25" t="str">
        <f t="shared" si="0"/>
        <v>{dwID=15648,nLevel=0,nStackNum=0,nIconID=3445,szContent="",szNote="劲骨·生",bEnable=true,bFlipHideVoid=false,bFlipHideOthers=false,tKungfu={},tTargetKungfu={},tMap={bAll=false,[-6]=true,},aSoundAppear={},aSoundDisappear={},szUUID="D9349550-76FA-475D-9616-E1460A8A5771",},</v>
      </c>
    </row>
    <row r="26" spans="1:21" x14ac:dyDescent="0.15">
      <c r="A26">
        <v>24</v>
      </c>
      <c r="B26">
        <v>15636</v>
      </c>
      <c r="C26">
        <v>0</v>
      </c>
      <c r="D26">
        <v>0</v>
      </c>
      <c r="E26">
        <v>3444</v>
      </c>
      <c r="G26" t="s">
        <v>79</v>
      </c>
      <c r="L26">
        <v>1</v>
      </c>
      <c r="O26" t="s">
        <v>27</v>
      </c>
      <c r="P26" t="s">
        <v>27</v>
      </c>
      <c r="Q26" t="s">
        <v>68</v>
      </c>
      <c r="R26" t="s">
        <v>27</v>
      </c>
      <c r="S26" t="s">
        <v>27</v>
      </c>
      <c r="T26" t="s">
        <v>80</v>
      </c>
      <c r="U26" t="str">
        <f t="shared" si="0"/>
        <v>{dwID=15636,nLevel=0,nStackNum=0,nIconID=3444,szContent="",szNote="时辰·劲骨·生",bEnable=true,bFlipHideVoid=false,bFlipHideOthers=false,tKungfu={},tTargetKungfu={},tMap={bAll=false,[-6]=true,},aSoundAppear={},aSoundDisappear={},szUUID="892424C2-DB96-43CF-A722-6F062A52AA01",},</v>
      </c>
    </row>
    <row r="27" spans="1:21" x14ac:dyDescent="0.15">
      <c r="A27">
        <v>25</v>
      </c>
      <c r="B27">
        <v>19295</v>
      </c>
      <c r="C27">
        <v>0</v>
      </c>
      <c r="D27">
        <v>0</v>
      </c>
      <c r="E27">
        <v>3444</v>
      </c>
      <c r="G27" t="s">
        <v>81</v>
      </c>
      <c r="L27">
        <v>1</v>
      </c>
      <c r="O27" t="s">
        <v>27</v>
      </c>
      <c r="P27" t="s">
        <v>27</v>
      </c>
      <c r="Q27" t="s">
        <v>68</v>
      </c>
      <c r="R27" t="s">
        <v>27</v>
      </c>
      <c r="S27" t="s">
        <v>27</v>
      </c>
      <c r="T27" t="s">
        <v>82</v>
      </c>
      <c r="U27" t="str">
        <f t="shared" si="0"/>
        <v>{dwID=19295,nLevel=0,nStackNum=0,nIconID=3444,szContent="",szNote="注疏·守",bEnable=true,bFlipHideVoid=false,bFlipHideOthers=false,tKungfu={},tTargetKungfu={},tMap={bAll=false,[-6]=true,},aSoundAppear={},aSoundDisappear={},szUUID="B5D4B4D0-6DDE-4308-9BAC-D6B0870E3B4F",},</v>
      </c>
    </row>
    <row r="28" spans="1:21" x14ac:dyDescent="0.15">
      <c r="A28">
        <v>26</v>
      </c>
      <c r="B28">
        <v>15660</v>
      </c>
      <c r="C28">
        <v>0</v>
      </c>
      <c r="D28">
        <v>0</v>
      </c>
      <c r="E28">
        <v>3416</v>
      </c>
      <c r="G28" t="s">
        <v>83</v>
      </c>
      <c r="L28">
        <v>1</v>
      </c>
      <c r="O28" t="s">
        <v>27</v>
      </c>
      <c r="P28" t="s">
        <v>27</v>
      </c>
      <c r="Q28" t="s">
        <v>68</v>
      </c>
      <c r="R28" t="s">
        <v>27</v>
      </c>
      <c r="S28" t="s">
        <v>27</v>
      </c>
      <c r="T28" t="s">
        <v>84</v>
      </c>
      <c r="U28" t="str">
        <f t="shared" si="0"/>
        <v>{dwID=15660,nLevel=0,nStackNum=0,nIconID=3416,szContent="",szNote="妙殊·生",bEnable=true,bFlipHideVoid=false,bFlipHideOthers=false,tKungfu={},tTargetKungfu={},tMap={bAll=false,[-6]=true,},aSoundAppear={},aSoundDisappear={},szUUID="8BB6F566-554E-42F0-B0EF-2E1C0F5E4F4F",},</v>
      </c>
    </row>
    <row r="29" spans="1:21" x14ac:dyDescent="0.15">
      <c r="A29">
        <v>27</v>
      </c>
      <c r="B29">
        <v>15646</v>
      </c>
      <c r="C29">
        <v>0</v>
      </c>
      <c r="D29">
        <v>0</v>
      </c>
      <c r="E29">
        <v>3417</v>
      </c>
      <c r="G29" t="s">
        <v>85</v>
      </c>
      <c r="L29">
        <v>1</v>
      </c>
      <c r="O29" t="s">
        <v>27</v>
      </c>
      <c r="P29" t="s">
        <v>27</v>
      </c>
      <c r="Q29" t="s">
        <v>68</v>
      </c>
      <c r="R29" t="s">
        <v>27</v>
      </c>
      <c r="S29" t="s">
        <v>27</v>
      </c>
      <c r="T29" t="s">
        <v>86</v>
      </c>
      <c r="U29" t="str">
        <f t="shared" si="0"/>
        <v>{dwID=15646,nLevel=0,nStackNum=0,nIconID=3417,szContent="",szNote="时辰·妙殊·生",bEnable=true,bFlipHideVoid=false,bFlipHideOthers=false,tKungfu={},tTargetKungfu={},tMap={bAll=false,[-6]=true,},aSoundAppear={},aSoundDisappear={},szUUID="7184D90C-5A46-442F-816D-03B76126C400",},</v>
      </c>
    </row>
    <row r="30" spans="1:21" x14ac:dyDescent="0.15">
      <c r="A30">
        <v>28</v>
      </c>
      <c r="B30">
        <v>13926</v>
      </c>
      <c r="C30">
        <v>0</v>
      </c>
      <c r="D30">
        <v>0</v>
      </c>
      <c r="E30">
        <v>4533</v>
      </c>
      <c r="F30" t="s">
        <v>87</v>
      </c>
      <c r="G30" t="s">
        <v>88</v>
      </c>
      <c r="L30">
        <v>1</v>
      </c>
      <c r="O30" t="s">
        <v>27</v>
      </c>
      <c r="P30" t="s">
        <v>27</v>
      </c>
      <c r="Q30" t="s">
        <v>89</v>
      </c>
      <c r="R30" t="s">
        <v>27</v>
      </c>
      <c r="S30" t="s">
        <v>27</v>
      </c>
      <c r="T30" t="s">
        <v>90</v>
      </c>
      <c r="U30" t="str">
        <f t="shared" si="0"/>
        <v>{dwID=13926,nLevel=0,nStackNum=0,nIconID=4533,szContent="免伤",szNote="老本免伤",bEnable=true,bFlipHideVoid=false,bFlipHideOthers=false,tKungfu={},tTargetKungfu={},tMap={bAll=false,[-3]=true,},aSoundAppear={},aSoundDisappear={},szUUID="7184D90C-5A46-442F-816D-03B76126C401",},</v>
      </c>
    </row>
    <row r="31" spans="1:21" x14ac:dyDescent="0.15">
      <c r="A31">
        <v>29</v>
      </c>
      <c r="B31">
        <v>23741</v>
      </c>
      <c r="C31">
        <v>0</v>
      </c>
      <c r="D31">
        <v>0</v>
      </c>
      <c r="E31">
        <v>2396</v>
      </c>
      <c r="F31" t="s">
        <v>91</v>
      </c>
      <c r="G31" t="s">
        <v>91</v>
      </c>
      <c r="L31">
        <v>1</v>
      </c>
      <c r="O31" t="s">
        <v>27</v>
      </c>
      <c r="P31" t="s">
        <v>27</v>
      </c>
      <c r="Q31" t="s">
        <v>92</v>
      </c>
      <c r="R31" t="s">
        <v>27</v>
      </c>
      <c r="S31" t="s">
        <v>27</v>
      </c>
      <c r="T31" t="s">
        <v>93</v>
      </c>
      <c r="U31" t="str">
        <f t="shared" si="0"/>
        <v>{dwID=23741,nLevel=0,nStackNum=0,nIconID=2396,szContent="通用CD1",szNote="通用CD1",bEnable=true,bFlipHideVoid=false,bFlipHideOthers=false,tKungfu={},tTargetKungfu={},tMap={bAll=false,},aSoundAppear={},aSoundDisappear={},szUUID="E4B4DF7A-D378-42C7-9609-F5CF77126ADB",},</v>
      </c>
    </row>
    <row r="32" spans="1:21" x14ac:dyDescent="0.15">
      <c r="A32">
        <v>30</v>
      </c>
      <c r="B32">
        <v>23790</v>
      </c>
      <c r="C32">
        <v>0</v>
      </c>
      <c r="D32">
        <v>0</v>
      </c>
      <c r="E32">
        <v>2396</v>
      </c>
      <c r="F32" t="s">
        <v>94</v>
      </c>
      <c r="G32" t="s">
        <v>94</v>
      </c>
      <c r="L32">
        <v>1</v>
      </c>
      <c r="O32" t="s">
        <v>27</v>
      </c>
      <c r="P32" t="s">
        <v>27</v>
      </c>
      <c r="Q32" t="s">
        <v>92</v>
      </c>
      <c r="R32" t="s">
        <v>27</v>
      </c>
      <c r="S32" t="s">
        <v>27</v>
      </c>
      <c r="T32" t="s">
        <v>95</v>
      </c>
      <c r="U32" t="str">
        <f t="shared" si="0"/>
        <v>{dwID=23790,nLevel=0,nStackNum=0,nIconID=2396,szContent="通用CD2",szNote="通用CD2",bEnable=true,bFlipHideVoid=false,bFlipHideOthers=false,tKungfu={},tTargetKungfu={},tMap={bAll=false,},aSoundAppear={},aSoundDisappear={},szUUID="6DAE8DC0-9870-4EC0-BD12-7C26BBEA1B21",},</v>
      </c>
    </row>
    <row r="33" spans="1:21" x14ac:dyDescent="0.15">
      <c r="A33">
        <v>31</v>
      </c>
      <c r="B33">
        <v>14120</v>
      </c>
      <c r="C33">
        <v>0</v>
      </c>
      <c r="D33">
        <v>0</v>
      </c>
      <c r="E33">
        <v>7143</v>
      </c>
      <c r="F33" t="s">
        <v>96</v>
      </c>
      <c r="G33" t="s">
        <v>97</v>
      </c>
      <c r="L33">
        <v>1</v>
      </c>
      <c r="O33" t="s">
        <v>27</v>
      </c>
      <c r="P33" t="s">
        <v>27</v>
      </c>
      <c r="Q33" t="s">
        <v>92</v>
      </c>
      <c r="R33" t="s">
        <v>27</v>
      </c>
      <c r="S33" t="s">
        <v>27</v>
      </c>
      <c r="T33" t="s">
        <v>98</v>
      </c>
      <c r="U33" t="str">
        <f t="shared" si="0"/>
        <v>{dwID=14120,nLevel=0,nStackNum=0,nIconID=7143,szContent="更换交通",szNote="更换交通表现标记BUFF",bEnable=true,bFlipHideVoid=false,bFlipHideOthers=false,tKungfu={},tTargetKungfu={},tMap={bAll=false,},aSoundAppear={},aSoundDisappear={},szUUID="D76C5FD4-050A-4CB7-9F3E-F2EF88EA2ED2",},</v>
      </c>
    </row>
    <row r="34" spans="1:21" x14ac:dyDescent="0.15">
      <c r="A34" t="s">
        <v>21</v>
      </c>
      <c r="B34" t="s">
        <v>99</v>
      </c>
      <c r="C34" t="s">
        <v>155</v>
      </c>
      <c r="D34" t="s">
        <v>157</v>
      </c>
      <c r="E34" t="s">
        <v>100</v>
      </c>
      <c r="F34">
        <v>288.09814407620001</v>
      </c>
      <c r="G34">
        <v>-179.78010819260001</v>
      </c>
      <c r="H34" t="s">
        <v>101</v>
      </c>
      <c r="I34" t="s">
        <v>101</v>
      </c>
      <c r="U34" t="str">
        <f t="shared" si="0"/>
        <v>},},{bCdBar = false,bCdCircle = true,bCdFlash = false,bCdReadySpark = true,bDraggable = false,bEnable = true,bHideOthers = false,bHideVoid = true,bIgnoreSystemUIScale = true,bPenetrable = false,bPlaySound = true,bShowName = true,fIconFontScale = 1,fOtherFontScale = 1,fScale = 0.9,nCdBarWidth = 240,nDecimalTime = 3,nMaxLineCount = 6,szAlignment = "LEFT",szAuthor = "荷花鲤",szBoxBgUITex = "",szCdBarUITex = "/ui/Image/Common/Money.UITex|208",szTarget = "CLIENT_PLAYER",szTitle = "自身隐藏气劲",szType = "BUFF",szVersion = "2024/02/27",szUUID = "hehuali-zishenyincangqijin-1",tAnchor = {x = 288.0981440762,y = -179.7801081926,s = "LEFTCENTER",r = "LEFTCENTER",},aMonitor = {</v>
      </c>
    </row>
    <row r="35" spans="1:21" x14ac:dyDescent="0.15">
      <c r="A35">
        <v>32</v>
      </c>
      <c r="B35">
        <v>8477</v>
      </c>
      <c r="C35">
        <v>0</v>
      </c>
      <c r="D35">
        <v>0</v>
      </c>
      <c r="E35">
        <v>6491</v>
      </c>
      <c r="F35" t="s">
        <v>102</v>
      </c>
      <c r="G35" t="s">
        <v>103</v>
      </c>
      <c r="H35" t="s">
        <v>104</v>
      </c>
      <c r="L35">
        <v>1</v>
      </c>
      <c r="O35" t="s">
        <v>27</v>
      </c>
      <c r="P35" t="s">
        <v>27</v>
      </c>
      <c r="Q35" t="s">
        <v>26</v>
      </c>
      <c r="R35" t="s">
        <v>27</v>
      </c>
      <c r="S35" t="s">
        <v>27</v>
      </c>
      <c r="T35" t="s">
        <v>105</v>
      </c>
      <c r="U35" t="str">
        <f t="shared" si="0"/>
        <v>{dwID=8477,nLevel=0,nStackNum=0,nIconID=6491,szContent="劲足",szNote="速度·劲足",aContentColor={0,255,0},bEnable=true,bFlipHideVoid=false,bFlipHideOthers=false,tKungfu={},tTargetKungfu={},tMap={bAll=true,},aSoundAppear={},aSoundDisappear={},szUUID="7B9C1F8A-BC6E-44F9-B2D1-5E1D88523A04",},</v>
      </c>
    </row>
    <row r="36" spans="1:21" x14ac:dyDescent="0.15">
      <c r="A36">
        <v>33</v>
      </c>
      <c r="B36">
        <v>9743</v>
      </c>
      <c r="C36">
        <v>0</v>
      </c>
      <c r="D36">
        <v>0</v>
      </c>
      <c r="E36">
        <v>3415</v>
      </c>
      <c r="F36" t="s">
        <v>106</v>
      </c>
      <c r="G36" t="s">
        <v>107</v>
      </c>
      <c r="L36">
        <v>1</v>
      </c>
      <c r="O36" t="s">
        <v>27</v>
      </c>
      <c r="P36" t="s">
        <v>27</v>
      </c>
      <c r="Q36" t="s">
        <v>151</v>
      </c>
      <c r="R36" t="s">
        <v>27</v>
      </c>
      <c r="S36" t="s">
        <v>27</v>
      </c>
      <c r="T36" t="s">
        <v>108</v>
      </c>
      <c r="U36" t="str">
        <f t="shared" si="0"/>
        <v>{dwID=9743,nLevel=0,nStackNum=0,nIconID=3415,szContent="郭珠",szNote="BOSS奖励标记2",bEnable=true,bFlipHideVoid=false,bFlipHideOthers=false,tKungfu={},tTargetKungfu={},tMap={bAll=false,[25]=true,[27]=true,},aSoundAppear={},aSoundDisappear={},szUUID="CA9C4D52-3C40-4A82-97CE-93070C6DC187",},</v>
      </c>
    </row>
    <row r="37" spans="1:21" x14ac:dyDescent="0.15">
      <c r="A37">
        <v>34</v>
      </c>
      <c r="B37">
        <v>9747</v>
      </c>
      <c r="C37">
        <v>0</v>
      </c>
      <c r="D37">
        <v>0</v>
      </c>
      <c r="E37">
        <v>3415</v>
      </c>
      <c r="F37" t="s">
        <v>109</v>
      </c>
      <c r="G37" t="s">
        <v>110</v>
      </c>
      <c r="L37">
        <v>1</v>
      </c>
      <c r="O37" t="s">
        <v>27</v>
      </c>
      <c r="P37" t="s">
        <v>27</v>
      </c>
      <c r="Q37" t="s">
        <v>151</v>
      </c>
      <c r="R37" t="s">
        <v>27</v>
      </c>
      <c r="S37" t="s">
        <v>27</v>
      </c>
      <c r="T37" t="s">
        <v>111</v>
      </c>
      <c r="U37" t="str">
        <f t="shared" si="0"/>
        <v>{dwID=9747,nLevel=0,nStackNum=0,nIconID=3415,szContent="叶镜池",szNote="BOSS奖励标记3",bEnable=true,bFlipHideVoid=false,bFlipHideOthers=false,tKungfu={},tTargetKungfu={},tMap={bAll=false,[25]=true,[27]=true,},aSoundAppear={},aSoundDisappear={},szUUID="A942873E-9726-4DEB-B0FE-B83B378AC4D9",},</v>
      </c>
    </row>
    <row r="38" spans="1:21" x14ac:dyDescent="0.15">
      <c r="A38">
        <v>35</v>
      </c>
      <c r="B38">
        <v>11239</v>
      </c>
      <c r="C38">
        <v>0</v>
      </c>
      <c r="D38">
        <v>0</v>
      </c>
      <c r="E38">
        <v>13</v>
      </c>
      <c r="F38" t="s">
        <v>112</v>
      </c>
      <c r="G38" t="s">
        <v>113</v>
      </c>
      <c r="L38">
        <v>1</v>
      </c>
      <c r="O38" t="s">
        <v>27</v>
      </c>
      <c r="P38" t="s">
        <v>27</v>
      </c>
      <c r="Q38" t="s">
        <v>114</v>
      </c>
      <c r="R38" t="s">
        <v>27</v>
      </c>
      <c r="S38" t="s">
        <v>27</v>
      </c>
      <c r="T38" t="s">
        <v>115</v>
      </c>
      <c r="U38" t="str">
        <f t="shared" si="0"/>
        <v>{dwID=11239,nLevel=0,nStackNum=0,nIconID=13,szContent="背负",szNote="背负苍云伤兵",bEnable=true,bFlipHideVoid=false,bFlipHideOthers=false,tKungfu={},tTargetKungfu={},tMap={bAll=false,[193]=true,},aSoundAppear={},aSoundDisappear={},szUUID="08F2768E-A060-436C-9C84-182F8DBA471B",},</v>
      </c>
    </row>
    <row r="39" spans="1:21" x14ac:dyDescent="0.15">
      <c r="A39">
        <v>36</v>
      </c>
      <c r="B39">
        <v>11486</v>
      </c>
      <c r="C39">
        <v>0</v>
      </c>
      <c r="D39">
        <v>0</v>
      </c>
      <c r="E39">
        <v>4606</v>
      </c>
      <c r="F39" t="s">
        <v>116</v>
      </c>
      <c r="G39" t="s">
        <v>117</v>
      </c>
      <c r="L39">
        <v>1</v>
      </c>
      <c r="O39" t="s">
        <v>27</v>
      </c>
      <c r="P39" t="s">
        <v>27</v>
      </c>
      <c r="Q39" t="s">
        <v>118</v>
      </c>
      <c r="R39" t="s">
        <v>27</v>
      </c>
      <c r="S39" t="s">
        <v>27</v>
      </c>
      <c r="T39" t="s">
        <v>119</v>
      </c>
      <c r="U39" t="str">
        <f t="shared" si="0"/>
        <v>{dwID=11486,nLevel=0,nStackNum=0,nIconID=4606,szContent="缘灭",szNote="福德齐天·CD",bEnable=true,bFlipHideVoid=false,bFlipHideOthers=false,tKungfu={},tTargetKungfu={},tMap={bAll=false,[150]=true,},aSoundAppear={},aSoundDisappear={},szUUID="4DB2EC92-1E4C-416F-B50F-F61B1D417614",},</v>
      </c>
    </row>
    <row r="40" spans="1:21" x14ac:dyDescent="0.15">
      <c r="A40">
        <v>37</v>
      </c>
      <c r="B40">
        <v>27384</v>
      </c>
      <c r="C40">
        <v>0</v>
      </c>
      <c r="D40">
        <v>0</v>
      </c>
      <c r="E40">
        <v>2999</v>
      </c>
      <c r="F40" t="s">
        <v>120</v>
      </c>
      <c r="G40" t="s">
        <v>121</v>
      </c>
      <c r="L40">
        <v>1</v>
      </c>
      <c r="O40" t="s">
        <v>122</v>
      </c>
      <c r="P40" t="s">
        <v>27</v>
      </c>
      <c r="Q40" t="s">
        <v>27</v>
      </c>
      <c r="R40" t="s">
        <v>27</v>
      </c>
      <c r="S40" t="s">
        <v>27</v>
      </c>
      <c r="T40" t="s">
        <v>123</v>
      </c>
      <c r="U40" t="str">
        <f t="shared" si="0"/>
        <v>{dwID=27384,nLevel=0,nStackNum=0,nIconID=2999,szContent="移动快雪",szNote="青歌走读快雪",bEnable=true,bFlipHideVoid=false,bFlipHideOthers=false,tKungfu={bAll=false,[10021]=true,},tTargetKungfu={},tMap={},aSoundAppear={},aSoundDisappear={},szUUID="2406D0A6-4DDE-4C1C-B0BB-01A9D9996E10",},</v>
      </c>
    </row>
    <row r="41" spans="1:21" x14ac:dyDescent="0.15">
      <c r="A41">
        <v>1</v>
      </c>
      <c r="B41">
        <v>10760</v>
      </c>
      <c r="C41">
        <v>0</v>
      </c>
      <c r="D41">
        <v>0</v>
      </c>
      <c r="E41">
        <v>331</v>
      </c>
      <c r="F41" t="s">
        <v>160</v>
      </c>
      <c r="G41" t="s">
        <v>161</v>
      </c>
      <c r="L41">
        <v>1</v>
      </c>
      <c r="O41" t="s">
        <v>27</v>
      </c>
      <c r="P41" t="s">
        <v>27</v>
      </c>
      <c r="Q41" t="s">
        <v>214</v>
      </c>
      <c r="R41" t="s">
        <v>27</v>
      </c>
      <c r="S41" t="s">
        <v>27</v>
      </c>
      <c r="T41" t="s">
        <v>162</v>
      </c>
      <c r="U41" t="str">
        <f t="shared" si="0"/>
        <v>{dwID=10760,nLevel=0,nStackNum=0,nIconID=331,szContent="QTE",szNote="千岛湖QTE触发CD",bEnable=true,bFlipHideVoid=false,bFlipHideOthers=false,tKungfu={},tTargetKungfu={},tMap={bAll=false,[215]=true,},aSoundAppear={},aSoundDisappear={},szUUID="BAA2B712-86F6-4100-8C22-2D59B9002A9C",},</v>
      </c>
    </row>
    <row r="42" spans="1:21" x14ac:dyDescent="0.15">
      <c r="A42">
        <v>2</v>
      </c>
      <c r="B42">
        <v>10756</v>
      </c>
      <c r="C42">
        <v>0</v>
      </c>
      <c r="D42">
        <v>0</v>
      </c>
      <c r="E42">
        <v>4540</v>
      </c>
      <c r="F42" t="s">
        <v>29</v>
      </c>
      <c r="G42" t="s">
        <v>163</v>
      </c>
      <c r="H42" t="s">
        <v>164</v>
      </c>
      <c r="L42">
        <v>1</v>
      </c>
      <c r="O42" t="s">
        <v>27</v>
      </c>
      <c r="P42" t="s">
        <v>27</v>
      </c>
      <c r="Q42" t="s">
        <v>214</v>
      </c>
      <c r="R42" t="s">
        <v>27</v>
      </c>
      <c r="S42" t="s">
        <v>27</v>
      </c>
      <c r="T42" t="s">
        <v>165</v>
      </c>
      <c r="U42" t="str">
        <f t="shared" si="0"/>
        <v>{dwID=10756,nLevel=0,nStackNum=0,nIconID=4540,szContent="按1",szNote="石敢当QTE1",aContentColor={235,118,38},bEnable=true,bFlipHideVoid=false,bFlipHideOthers=false,tKungfu={},tTargetKungfu={},tMap={bAll=false,[215]=true,},aSoundAppear={},aSoundDisappear={},szUUID="71FCFB60-3ED0-48E8-A8C8-205603887266",},</v>
      </c>
    </row>
    <row r="43" spans="1:21" x14ac:dyDescent="0.15">
      <c r="A43">
        <v>3</v>
      </c>
      <c r="B43">
        <v>10757</v>
      </c>
      <c r="C43">
        <v>0</v>
      </c>
      <c r="D43">
        <v>0</v>
      </c>
      <c r="E43">
        <v>7500</v>
      </c>
      <c r="F43" t="s">
        <v>33</v>
      </c>
      <c r="G43" t="s">
        <v>166</v>
      </c>
      <c r="H43" t="s">
        <v>167</v>
      </c>
      <c r="L43">
        <v>1</v>
      </c>
      <c r="O43" t="s">
        <v>27</v>
      </c>
      <c r="P43" t="s">
        <v>27</v>
      </c>
      <c r="Q43" t="s">
        <v>214</v>
      </c>
      <c r="R43" t="s">
        <v>27</v>
      </c>
      <c r="S43" t="s">
        <v>27</v>
      </c>
      <c r="T43" t="s">
        <v>168</v>
      </c>
      <c r="U43" t="str">
        <f t="shared" si="0"/>
        <v>{dwID=10757,nLevel=0,nStackNum=0,nIconID=7500,szContent="按2",szNote="石敢当QTE2",aContentColor={0,146,234},bEnable=true,bFlipHideVoid=false,bFlipHideOthers=false,tKungfu={},tTargetKungfu={},tMap={bAll=false,[215]=true,},aSoundAppear={},aSoundDisappear={},szUUID="12D0FF62-CD3C-4AA5-AD9D-10D36AE96540",},</v>
      </c>
    </row>
    <row r="44" spans="1:21" x14ac:dyDescent="0.15">
      <c r="A44">
        <v>4</v>
      </c>
      <c r="B44">
        <v>10758</v>
      </c>
      <c r="C44">
        <v>0</v>
      </c>
      <c r="D44">
        <v>0</v>
      </c>
      <c r="E44">
        <v>4224</v>
      </c>
      <c r="F44" t="s">
        <v>36</v>
      </c>
      <c r="G44" t="s">
        <v>169</v>
      </c>
      <c r="H44" t="s">
        <v>170</v>
      </c>
      <c r="L44">
        <v>1</v>
      </c>
      <c r="O44" t="s">
        <v>27</v>
      </c>
      <c r="P44" t="s">
        <v>27</v>
      </c>
      <c r="Q44" t="s">
        <v>214</v>
      </c>
      <c r="R44" t="s">
        <v>27</v>
      </c>
      <c r="S44" t="s">
        <v>27</v>
      </c>
      <c r="T44" t="s">
        <v>171</v>
      </c>
      <c r="U44" t="str">
        <f t="shared" si="0"/>
        <v>{dwID=10758,nLevel=0,nStackNum=0,nIconID=4224,szContent="按3",szNote="石敢当QTE3",aContentColor={219,226,68},bEnable=true,bFlipHideVoid=false,bFlipHideOthers=false,tKungfu={},tTargetKungfu={},tMap={bAll=false,[215]=true,},aSoundAppear={},aSoundDisappear={},szUUID="D3B27E30-6ECE-4C47-B8D3-6BDF0CCC9EAF",},</v>
      </c>
    </row>
    <row r="45" spans="1:21" x14ac:dyDescent="0.15">
      <c r="A45">
        <v>5</v>
      </c>
      <c r="B45">
        <v>10759</v>
      </c>
      <c r="C45">
        <v>0</v>
      </c>
      <c r="D45">
        <v>0</v>
      </c>
      <c r="E45">
        <v>3455</v>
      </c>
      <c r="F45" t="s">
        <v>172</v>
      </c>
      <c r="G45" t="s">
        <v>173</v>
      </c>
      <c r="H45" t="s">
        <v>174</v>
      </c>
      <c r="L45">
        <v>1</v>
      </c>
      <c r="O45" t="s">
        <v>27</v>
      </c>
      <c r="P45" t="s">
        <v>27</v>
      </c>
      <c r="Q45" t="s">
        <v>214</v>
      </c>
      <c r="R45" t="s">
        <v>27</v>
      </c>
      <c r="S45" t="s">
        <v>27</v>
      </c>
      <c r="T45" t="s">
        <v>175</v>
      </c>
      <c r="U45" t="str">
        <f t="shared" si="0"/>
        <v>{dwID=10759,nLevel=0,nStackNum=0,nIconID=3455,szContent="按4",szNote="石敢当QTE4",aContentColor={147,45,228},bEnable=true,bFlipHideVoid=false,bFlipHideOthers=false,tKungfu={},tTargetKungfu={},tMap={bAll=false,[215]=true,},aSoundAppear={},aSoundDisappear={},szUUID="CE80A4A4-703A-4B5C-AC6D-306EACD6B087",},</v>
      </c>
    </row>
    <row r="46" spans="1:21" x14ac:dyDescent="0.15">
      <c r="A46">
        <v>22</v>
      </c>
      <c r="B46">
        <v>11393</v>
      </c>
      <c r="C46">
        <v>0</v>
      </c>
      <c r="D46">
        <v>0</v>
      </c>
      <c r="E46">
        <v>8591</v>
      </c>
      <c r="F46" t="s">
        <v>207</v>
      </c>
      <c r="G46" t="s">
        <v>227</v>
      </c>
      <c r="L46">
        <v>1</v>
      </c>
      <c r="O46" t="s">
        <v>27</v>
      </c>
      <c r="P46" t="s">
        <v>27</v>
      </c>
      <c r="Q46" t="s">
        <v>153</v>
      </c>
      <c r="R46" t="s">
        <v>27</v>
      </c>
      <c r="S46" t="s">
        <v>27</v>
      </c>
      <c r="T46" t="s">
        <v>208</v>
      </c>
      <c r="U46" t="str">
        <f t="shared" si="0"/>
        <v>{dwID=11393,nLevel=0,nStackNum=0,nIconID=8591,szContent="稚子心·封印",szNote="稚子心_标记",bEnable=true,bFlipHideVoid=false,bFlipHideOthers=false,tKungfu={},tTargetKungfu={},tMap={bAll=false,[159]=true,},aSoundAppear={},aSoundDisappear={},szUUID="D7840416-35E2-4BE4-9F98-81BDBA67D688",},</v>
      </c>
    </row>
    <row r="47" spans="1:21" x14ac:dyDescent="0.15">
      <c r="A47">
        <v>6</v>
      </c>
      <c r="B47">
        <v>26176</v>
      </c>
      <c r="C47">
        <v>0</v>
      </c>
      <c r="D47">
        <v>0</v>
      </c>
      <c r="E47">
        <v>19012</v>
      </c>
      <c r="F47" t="s">
        <v>215</v>
      </c>
      <c r="G47" t="s">
        <v>176</v>
      </c>
      <c r="L47">
        <v>1</v>
      </c>
      <c r="O47" t="s">
        <v>27</v>
      </c>
      <c r="P47" t="s">
        <v>27</v>
      </c>
      <c r="Q47" t="s">
        <v>153</v>
      </c>
      <c r="R47" t="s">
        <v>27</v>
      </c>
      <c r="S47" t="s">
        <v>27</v>
      </c>
      <c r="T47" t="s">
        <v>57</v>
      </c>
      <c r="U47" t="str">
        <f t="shared" si="0"/>
        <v>{dwID=26176,nLevel=0,nStackNum=0,nIconID=19012,szContent="醉烟波·垂钓",szNote="醉烟波_垂钓",bEnable=true,bFlipHideVoid=false,bFlipHideOthers=false,tKungfu={},tTargetKungfu={},tMap={bAll=false,[159]=true,},aSoundAppear={},aSoundDisappear={},szUUID="3704CD0C-0466-4376-9021-2D833AF960BC",},</v>
      </c>
    </row>
    <row r="48" spans="1:21" x14ac:dyDescent="0.15">
      <c r="A48">
        <v>7</v>
      </c>
      <c r="B48">
        <v>24739</v>
      </c>
      <c r="C48">
        <v>0</v>
      </c>
      <c r="D48">
        <v>0</v>
      </c>
      <c r="E48">
        <v>19</v>
      </c>
      <c r="F48" t="s">
        <v>177</v>
      </c>
      <c r="G48" t="s">
        <v>216</v>
      </c>
      <c r="L48">
        <v>1</v>
      </c>
      <c r="O48" t="s">
        <v>27</v>
      </c>
      <c r="P48" t="s">
        <v>27</v>
      </c>
      <c r="Q48" t="s">
        <v>217</v>
      </c>
      <c r="R48" t="s">
        <v>27</v>
      </c>
      <c r="S48" t="s">
        <v>27</v>
      </c>
      <c r="T48" t="s">
        <v>57</v>
      </c>
      <c r="U48" t="str">
        <f t="shared" si="0"/>
        <v>{dwID=24739,nLevel=0,nStackNum=0,nIconID=19,szContent="重洋客·挑战",szNote="重洋客·挑战",bEnable=true,bFlipHideVoid=false,bFlipHideOthers=false,tKungfu={},tTargetKungfu={},tMap={bAll=false,[578]=true,},aSoundAppear={},aSoundDisappear={},szUUID="3704CD0C-0466-4376-9021-2D833AF960BC",},</v>
      </c>
    </row>
    <row r="49" spans="1:21" x14ac:dyDescent="0.15">
      <c r="A49">
        <v>8</v>
      </c>
      <c r="B49">
        <v>15451</v>
      </c>
      <c r="C49">
        <v>0</v>
      </c>
      <c r="D49">
        <v>0</v>
      </c>
      <c r="E49">
        <v>4987</v>
      </c>
      <c r="F49" t="s">
        <v>178</v>
      </c>
      <c r="G49" t="s">
        <v>179</v>
      </c>
      <c r="L49">
        <v>1</v>
      </c>
      <c r="O49" t="s">
        <v>27</v>
      </c>
      <c r="P49" t="s">
        <v>27</v>
      </c>
      <c r="Q49" t="s">
        <v>221</v>
      </c>
      <c r="R49" t="s">
        <v>27</v>
      </c>
      <c r="S49" t="s">
        <v>27</v>
      </c>
      <c r="T49" t="s">
        <v>180</v>
      </c>
      <c r="U49" t="str">
        <f t="shared" si="0"/>
        <v>{dwID=15451,nLevel=0,nStackNum=0,nIconID=4987,szContent="小果",szNote="小果_CD_BUFF",bEnable=true,bFlipHideVoid=false,bFlipHideOthers=false,tKungfu={},tTargetKungfu={},tMap={bAll=false,[5]=true,},aSoundAppear={},aSoundDisappear={},szUUID="867E8924-24C2-4DB8-8F9D-226F062A52AA",},</v>
      </c>
    </row>
    <row r="50" spans="1:21" x14ac:dyDescent="0.15">
      <c r="A50">
        <v>9</v>
      </c>
      <c r="B50">
        <v>15450</v>
      </c>
      <c r="C50">
        <v>0</v>
      </c>
      <c r="D50">
        <v>0</v>
      </c>
      <c r="E50">
        <v>6098</v>
      </c>
      <c r="F50" t="s">
        <v>181</v>
      </c>
      <c r="G50" t="s">
        <v>182</v>
      </c>
      <c r="L50">
        <v>1</v>
      </c>
      <c r="O50" t="s">
        <v>27</v>
      </c>
      <c r="P50" t="s">
        <v>27</v>
      </c>
      <c r="Q50" t="s">
        <v>222</v>
      </c>
      <c r="R50" t="s">
        <v>27</v>
      </c>
      <c r="S50" t="s">
        <v>27</v>
      </c>
      <c r="T50" t="s">
        <v>183</v>
      </c>
      <c r="U50" t="str">
        <f t="shared" si="0"/>
        <v>{dwID=15450,nLevel=0,nStackNum=0,nIconID=6098,szContent="小花",szNote="小花_CD_BUFF",bEnable=true,bFlipHideVoid=false,bFlipHideOthers=false,tKungfu={},tTargetKungfu={},tMap={bAll=false,[8]=true,},aSoundAppear={},aSoundDisappear={},szUUID="35E2BE4E-7E7E-498E-A0BD-BA67D688D627",},</v>
      </c>
    </row>
    <row r="51" spans="1:21" x14ac:dyDescent="0.15">
      <c r="A51">
        <v>10</v>
      </c>
      <c r="B51">
        <v>15448</v>
      </c>
      <c r="C51">
        <v>0</v>
      </c>
      <c r="D51">
        <v>0</v>
      </c>
      <c r="E51">
        <v>6626</v>
      </c>
      <c r="F51" t="s">
        <v>184</v>
      </c>
      <c r="G51" t="s">
        <v>185</v>
      </c>
      <c r="L51">
        <v>1</v>
      </c>
      <c r="O51" t="s">
        <v>27</v>
      </c>
      <c r="P51" t="s">
        <v>27</v>
      </c>
      <c r="Q51" t="s">
        <v>223</v>
      </c>
      <c r="R51" t="s">
        <v>27</v>
      </c>
      <c r="S51" t="s">
        <v>27</v>
      </c>
      <c r="T51" t="s">
        <v>186</v>
      </c>
      <c r="U51" t="str">
        <f t="shared" si="0"/>
        <v>{dwID=15448,nLevel=0,nStackNum=0,nIconID=6626,szContent="冰蓝花客",szNote="冰蓝花客_CD_BUFF",bEnable=true,bFlipHideVoid=false,bFlipHideOthers=false,tKungfu={},tTargetKungfu={},tMap={bAll=false,[30]=true,},aSoundAppear={},aSoundDisappear={},szUUID="B6F0F15C-C1F4-43B0-934C-E7075F232F4D",},</v>
      </c>
    </row>
    <row r="52" spans="1:21" x14ac:dyDescent="0.15">
      <c r="A52">
        <v>11</v>
      </c>
      <c r="B52">
        <v>15443</v>
      </c>
      <c r="C52">
        <v>0</v>
      </c>
      <c r="D52">
        <v>0</v>
      </c>
      <c r="E52">
        <v>6097</v>
      </c>
      <c r="F52" t="s">
        <v>187</v>
      </c>
      <c r="G52" t="s">
        <v>188</v>
      </c>
      <c r="L52">
        <v>1</v>
      </c>
      <c r="O52" t="s">
        <v>27</v>
      </c>
      <c r="P52" t="s">
        <v>27</v>
      </c>
      <c r="Q52" t="s">
        <v>224</v>
      </c>
      <c r="R52" t="s">
        <v>27</v>
      </c>
      <c r="S52" t="s">
        <v>27</v>
      </c>
      <c r="T52" t="s">
        <v>189</v>
      </c>
      <c r="U52" t="str">
        <f t="shared" si="0"/>
        <v>{dwID=15443,nLevel=0,nStackNum=0,nIconID=6097,szContent="小诺",szNote="小诺_CD_BUFF",bEnable=true,bFlipHideVoid=false,bFlipHideOthers=false,tKungfu={},tTargetKungfu={},tMap={bAll=false,[100]=true,},aSoundAppear={},aSoundDisappear={},szUUID="5F144F6A-503C-4133-923B-F1C7F2115D6E",},</v>
      </c>
    </row>
    <row r="53" spans="1:21" x14ac:dyDescent="0.15">
      <c r="A53">
        <v>12</v>
      </c>
      <c r="B53">
        <v>15445</v>
      </c>
      <c r="C53">
        <v>0</v>
      </c>
      <c r="D53">
        <v>0</v>
      </c>
      <c r="E53">
        <v>6802</v>
      </c>
      <c r="F53" t="s">
        <v>190</v>
      </c>
      <c r="G53" t="s">
        <v>191</v>
      </c>
      <c r="L53">
        <v>1</v>
      </c>
      <c r="O53" t="s">
        <v>27</v>
      </c>
      <c r="P53" t="s">
        <v>27</v>
      </c>
      <c r="Q53" t="s">
        <v>225</v>
      </c>
      <c r="R53" t="s">
        <v>27</v>
      </c>
      <c r="S53" t="s">
        <v>27</v>
      </c>
      <c r="T53" t="s">
        <v>57</v>
      </c>
      <c r="U53" t="str">
        <f t="shared" si="0"/>
        <v>{dwID=15445,nLevel=0,nStackNum=0,nIconID=6802,szContent="红羽大将军",szNote="红羽大将军_CD_BUFF",bEnable=true,bFlipHideVoid=false,bFlipHideOthers=false,tKungfu={},tTargetKungfu={},tMap={bAll=false,[101]=true,},aSoundAppear={},aSoundDisappear={},szUUID="3704CD0C-0466-4376-9021-2D833AF960BC",},</v>
      </c>
    </row>
    <row r="54" spans="1:21" x14ac:dyDescent="0.15">
      <c r="A54">
        <v>13</v>
      </c>
      <c r="B54">
        <v>15447</v>
      </c>
      <c r="C54">
        <v>0</v>
      </c>
      <c r="D54">
        <v>0</v>
      </c>
      <c r="E54">
        <v>6994</v>
      </c>
      <c r="F54" t="s">
        <v>192</v>
      </c>
      <c r="G54" t="s">
        <v>193</v>
      </c>
      <c r="L54">
        <v>1</v>
      </c>
      <c r="O54" t="s">
        <v>27</v>
      </c>
      <c r="P54" t="s">
        <v>27</v>
      </c>
      <c r="Q54" t="s">
        <v>226</v>
      </c>
      <c r="R54" t="s">
        <v>27</v>
      </c>
      <c r="S54" t="s">
        <v>27</v>
      </c>
      <c r="T54" t="s">
        <v>57</v>
      </c>
      <c r="U54" t="str">
        <f t="shared" si="0"/>
        <v>{dwID=15447,nLevel=0,nStackNum=0,nIconID=6994,szContent="商周客",szNote="商周客_CD_BUFF",bEnable=true,bFlipHideVoid=false,bFlipHideOthers=false,tKungfu={},tTargetKungfu={},tMap={bAll=false,[103]=true,},aSoundAppear={},aSoundDisappear={},szUUID="3704CD0C-0466-4376-9021-2D833AF960BC",},</v>
      </c>
    </row>
    <row r="55" spans="1:21" x14ac:dyDescent="0.15">
      <c r="A55">
        <v>14</v>
      </c>
      <c r="B55">
        <v>15446</v>
      </c>
      <c r="C55">
        <v>0</v>
      </c>
      <c r="D55">
        <v>0</v>
      </c>
      <c r="E55">
        <v>6631</v>
      </c>
      <c r="F55" t="s">
        <v>194</v>
      </c>
      <c r="G55" t="s">
        <v>195</v>
      </c>
      <c r="L55">
        <v>1</v>
      </c>
      <c r="O55" t="s">
        <v>27</v>
      </c>
      <c r="P55" t="s">
        <v>27</v>
      </c>
      <c r="Q55" t="s">
        <v>152</v>
      </c>
      <c r="R55" t="s">
        <v>27</v>
      </c>
      <c r="S55" t="s">
        <v>27</v>
      </c>
      <c r="T55" t="s">
        <v>196</v>
      </c>
      <c r="U55" t="str">
        <f t="shared" si="0"/>
        <v>{dwID=15446,nLevel=0,nStackNum=0,nIconID=6631,szContent="果果",szNote="果果_CD_BUFF",bEnable=true,bFlipHideVoid=false,bFlipHideOthers=false,tKungfu={},tTargetKungfu={},tMap={bAll=false,[194]=true,},aSoundAppear={},aSoundDisappear={},szUUID="FEDC1290-CB3E-4D12-A255-52EE10328FAD",},</v>
      </c>
    </row>
    <row r="56" spans="1:21" x14ac:dyDescent="0.15">
      <c r="A56">
        <v>15</v>
      </c>
      <c r="B56">
        <v>10125</v>
      </c>
      <c r="C56">
        <v>0</v>
      </c>
      <c r="D56">
        <v>0</v>
      </c>
      <c r="E56">
        <v>7931</v>
      </c>
      <c r="F56" t="s">
        <v>218</v>
      </c>
      <c r="G56" t="s">
        <v>197</v>
      </c>
      <c r="L56">
        <v>1</v>
      </c>
      <c r="O56" t="s">
        <v>27</v>
      </c>
      <c r="P56" t="s">
        <v>27</v>
      </c>
      <c r="Q56" t="s">
        <v>214</v>
      </c>
      <c r="R56" t="s">
        <v>27</v>
      </c>
      <c r="S56" t="s">
        <v>27</v>
      </c>
      <c r="T56" t="s">
        <v>57</v>
      </c>
      <c r="U56" t="str">
        <f t="shared" si="0"/>
        <v>{dwID=10125,nLevel=0,nStackNum=0,nIconID=7931,szContent="胜负局",szNote="胜负局_CD_BUFF",bEnable=true,bFlipHideVoid=false,bFlipHideOthers=false,tKungfu={},tTargetKungfu={},tMap={bAll=false,[215]=true,},aSoundAppear={},aSoundDisappear={},szUUID="3704CD0C-0466-4376-9021-2D833AF960BC",},</v>
      </c>
    </row>
    <row r="57" spans="1:21" x14ac:dyDescent="0.15">
      <c r="A57">
        <v>16</v>
      </c>
      <c r="B57">
        <v>10141</v>
      </c>
      <c r="C57">
        <v>0</v>
      </c>
      <c r="D57">
        <v>0</v>
      </c>
      <c r="E57">
        <v>7931</v>
      </c>
      <c r="F57" t="s">
        <v>198</v>
      </c>
      <c r="G57" t="s">
        <v>199</v>
      </c>
      <c r="L57">
        <v>1</v>
      </c>
      <c r="O57" t="s">
        <v>27</v>
      </c>
      <c r="P57" t="s">
        <v>27</v>
      </c>
      <c r="Q57" t="s">
        <v>214</v>
      </c>
      <c r="R57" t="s">
        <v>27</v>
      </c>
      <c r="S57" t="s">
        <v>27</v>
      </c>
      <c r="T57" t="s">
        <v>186</v>
      </c>
      <c r="U57" t="str">
        <f t="shared" si="0"/>
        <v>{dwID=10141,nLevel=0,nStackNum=0,nIconID=7931,szContent="胜负局·间隔",szNote="胜负局_间隔时间BUFF",bEnable=true,bFlipHideVoid=false,bFlipHideOthers=false,tKungfu={},tTargetKungfu={},tMap={bAll=false,[215]=true,},aSoundAppear={},aSoundDisappear={},szUUID="B6F0F15C-C1F4-43B0-934C-E7075F232F4D",},</v>
      </c>
    </row>
    <row r="58" spans="1:21" x14ac:dyDescent="0.15">
      <c r="A58">
        <v>17</v>
      </c>
      <c r="B58">
        <v>10199</v>
      </c>
      <c r="C58">
        <v>0</v>
      </c>
      <c r="D58">
        <v>0</v>
      </c>
      <c r="E58">
        <v>7931</v>
      </c>
      <c r="F58" t="s">
        <v>200</v>
      </c>
      <c r="G58" t="s">
        <v>201</v>
      </c>
      <c r="L58">
        <v>1</v>
      </c>
      <c r="O58" t="s">
        <v>27</v>
      </c>
      <c r="P58" t="s">
        <v>27</v>
      </c>
      <c r="Q58" t="s">
        <v>214</v>
      </c>
      <c r="R58" t="s">
        <v>27</v>
      </c>
      <c r="S58" t="s">
        <v>27</v>
      </c>
      <c r="T58" t="s">
        <v>98</v>
      </c>
      <c r="U58" t="str">
        <f t="shared" si="0"/>
        <v>{dwID=10199,nLevel=0,nStackNum=0,nIconID=7931,szContent="胜负局·记录",szNote="胜负局_记录_BUFF",bEnable=true,bFlipHideVoid=false,bFlipHideOthers=false,tKungfu={},tTargetKungfu={},tMap={bAll=false,[215]=true,},aSoundAppear={},aSoundDisappear={},szUUID="D76C5FD4-050A-4CB7-9F3E-F2EF88EA2ED2",},</v>
      </c>
    </row>
    <row r="59" spans="1:21" x14ac:dyDescent="0.15">
      <c r="A59">
        <v>20</v>
      </c>
      <c r="B59">
        <v>11894</v>
      </c>
      <c r="C59">
        <v>0</v>
      </c>
      <c r="D59">
        <v>0</v>
      </c>
      <c r="E59">
        <v>1372</v>
      </c>
      <c r="F59" t="s">
        <v>219</v>
      </c>
      <c r="G59" t="s">
        <v>202</v>
      </c>
      <c r="L59">
        <v>1</v>
      </c>
      <c r="O59" t="s">
        <v>27</v>
      </c>
      <c r="P59" t="s">
        <v>27</v>
      </c>
      <c r="Q59" t="s">
        <v>220</v>
      </c>
      <c r="R59" t="s">
        <v>27</v>
      </c>
      <c r="S59" t="s">
        <v>27</v>
      </c>
      <c r="T59" t="s">
        <v>203</v>
      </c>
      <c r="U59" t="str">
        <f t="shared" si="0"/>
        <v>{dwID=11894,nLevel=0,nStackNum=0,nIconID=1372,szContent="东海客·封印",szNote="东海客_隔日CD",bEnable=true,bFlipHideVoid=false,bFlipHideOthers=false,tKungfu={},tTargetKungfu={},tMap={bAll=false,[22]=true,},aSoundAppear={},aSoundDisappear={},szUUID="42FC080C-6E2C-4033-AD61-26C400E83810",},</v>
      </c>
    </row>
    <row r="60" spans="1:21" x14ac:dyDescent="0.15">
      <c r="A60">
        <v>21</v>
      </c>
      <c r="B60">
        <v>11895</v>
      </c>
      <c r="C60">
        <v>0</v>
      </c>
      <c r="D60">
        <v>0</v>
      </c>
      <c r="E60">
        <v>9248</v>
      </c>
      <c r="F60" t="s">
        <v>204</v>
      </c>
      <c r="G60" t="s">
        <v>205</v>
      </c>
      <c r="L60">
        <v>1</v>
      </c>
      <c r="O60" t="s">
        <v>27</v>
      </c>
      <c r="P60" t="s">
        <v>27</v>
      </c>
      <c r="Q60" t="s">
        <v>220</v>
      </c>
      <c r="R60" t="s">
        <v>27</v>
      </c>
      <c r="S60" t="s">
        <v>27</v>
      </c>
      <c r="T60" t="s">
        <v>206</v>
      </c>
      <c r="U60" t="str">
        <f t="shared" si="0"/>
        <v>{dwID=11895,nLevel=0,nStackNum=0,nIconID=9248,szContent="东海客",szNote="东海客_触发CD标记",bEnable=true,bFlipHideVoid=false,bFlipHideOthers=false,tKungfu={},tTargetKungfu={},tMap={bAll=false,[22]=true,},aSoundAppear={},aSoundDisappear={},szUUID="6C66DFF6-0C98-4CD8-A7AF-1FCDA46FB5B4",},</v>
      </c>
    </row>
    <row r="61" spans="1:21" x14ac:dyDescent="0.15">
      <c r="A61">
        <v>23</v>
      </c>
      <c r="B61">
        <v>12830</v>
      </c>
      <c r="C61">
        <v>0</v>
      </c>
      <c r="D61">
        <v>0</v>
      </c>
      <c r="E61">
        <v>10052</v>
      </c>
      <c r="F61" t="s">
        <v>209</v>
      </c>
      <c r="G61" t="s">
        <v>228</v>
      </c>
      <c r="L61">
        <v>1</v>
      </c>
      <c r="O61" t="s">
        <v>27</v>
      </c>
      <c r="P61" t="s">
        <v>27</v>
      </c>
      <c r="Q61" t="s">
        <v>229</v>
      </c>
      <c r="R61" t="s">
        <v>27</v>
      </c>
      <c r="S61" t="s">
        <v>27</v>
      </c>
      <c r="T61" t="s">
        <v>210</v>
      </c>
      <c r="U61" t="str">
        <f t="shared" si="0"/>
        <v>{dwID=12830,nLevel=0,nStackNum=0,nIconID=10052,szContent="戎马边·封印",szNote="戎马边_定时",bEnable=true,bFlipHideVoid=false,bFlipHideOthers=false,tKungfu={},tTargetKungfu={},tMap={bAll=false,[193] = true,[197] = true,},aSoundAppear={},aSoundDisappear={},szUUID="462C6316-7528-4545-81CC-F0622510D316",},</v>
      </c>
    </row>
    <row r="62" spans="1:21" x14ac:dyDescent="0.15">
      <c r="A62">
        <v>24</v>
      </c>
      <c r="B62">
        <v>10753</v>
      </c>
      <c r="C62">
        <v>0</v>
      </c>
      <c r="D62">
        <v>0</v>
      </c>
      <c r="E62">
        <v>8134</v>
      </c>
      <c r="F62" t="s">
        <v>211</v>
      </c>
      <c r="G62" t="s">
        <v>212</v>
      </c>
      <c r="L62">
        <v>1</v>
      </c>
      <c r="O62" t="s">
        <v>27</v>
      </c>
      <c r="P62" t="s">
        <v>27</v>
      </c>
      <c r="Q62" t="s">
        <v>230</v>
      </c>
      <c r="R62" t="s">
        <v>27</v>
      </c>
      <c r="S62" t="s">
        <v>27</v>
      </c>
      <c r="T62" t="s">
        <v>213</v>
      </c>
      <c r="U62" t="str">
        <f t="shared" si="0"/>
        <v>{dwID=10753,nLevel=0,nStackNum=0,nIconID=8134,szContent="石敢当·封印",szNote="石敢当奇遇日常buff",bEnable=true,bFlipHideVoid=false,bFlipHideOthers=false,tKungfu={},tTargetKungfu={},tMap={bAll=false,[108] = true,},aSoundAppear={},aSoundDisappear={},szUUID="61908FF2-2934-4611-B6FB-7FF9D7C6991F",},</v>
      </c>
    </row>
    <row r="63" spans="1:21" x14ac:dyDescent="0.15">
      <c r="A63" t="s">
        <v>21</v>
      </c>
      <c r="B63" t="s">
        <v>124</v>
      </c>
      <c r="C63" t="s">
        <v>156</v>
      </c>
      <c r="D63" t="s">
        <v>158</v>
      </c>
      <c r="E63" t="s">
        <v>125</v>
      </c>
      <c r="F63">
        <v>215.28498196359999</v>
      </c>
      <c r="G63">
        <v>-35.780410765710002</v>
      </c>
      <c r="H63" t="s">
        <v>126</v>
      </c>
      <c r="I63" t="s">
        <v>126</v>
      </c>
      <c r="U63" t="str">
        <f t="shared" si="0"/>
        <v>},},{bCdBar = false,bCdCircle = true,bCdFlash = false,bCdReadySpark = true,bDraggable = false,bEnable = true,bHideOthers = false,bHideVoid = true,bIgnoreSystemUIScale = true,bPenetrable = false,bPlaySound = true,bShowName = true,fIconFontScale = 1,fOtherFontScale = 1,fScale = 0.9,nCdBarWidth = 240,nDecimalTime = 3,nMaxLineCount = 6,szAlignment = "LEFT",szAuthor = "荷花鲤",szBoxBgUITex = "",szCdBarUITex = "/ui/Image/Common/Money.UITex|208",szTarget = "TARGET",szTitle = "目标隐藏气劲",szType = "BUFF",szVersion = "2024/02/27",szUUID = "hehuali-mubiaoyincangqijin-1",tAnchor = {x = 215.2849819636,y = -35.78041076571,s = "CENTER",r = "CENTER",},aMonitor = {</v>
      </c>
    </row>
    <row r="64" spans="1:21" x14ac:dyDescent="0.15">
      <c r="A64">
        <v>38</v>
      </c>
      <c r="B64">
        <v>22019</v>
      </c>
      <c r="C64">
        <v>0</v>
      </c>
      <c r="D64">
        <v>0</v>
      </c>
      <c r="E64">
        <v>3452</v>
      </c>
      <c r="F64" t="s">
        <v>127</v>
      </c>
      <c r="G64" t="s">
        <v>128</v>
      </c>
      <c r="L64">
        <v>1</v>
      </c>
      <c r="O64" t="s">
        <v>27</v>
      </c>
      <c r="P64" t="s">
        <v>129</v>
      </c>
      <c r="Q64" t="s">
        <v>130</v>
      </c>
      <c r="R64" t="s">
        <v>27</v>
      </c>
      <c r="S64" t="s">
        <v>27</v>
      </c>
      <c r="T64" t="s">
        <v>131</v>
      </c>
      <c r="U64" t="str">
        <f t="shared" si="0"/>
        <v>{dwID=22019,nLevel=0,nStackNum=0,nIconID=3452,szContent="破绽",szNote="通用_破绽层数标记",bEnable=true,bFlipHideVoid=false,bFlipHideOthers=false,tKungfu={},tTargetKungfu={bAll=false,bNpc=true,},tMap={bAll=false,[-13]=true,},aSoundAppear={},aSoundDisappear={},szUUID="83642ED2-D976-4DB9-8C5D-D9495C41E674",},</v>
      </c>
    </row>
    <row r="65" spans="1:21" x14ac:dyDescent="0.15">
      <c r="A65">
        <v>39</v>
      </c>
      <c r="B65">
        <v>24916</v>
      </c>
      <c r="C65">
        <v>0</v>
      </c>
      <c r="D65">
        <v>0</v>
      </c>
      <c r="E65">
        <v>3453</v>
      </c>
      <c r="F65" t="s">
        <v>132</v>
      </c>
      <c r="G65" t="s">
        <v>133</v>
      </c>
      <c r="L65">
        <v>1</v>
      </c>
      <c r="O65" t="s">
        <v>27</v>
      </c>
      <c r="P65" t="s">
        <v>129</v>
      </c>
      <c r="Q65" t="s">
        <v>130</v>
      </c>
      <c r="R65" t="s">
        <v>27</v>
      </c>
      <c r="S65" t="s">
        <v>27</v>
      </c>
      <c r="T65" t="s">
        <v>134</v>
      </c>
      <c r="U65" t="str">
        <f t="shared" si="0"/>
        <v>{dwID=24916,nLevel=0,nStackNum=0,nIconID=3453,szContent="连闪",szNote="通用_EX技_破绽标识buff",bEnable=true,bFlipHideVoid=false,bFlipHideOthers=false,tKungfu={},tTargetKungfu={bAll=false,bNpc=true,},tMap={bAll=false,[-13]=true,},aSoundAppear={},aSoundDisappear={},szUUID="92B2289E-83B2-4E9B-9919-4B03FEE657E2",},</v>
      </c>
    </row>
    <row r="66" spans="1:21" x14ac:dyDescent="0.15">
      <c r="A66">
        <v>40</v>
      </c>
      <c r="B66">
        <v>24878</v>
      </c>
      <c r="C66">
        <v>0</v>
      </c>
      <c r="D66">
        <v>0</v>
      </c>
      <c r="E66">
        <v>342</v>
      </c>
      <c r="G66" t="s">
        <v>135</v>
      </c>
      <c r="L66">
        <v>1</v>
      </c>
      <c r="O66" t="s">
        <v>27</v>
      </c>
      <c r="P66" t="s">
        <v>129</v>
      </c>
      <c r="Q66" t="s">
        <v>130</v>
      </c>
      <c r="R66" t="s">
        <v>27</v>
      </c>
      <c r="S66" t="s">
        <v>27</v>
      </c>
      <c r="T66" t="s">
        <v>136</v>
      </c>
      <c r="U66" t="str">
        <f t="shared" ref="U66:U72" si="1">IF(AND(A65&lt;&gt;"",A66=""),"},},}",IF(A66="#项目标签",IF(LOWER(U65)="return{",D66,"},},"&amp;D66),IF(A66="","","{dwID="&amp;B66&amp;",nLevel="&amp;C66&amp;","&amp;"nStackNum="&amp;D66&amp;","&amp;"nIconID="&amp;E66&amp;","&amp;"szContent="""&amp;F66&amp;""","&amp;"szNote="""&amp;G66&amp;""","&amp;IF(H66="","","aContentColor="&amp;H66&amp;",")&amp;IF(I66="","","szGroup="""&amp;I66&amp;""",")&amp;IF(J66="","","szGroupID="""&amp;J66&amp;""",")&amp;IF(K66="","","szExtentAnimate="""&amp;K66&amp;""",")&amp;IF(OR(L66=0,L66="",L66="否",L66="假",LOWER(L66)="false"),"bEnable="&amp;"false"&amp;",","bEnable="&amp;"true"&amp;",")&amp;IF(OR(M66=0,M66="",M66="否",M66="假",LOWER(M66)="false"),"bFlipHideVoid="&amp;"false"&amp;",","bFlipHideVoid="&amp;"true"&amp;",")&amp;IF(OR(N66=0,N66="",N66="否",N66="假",LOWER(N66)="false"),"bFlipHideOthers="&amp;"false"&amp;",","bFlipHideOthers="&amp;"true"&amp;",")&amp;"tKungfu="&amp;O66&amp;","&amp;"tTargetKungfu="&amp;P66&amp;","&amp;"tMap="&amp;Q66&amp;","&amp;"aSoundAppear="&amp;R66&amp;","&amp;"aSoundDisappear="&amp;S66&amp;","&amp;"szUUID="""&amp;T66&amp;""",},")))</f>
        <v>{dwID=24878,nLevel=0,nStackNum=0,nIconID=342,szContent="",szNote="真元连闪",bEnable=true,bFlipHideVoid=false,bFlipHideOthers=false,tKungfu={},tTargetKungfu={bAll=false,bNpc=true,},tMap={bAll=false,[-13]=true,},aSoundAppear={},aSoundDisappear={},szUUID="C9EE48AA-B2BE-48E0-B1D9-4FACDB75B8A6",},</v>
      </c>
    </row>
    <row r="67" spans="1:21" x14ac:dyDescent="0.15">
      <c r="A67">
        <v>41</v>
      </c>
      <c r="B67">
        <v>6415</v>
      </c>
      <c r="C67">
        <v>0</v>
      </c>
      <c r="D67">
        <v>0</v>
      </c>
      <c r="E67">
        <v>332</v>
      </c>
      <c r="F67" t="s">
        <v>137</v>
      </c>
      <c r="G67" t="s">
        <v>138</v>
      </c>
      <c r="L67">
        <v>1</v>
      </c>
      <c r="O67" t="s">
        <v>139</v>
      </c>
      <c r="P67" t="s">
        <v>27</v>
      </c>
      <c r="Q67" t="s">
        <v>26</v>
      </c>
      <c r="R67" t="s">
        <v>27</v>
      </c>
      <c r="S67" t="s">
        <v>27</v>
      </c>
      <c r="T67" t="s">
        <v>140</v>
      </c>
      <c r="U67" t="str">
        <f t="shared" si="1"/>
        <v>{dwID=6415,nLevel=0,nStackNum=0,nIconID=332,szContent="涓埃",szNote="奇穴长针春泥内置CD",bEnable=true,bFlipHideVoid=false,bFlipHideOthers=false,tKungfu={bAll=false,[10028]=true,},tTargetKungfu={},tMap={bAll=true,},aSoundAppear={},aSoundDisappear={},szUUID="472020CC-5A24-4AB6-9373-DB8616985540",},</v>
      </c>
    </row>
    <row r="68" spans="1:21" x14ac:dyDescent="0.15">
      <c r="A68">
        <v>42</v>
      </c>
      <c r="B68">
        <v>8720</v>
      </c>
      <c r="C68">
        <v>0</v>
      </c>
      <c r="D68">
        <v>0</v>
      </c>
      <c r="E68">
        <v>6122</v>
      </c>
      <c r="F68" t="s">
        <v>141</v>
      </c>
      <c r="G68" t="s">
        <v>142</v>
      </c>
      <c r="L68">
        <v>1</v>
      </c>
      <c r="O68" t="s">
        <v>27</v>
      </c>
      <c r="P68" t="s">
        <v>27</v>
      </c>
      <c r="Q68" t="s">
        <v>152</v>
      </c>
      <c r="R68" t="s">
        <v>27</v>
      </c>
      <c r="S68" t="s">
        <v>27</v>
      </c>
      <c r="T68" t="s">
        <v>143</v>
      </c>
      <c r="U68" t="str">
        <f t="shared" si="1"/>
        <v>{dwID=8720,nLevel=0,nStackNum=0,nIconID=6122,szContent="俘虏偷懒",szNote="狼牙俘虏偷懒",bEnable=true,bFlipHideVoid=false,bFlipHideOthers=false,tKungfu={},tTargetKungfu={},tMap={bAll=false,[194]=true,},aSoundAppear={},aSoundDisappear={},szUUID="7B1A6CF2-D3D8-460B-A3A9-56038EB4DD36",},</v>
      </c>
    </row>
    <row r="69" spans="1:21" x14ac:dyDescent="0.15">
      <c r="A69">
        <v>43</v>
      </c>
      <c r="B69">
        <v>10422</v>
      </c>
      <c r="C69">
        <v>1</v>
      </c>
      <c r="D69">
        <v>0</v>
      </c>
      <c r="E69">
        <v>237</v>
      </c>
      <c r="F69" t="s">
        <v>144</v>
      </c>
      <c r="G69" t="s">
        <v>145</v>
      </c>
      <c r="L69">
        <v>1</v>
      </c>
      <c r="O69" t="s">
        <v>27</v>
      </c>
      <c r="P69" t="s">
        <v>27</v>
      </c>
      <c r="Q69" t="s">
        <v>153</v>
      </c>
      <c r="R69" t="s">
        <v>27</v>
      </c>
      <c r="S69" t="s">
        <v>27</v>
      </c>
      <c r="T69" t="s">
        <v>146</v>
      </c>
      <c r="U69" t="str">
        <f t="shared" si="1"/>
        <v>{dwID=10422,nLevel=1,nStackNum=0,nIconID=237,szContent="喝酒",szNote="丐帮_喝酒泡泡",bEnable=true,bFlipHideVoid=false,bFlipHideOthers=false,tKungfu={},tTargetKungfu={},tMap={bAll=false,[159]=true,},aSoundAppear={},aSoundDisappear={},szUUID="C8780202-5754-45FE-9FEB-364049ABBD44",},</v>
      </c>
    </row>
    <row r="70" spans="1:21" x14ac:dyDescent="0.15">
      <c r="A70">
        <v>44</v>
      </c>
      <c r="B70">
        <v>10422</v>
      </c>
      <c r="C70">
        <v>2</v>
      </c>
      <c r="D70">
        <v>0</v>
      </c>
      <c r="E70">
        <v>87</v>
      </c>
      <c r="F70" t="s">
        <v>147</v>
      </c>
      <c r="G70" t="s">
        <v>148</v>
      </c>
      <c r="L70">
        <v>1</v>
      </c>
      <c r="O70" t="s">
        <v>27</v>
      </c>
      <c r="P70" t="s">
        <v>27</v>
      </c>
      <c r="Q70" t="s">
        <v>153</v>
      </c>
      <c r="R70" t="s">
        <v>27</v>
      </c>
      <c r="S70" t="s">
        <v>27</v>
      </c>
      <c r="T70" t="s">
        <v>149</v>
      </c>
      <c r="U70" t="str">
        <f t="shared" si="1"/>
        <v>{dwID=10422,nLevel=2,nStackNum=0,nIconID=87,szContent="吃肉",szNote="丐帮_吃肉泡泡",bEnable=true,bFlipHideVoid=false,bFlipHideOthers=false,tKungfu={},tTargetKungfu={},tMap={bAll=false,[159]=true,},aSoundAppear={},aSoundDisappear={},szUUID="E43496E6-310E-4174-98A3-7D7E3FD9845F",},</v>
      </c>
    </row>
    <row r="71" spans="1:21" x14ac:dyDescent="0.15">
      <c r="U71" t="str">
        <f t="shared" si="1"/>
        <v>},},}</v>
      </c>
    </row>
    <row r="72" spans="1:21" x14ac:dyDescent="0.15">
      <c r="U72" t="str">
        <f t="shared" si="1"/>
        <v/>
      </c>
    </row>
  </sheetData>
  <phoneticPr fontId="18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茗伊目标监控_1712856129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荷花鲤</dc:creator>
  <dcterms:created xsi:type="dcterms:W3CDTF">2024-04-11T17:22:11Z</dcterms:created>
  <dcterms:modified xsi:type="dcterms:W3CDTF">2024-04-30T17:25:43Z</dcterms:modified>
</cp:coreProperties>
</file>