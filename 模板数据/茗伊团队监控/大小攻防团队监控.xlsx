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426"/>
  <workbookPr dateCompatibility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10\剑网3\工具代码\output\茗伊团队监控\合并\"/>
    </mc:Choice>
  </mc:AlternateContent>
  <xr:revisionPtr revIDLastSave="0" documentId="13_ncr:9_{DDCCD6A3-9F49-433A-AED1-F930BB3B5B31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茗伊团队监控数据总控" sheetId="2" r:id="rId1"/>
    <sheet name="字典" sheetId="4" r:id="rId2"/>
    <sheet name="有利气劲" sheetId="14" r:id="rId3"/>
    <sheet name="不利气劲" sheetId="15" r:id="rId4"/>
    <sheet name="系统角色" sheetId="12" r:id="rId5"/>
    <sheet name="交互物件" sheetId="13" r:id="rId6"/>
    <sheet name="角色喊话" sheetId="10" r:id="rId7"/>
    <sheet name="系统频道" sheetId="11" r:id="rId8"/>
  </sheets>
  <definedNames>
    <definedName name="_xlnm._FilterDatabase" localSheetId="4" hidden="1">系统角色!$I$1:$I$322</definedName>
    <definedName name="JunSun1" localSheetId="5">DATE(交互物件!日历年份,6,1)-WEEKDAY(DATE(交互物件!日历年份,6,1))</definedName>
    <definedName name="JunSun1" localSheetId="4">DATE(系统角色!日历年份,6,1)-WEEKDAY(DATE(系统角色!日历年份,6,1))</definedName>
    <definedName name="JunSun1">DATE(日历年份,6,1)-WEEKDAY(DATE(日历年份,6,1))</definedName>
    <definedName name="日历年份" localSheetId="5">#REF!</definedName>
    <definedName name="日历年份" localSheetId="4">#REF!</definedName>
    <definedName name="日历年份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33" i="11"/>
  <c r="S34" i="11"/>
  <c r="S35" i="11"/>
  <c r="S36" i="11"/>
  <c r="S37" i="11"/>
  <c r="S38" i="11"/>
  <c r="S39" i="11"/>
  <c r="S40" i="11"/>
  <c r="S41" i="11"/>
  <c r="S42" i="11"/>
  <c r="S43" i="11"/>
  <c r="S44" i="11"/>
  <c r="S45" i="11"/>
  <c r="S46" i="11"/>
  <c r="S47" i="11"/>
  <c r="S48" i="11"/>
  <c r="S49" i="11"/>
  <c r="S50" i="11"/>
  <c r="S51" i="11"/>
  <c r="S52" i="11"/>
  <c r="S53" i="11"/>
  <c r="S54" i="11"/>
  <c r="S55" i="11"/>
  <c r="S56" i="11"/>
  <c r="S57" i="11"/>
  <c r="S58" i="11"/>
  <c r="S59" i="11"/>
  <c r="S60" i="11"/>
  <c r="S61" i="11"/>
  <c r="S62" i="11"/>
  <c r="S63" i="11"/>
  <c r="S64" i="11"/>
  <c r="S65" i="11"/>
  <c r="S66" i="11"/>
  <c r="S67" i="11"/>
  <c r="S68" i="11"/>
  <c r="S69" i="11"/>
  <c r="S70" i="11"/>
  <c r="S71" i="11"/>
  <c r="S72" i="11"/>
  <c r="S73" i="11"/>
  <c r="S74" i="11"/>
  <c r="S75" i="11"/>
  <c r="S76" i="11"/>
  <c r="S77" i="11"/>
  <c r="S78" i="11"/>
  <c r="S79" i="11"/>
  <c r="S80" i="11"/>
  <c r="S81" i="11"/>
  <c r="S82" i="11"/>
  <c r="S83" i="11"/>
  <c r="S84" i="11"/>
  <c r="S85" i="11"/>
  <c r="S86" i="11"/>
  <c r="S87" i="11"/>
  <c r="S88" i="11"/>
  <c r="S89" i="11"/>
  <c r="S90" i="11"/>
  <c r="S91" i="11"/>
  <c r="S92" i="11"/>
  <c r="S93" i="11"/>
  <c r="S94" i="11"/>
  <c r="S95" i="11"/>
  <c r="S96" i="11"/>
  <c r="S97" i="11"/>
  <c r="S98" i="11"/>
  <c r="S99" i="11"/>
  <c r="S100" i="11"/>
  <c r="S101" i="11"/>
  <c r="S102" i="11"/>
  <c r="S103" i="11"/>
  <c r="S104" i="11"/>
  <c r="S105" i="11"/>
  <c r="S106" i="11"/>
  <c r="S107" i="11"/>
  <c r="S108" i="11"/>
  <c r="S109" i="11"/>
  <c r="S110" i="11"/>
  <c r="S111" i="11"/>
  <c r="S112" i="11"/>
  <c r="S113" i="11"/>
  <c r="S114" i="11"/>
  <c r="S115" i="11"/>
  <c r="S116" i="11"/>
  <c r="S117" i="11"/>
  <c r="S118" i="11"/>
  <c r="S119" i="11"/>
  <c r="S120" i="11"/>
  <c r="S121" i="11"/>
  <c r="S122" i="11"/>
  <c r="S123" i="11"/>
  <c r="S124" i="11"/>
  <c r="S125" i="11"/>
  <c r="S126" i="11"/>
  <c r="S127" i="11"/>
  <c r="S128" i="11"/>
  <c r="S129" i="11"/>
  <c r="S130" i="11"/>
  <c r="S131" i="11"/>
  <c r="S132" i="11"/>
  <c r="S133" i="11"/>
  <c r="S134" i="11"/>
  <c r="S135" i="11"/>
  <c r="S136" i="11"/>
  <c r="S137" i="11"/>
  <c r="S138" i="11"/>
  <c r="S139" i="11"/>
  <c r="S140" i="11"/>
  <c r="S141" i="11"/>
  <c r="S142" i="11"/>
  <c r="S143" i="11"/>
  <c r="S144" i="11"/>
  <c r="S145" i="11"/>
  <c r="S146" i="11"/>
  <c r="S147" i="11"/>
  <c r="S148" i="11"/>
  <c r="S149" i="11"/>
  <c r="S150" i="11"/>
  <c r="S151" i="11"/>
  <c r="S152" i="11"/>
  <c r="S153" i="11"/>
  <c r="S154" i="11"/>
  <c r="S155" i="11"/>
  <c r="S156" i="11"/>
  <c r="S157" i="11"/>
  <c r="S158" i="11"/>
  <c r="S159" i="11"/>
  <c r="S160" i="11"/>
  <c r="S161" i="11"/>
  <c r="S162" i="11"/>
  <c r="S163" i="11"/>
  <c r="S164" i="11"/>
  <c r="S165" i="11"/>
  <c r="S166" i="11"/>
  <c r="S167" i="11"/>
  <c r="S168" i="11"/>
  <c r="S169" i="11"/>
  <c r="S170" i="11"/>
  <c r="S171" i="11"/>
  <c r="S172" i="11"/>
  <c r="S173" i="11"/>
  <c r="S174" i="11"/>
  <c r="S175" i="11"/>
  <c r="S176" i="11"/>
  <c r="S177" i="11"/>
  <c r="S178" i="11"/>
  <c r="S179" i="11"/>
  <c r="S180" i="11"/>
  <c r="S181" i="11"/>
  <c r="S182" i="11"/>
  <c r="AM3" i="15"/>
  <c r="AM4" i="15"/>
  <c r="AM5" i="15"/>
  <c r="R2" i="10" l="1"/>
  <c r="AM3" i="14" l="1"/>
  <c r="AM4" i="14"/>
  <c r="AM5" i="14"/>
  <c r="AM6" i="14"/>
  <c r="AM7" i="14"/>
  <c r="AM8" i="14"/>
  <c r="AM9" i="14"/>
  <c r="AM2" i="14"/>
  <c r="V3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2" i="12"/>
  <c r="T3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2" i="13"/>
  <c r="S2" i="11"/>
  <c r="S27" i="10" l="1"/>
  <c r="S26" i="10"/>
  <c r="S25" i="10"/>
  <c r="S24" i="10"/>
  <c r="S18" i="10"/>
  <c r="S17" i="10"/>
  <c r="S16" i="10"/>
  <c r="S15" i="10"/>
  <c r="AM2" i="15" l="1"/>
  <c r="R81" i="10" l="1"/>
  <c r="T27" i="10" l="1"/>
  <c r="T26" i="10"/>
  <c r="T25" i="10"/>
  <c r="T24" i="10"/>
  <c r="T23" i="10"/>
  <c r="T22" i="10"/>
  <c r="T21" i="10"/>
  <c r="T20" i="10"/>
  <c r="T11" i="10"/>
  <c r="T18" i="10"/>
  <c r="T17" i="10"/>
  <c r="T16" i="10"/>
  <c r="T15" i="10"/>
  <c r="T14" i="10"/>
  <c r="T13" i="10"/>
  <c r="T12" i="10"/>
  <c r="T29" i="11" l="1"/>
  <c r="T30" i="11"/>
  <c r="T31" i="11"/>
  <c r="T32" i="11"/>
  <c r="T33" i="11"/>
  <c r="T34" i="11"/>
  <c r="T35" i="11"/>
  <c r="T36" i="11"/>
  <c r="T37" i="11"/>
  <c r="T38" i="11"/>
  <c r="T39" i="11"/>
  <c r="T28" i="11"/>
  <c r="T17" i="11"/>
  <c r="T18" i="11"/>
  <c r="T19" i="11"/>
  <c r="T20" i="11"/>
  <c r="T21" i="11"/>
  <c r="T22" i="11"/>
  <c r="T23" i="11"/>
  <c r="T24" i="11"/>
  <c r="T25" i="11"/>
  <c r="T26" i="11"/>
  <c r="T27" i="11"/>
  <c r="T16" i="11"/>
  <c r="S13" i="10" l="1"/>
  <c r="V29" i="11"/>
  <c r="V30" i="11"/>
  <c r="V31" i="11"/>
  <c r="V32" i="11"/>
  <c r="V33" i="11"/>
  <c r="V34" i="11"/>
  <c r="V35" i="11"/>
  <c r="V36" i="11"/>
  <c r="V37" i="11"/>
  <c r="V38" i="11"/>
  <c r="V39" i="11"/>
  <c r="S23" i="10" l="1"/>
  <c r="S22" i="10"/>
  <c r="S21" i="10"/>
  <c r="S20" i="10"/>
  <c r="S12" i="10"/>
  <c r="S14" i="10"/>
  <c r="S11" i="10"/>
  <c r="V28" i="11"/>
  <c r="V17" i="11"/>
  <c r="V18" i="11"/>
  <c r="V19" i="11"/>
  <c r="V20" i="11"/>
  <c r="V21" i="11"/>
  <c r="V22" i="11"/>
  <c r="V23" i="11"/>
  <c r="V24" i="11"/>
  <c r="V25" i="11"/>
  <c r="V26" i="11"/>
  <c r="V27" i="11"/>
  <c r="V16" i="11"/>
  <c r="U17" i="11" l="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16" i="11"/>
  <c r="A4" i="2" l="1"/>
  <c r="B33" i="4" l="1"/>
  <c r="U2" i="4" l="1"/>
  <c r="S2" i="4"/>
</calcChain>
</file>

<file path=xl/sharedStrings.xml><?xml version="1.0" encoding="utf-8"?>
<sst xmlns="http://purl.oclc.org/ooxml/spreadsheetml/main" count="4311" uniqueCount="2229">
  <si>
    <t>标识</t>
  </si>
  <si>
    <t>dwID</t>
  </si>
  <si>
    <t>等级</t>
  </si>
  <si>
    <t>备注信息</t>
  </si>
  <si>
    <t>0,255,0</t>
  </si>
  <si>
    <t>万花</t>
  </si>
  <si>
    <t>七秀</t>
  </si>
  <si>
    <t>龙门荒漠</t>
  </si>
  <si>
    <t>浩气盟</t>
  </si>
  <si>
    <t>恶人谷</t>
  </si>
  <si>
    <t>瞿塘峡</t>
  </si>
  <si>
    <t>七十级云湖天池</t>
  </si>
  <si>
    <t>唐门</t>
  </si>
  <si>
    <t>明教</t>
  </si>
  <si>
    <t>丐帮</t>
  </si>
  <si>
    <t>长安城</t>
  </si>
  <si>
    <t>浮香丘</t>
  </si>
  <si>
    <t>五台山</t>
  </si>
  <si>
    <t>阴山大草原</t>
  </si>
  <si>
    <t>黑戈壁</t>
  </si>
  <si>
    <t>洛阳城</t>
  </si>
  <si>
    <t>霸刀山庄</t>
  </si>
  <si>
    <t>云梦幽泽</t>
  </si>
  <si>
    <t>龙泉府</t>
  </si>
  <si>
    <t>经首道源岛</t>
  </si>
  <si>
    <t>鲲鹏岛</t>
  </si>
  <si>
    <t>雪山温泉</t>
  </si>
  <si>
    <t>天原绝境</t>
  </si>
  <si>
    <t>晟江</t>
  </si>
  <si>
    <t>万灵山庄</t>
  </si>
  <si>
    <t>罗小黑建木海</t>
  </si>
  <si>
    <t>szLang = "zhcn",</t>
    <phoneticPr fontId="18" type="noConversion"/>
  </si>
  <si>
    <t>语言，默认可不修改</t>
    <phoneticPr fontId="18" type="noConversion"/>
  </si>
  <si>
    <t>导出时的玩家名称</t>
    <phoneticPr fontId="18" type="noConversion"/>
  </si>
  <si>
    <t>时间戳</t>
    <phoneticPr fontId="18" type="noConversion"/>
  </si>
  <si>
    <t>导出时的服务器名称</t>
    <phoneticPr fontId="18" type="noConversion"/>
  </si>
  <si>
    <t>数据推荐官方语音包uuid</t>
    <phoneticPr fontId="18" type="noConversion"/>
  </si>
  <si>
    <t>数据推荐插件语音包uuid</t>
    <phoneticPr fontId="18" type="noConversion"/>
  </si>
  <si>
    <t>__meta = {</t>
    <phoneticPr fontId="18" type="noConversion"/>
  </si>
  <si>
    <t>},</t>
    <phoneticPr fontId="18" type="noConversion"/>
  </si>
  <si>
    <t>紫霞功</t>
  </si>
  <si>
    <t>DEBUFF</t>
  </si>
  <si>
    <t>洗髓经</t>
  </si>
  <si>
    <t>易筋经</t>
  </si>
  <si>
    <t>血战天策</t>
  </si>
  <si>
    <t>标记</t>
  </si>
  <si>
    <t>栖灵洞天</t>
  </si>
  <si>
    <t>pet_Type</t>
    <phoneticPr fontId="18" type="noConversion"/>
  </si>
  <si>
    <t>Source</t>
    <phoneticPr fontId="18" type="noConversion"/>
  </si>
  <si>
    <t>出行饲料</t>
    <phoneticPr fontId="18" type="noConversion"/>
  </si>
  <si>
    <t>宠物对应饲料</t>
    <phoneticPr fontId="18" type="noConversion"/>
  </si>
  <si>
    <t>宠物类型</t>
    <phoneticPr fontId="18" type="noConversion"/>
  </si>
  <si>
    <t>服务器</t>
    <phoneticPr fontId="18" type="noConversion"/>
  </si>
  <si>
    <t>鱼虾类</t>
    <phoneticPr fontId="18" type="noConversion"/>
  </si>
  <si>
    <t>小鱼虾</t>
    <phoneticPr fontId="18" type="noConversion"/>
  </si>
  <si>
    <t>禽鸟</t>
    <phoneticPr fontId="18" type="noConversion"/>
  </si>
  <si>
    <t>杂粮谷物</t>
  </si>
  <si>
    <t>猪</t>
    <phoneticPr fontId="18" type="noConversion"/>
  </si>
  <si>
    <t>家畜</t>
    <phoneticPr fontId="18" type="noConversion"/>
  </si>
  <si>
    <t>绝代天骄</t>
    <phoneticPr fontId="18" type="noConversion"/>
  </si>
  <si>
    <t>电信八区</t>
    <phoneticPr fontId="18" type="noConversion"/>
  </si>
  <si>
    <t>水族</t>
  </si>
  <si>
    <t>锦绣霓裳活动</t>
    <phoneticPr fontId="18" type="noConversion"/>
  </si>
  <si>
    <t>谷物类</t>
    <phoneticPr fontId="18" type="noConversion"/>
  </si>
  <si>
    <t>羊</t>
    <phoneticPr fontId="18" type="noConversion"/>
  </si>
  <si>
    <t>稻香村</t>
  </si>
  <si>
    <t>斗转星移</t>
    <phoneticPr fontId="18" type="noConversion"/>
  </si>
  <si>
    <t>电信五区</t>
    <phoneticPr fontId="18" type="noConversion"/>
  </si>
  <si>
    <t>大师赛竞猜</t>
    <phoneticPr fontId="18" type="noConversion"/>
  </si>
  <si>
    <t>肉类</t>
    <phoneticPr fontId="18" type="noConversion"/>
  </si>
  <si>
    <t>封家小块肉排</t>
  </si>
  <si>
    <t>皇竹草</t>
    <phoneticPr fontId="18" type="noConversion"/>
  </si>
  <si>
    <t>马</t>
    <phoneticPr fontId="18" type="noConversion"/>
  </si>
  <si>
    <t>唯我独尊</t>
    <phoneticPr fontId="18" type="noConversion"/>
  </si>
  <si>
    <t>走兽</t>
    <phoneticPr fontId="18" type="noConversion"/>
  </si>
  <si>
    <t>积分福袋</t>
    <phoneticPr fontId="18" type="noConversion"/>
  </si>
  <si>
    <t>机关组装零件</t>
    <phoneticPr fontId="18" type="noConversion"/>
  </si>
  <si>
    <t>猫科</t>
    <phoneticPr fontId="18" type="noConversion"/>
  </si>
  <si>
    <t>1024_蓝天白云</t>
  </si>
  <si>
    <t>乾坤一掷</t>
    <phoneticPr fontId="18" type="noConversion"/>
  </si>
  <si>
    <t>机关</t>
    <phoneticPr fontId="18" type="noConversion"/>
  </si>
  <si>
    <t>未知</t>
    <phoneticPr fontId="18" type="noConversion"/>
  </si>
  <si>
    <t>啮齿类</t>
    <phoneticPr fontId="18" type="noConversion"/>
  </si>
  <si>
    <t>磨牙棒</t>
  </si>
  <si>
    <t>犬科</t>
    <phoneticPr fontId="18" type="noConversion"/>
  </si>
  <si>
    <t>少林</t>
  </si>
  <si>
    <t>横刀断浪</t>
    <phoneticPr fontId="18" type="noConversion"/>
  </si>
  <si>
    <t>世界奇遇</t>
    <phoneticPr fontId="18" type="noConversion"/>
  </si>
  <si>
    <t>异宠类</t>
    <phoneticPr fontId="18" type="noConversion"/>
  </si>
  <si>
    <t>草饼</t>
  </si>
  <si>
    <t>啮齿</t>
    <phoneticPr fontId="18" type="noConversion"/>
  </si>
  <si>
    <t>扬州</t>
  </si>
  <si>
    <t>剑胆琴心</t>
    <phoneticPr fontId="18" type="noConversion"/>
  </si>
  <si>
    <t>积分回馈</t>
    <phoneticPr fontId="18" type="noConversion"/>
  </si>
  <si>
    <t>草料类</t>
    <phoneticPr fontId="18" type="noConversion"/>
  </si>
  <si>
    <t>纯阳</t>
  </si>
  <si>
    <t>幽月轮</t>
    <phoneticPr fontId="18" type="noConversion"/>
  </si>
  <si>
    <t>秘境奇遇</t>
    <phoneticPr fontId="18" type="noConversion"/>
  </si>
  <si>
    <t>异宠</t>
    <phoneticPr fontId="18" type="noConversion"/>
  </si>
  <si>
    <t>洛阳</t>
  </si>
  <si>
    <t>梦江南</t>
    <phoneticPr fontId="18" type="noConversion"/>
  </si>
  <si>
    <t>门派特有</t>
    <phoneticPr fontId="18" type="noConversion"/>
  </si>
  <si>
    <t>任何</t>
    <phoneticPr fontId="18" type="noConversion"/>
  </si>
  <si>
    <t>蜀黍</t>
    <phoneticPr fontId="18" type="noConversion"/>
  </si>
  <si>
    <t>洛道</t>
  </si>
  <si>
    <t>执子之手</t>
    <phoneticPr fontId="18" type="noConversion"/>
  </si>
  <si>
    <t>游戏活动</t>
    <phoneticPr fontId="18" type="noConversion"/>
  </si>
  <si>
    <t>寇岛</t>
  </si>
  <si>
    <t>飞龙在天</t>
    <phoneticPr fontId="18" type="noConversion"/>
  </si>
  <si>
    <t>双线二区</t>
    <phoneticPr fontId="18" type="noConversion"/>
  </si>
  <si>
    <t>限时宠物</t>
    <phoneticPr fontId="18" type="noConversion"/>
  </si>
  <si>
    <t>天策</t>
  </si>
  <si>
    <t>破阵子</t>
    <phoneticPr fontId="18" type="noConversion"/>
  </si>
  <si>
    <t>双线一区</t>
    <phoneticPr fontId="18" type="noConversion"/>
  </si>
  <si>
    <t>运营活动</t>
    <phoneticPr fontId="18" type="noConversion"/>
  </si>
  <si>
    <t>枫华谷</t>
  </si>
  <si>
    <t>天鹅坪</t>
    <phoneticPr fontId="18" type="noConversion"/>
  </si>
  <si>
    <t>金水镇</t>
  </si>
  <si>
    <t>长安城</t>
    <phoneticPr fontId="18" type="noConversion"/>
  </si>
  <si>
    <t>电信一区</t>
    <phoneticPr fontId="18" type="noConversion"/>
  </si>
  <si>
    <t>灵霄峡</t>
  </si>
  <si>
    <t>蝶恋花</t>
    <phoneticPr fontId="18" type="noConversion"/>
  </si>
  <si>
    <t>长安</t>
  </si>
  <si>
    <t>龙争虎斗</t>
    <phoneticPr fontId="18" type="noConversion"/>
  </si>
  <si>
    <t>青梅煮酒</t>
    <phoneticPr fontId="18" type="noConversion"/>
  </si>
  <si>
    <t>双线四区</t>
    <phoneticPr fontId="18" type="noConversion"/>
  </si>
  <si>
    <t>天工坊</t>
  </si>
  <si>
    <t>奉天证道</t>
    <phoneticPr fontId="18" type="noConversion"/>
  </si>
  <si>
    <t>无盐岛</t>
  </si>
  <si>
    <t>空雾峰</t>
  </si>
  <si>
    <t>天地三才阵</t>
  </si>
  <si>
    <t>巴陵县</t>
  </si>
  <si>
    <t>南屏山</t>
  </si>
  <si>
    <t>荻花宫前山</t>
  </si>
  <si>
    <t>日轮山城</t>
  </si>
  <si>
    <t>五十级云湖天池</t>
  </si>
  <si>
    <t>昆仑</t>
  </si>
  <si>
    <t>特殊光照地图2</t>
  </si>
  <si>
    <t>战宝迦兰</t>
  </si>
  <si>
    <t>天子峰</t>
  </si>
  <si>
    <t>风雨稻香村</t>
  </si>
  <si>
    <t>英雄天地三才阵</t>
  </si>
  <si>
    <t>英雄天工坊</t>
  </si>
  <si>
    <t>神农洇</t>
  </si>
  <si>
    <t>四十级云湖天池</t>
  </si>
  <si>
    <t>英雄荻花宫前山</t>
  </si>
  <si>
    <t>英雄无盐岛</t>
  </si>
  <si>
    <t>英雄天子峰</t>
  </si>
  <si>
    <t>英雄空雾峰</t>
  </si>
  <si>
    <t>英雄日轮山城</t>
  </si>
  <si>
    <t>英雄灵霄峡</t>
  </si>
  <si>
    <t>英雄战宝迦兰</t>
  </si>
  <si>
    <t>英雄风雨稻香村</t>
  </si>
  <si>
    <t>珍珑棋谷</t>
  </si>
  <si>
    <t>藏剑山庄</t>
  </si>
  <si>
    <t>丝绸之路</t>
  </si>
  <si>
    <t>剑冢</t>
  </si>
  <si>
    <t>邀星坪_夜射天狼</t>
  </si>
  <si>
    <t>守株围场_打猎</t>
  </si>
  <si>
    <t>困龙岭_梅花桩</t>
  </si>
  <si>
    <t>陷空坳_宇文宝藏</t>
  </si>
  <si>
    <t>百草园</t>
  </si>
  <si>
    <t>持国天王殿</t>
  </si>
  <si>
    <t>宫中神武遗迹</t>
  </si>
  <si>
    <t>英雄剑冢</t>
  </si>
  <si>
    <t>英雄宫中神武遗迹</t>
  </si>
  <si>
    <t>25人普通宫中神武遗迹</t>
  </si>
  <si>
    <t>25人普通持国天王殿</t>
  </si>
  <si>
    <t>英雄持国天王殿</t>
  </si>
  <si>
    <t>荻花宫后山</t>
  </si>
  <si>
    <t>荻花圣殿</t>
  </si>
  <si>
    <t>10人英雄荻花圣殿</t>
  </si>
  <si>
    <t>25人普通荻花圣殿</t>
  </si>
  <si>
    <t>仙踪林</t>
  </si>
  <si>
    <t>25人英雄荻花圣殿</t>
  </si>
  <si>
    <t>英雄荻花宫后山</t>
  </si>
  <si>
    <t>帮会领地</t>
  </si>
  <si>
    <t>毒神殿</t>
  </si>
  <si>
    <t>白龙口</t>
  </si>
  <si>
    <t>无量山</t>
  </si>
  <si>
    <t>五毒</t>
  </si>
  <si>
    <t>融天岭</t>
  </si>
  <si>
    <t>黑龙沼</t>
  </si>
  <si>
    <t>苍山洱海</t>
  </si>
  <si>
    <t>法王窟</t>
  </si>
  <si>
    <t>无量宫</t>
  </si>
  <si>
    <t>成都</t>
  </si>
  <si>
    <t>龙渊泽</t>
  </si>
  <si>
    <t>寂灭厅</t>
  </si>
  <si>
    <t>英雄仙踪林</t>
  </si>
  <si>
    <t>英雄毒神殿</t>
  </si>
  <si>
    <t>英雄寂灭厅</t>
  </si>
  <si>
    <t>英雄无量宫</t>
  </si>
  <si>
    <t>英雄法王窟</t>
  </si>
  <si>
    <t>低级仙踪林</t>
  </si>
  <si>
    <t>25人英雄龙渊泽</t>
  </si>
  <si>
    <t>25人普通龙渊泽</t>
  </si>
  <si>
    <t>10人英雄龙渊泽</t>
  </si>
  <si>
    <t>荻花洞窟</t>
  </si>
  <si>
    <t>英雄神农洇</t>
  </si>
  <si>
    <t>低级唐门密室</t>
  </si>
  <si>
    <t>唐门密室</t>
  </si>
  <si>
    <t>神剑冢</t>
  </si>
  <si>
    <t>天山碎冰谷</t>
  </si>
  <si>
    <t>乐山大佛窟</t>
  </si>
  <si>
    <t>华山之巅</t>
  </si>
  <si>
    <t>英雄荻花洞窟</t>
  </si>
  <si>
    <t>持国天王回忆录</t>
  </si>
  <si>
    <t>25人英雄烛龙殿</t>
  </si>
  <si>
    <t>烛龙殿</t>
  </si>
  <si>
    <t>三国古战场</t>
  </si>
  <si>
    <t>会战唐门</t>
  </si>
  <si>
    <t>大漠楼兰</t>
  </si>
  <si>
    <t>25人英雄会战唐门</t>
  </si>
  <si>
    <t>枫华谷·战乱</t>
  </si>
  <si>
    <t>南诏皇宫</t>
  </si>
  <si>
    <t>光明顶秘道</t>
  </si>
  <si>
    <t>低级光明顶秘道</t>
  </si>
  <si>
    <t>试炼之地</t>
  </si>
  <si>
    <t>英雄持国回忆录</t>
  </si>
  <si>
    <t>雪原争锋</t>
  </si>
  <si>
    <t>洛阳·战乱</t>
  </si>
  <si>
    <t>大唐监狱</t>
  </si>
  <si>
    <t>马嵬驿</t>
  </si>
  <si>
    <t>英雄南诏皇宫</t>
  </si>
  <si>
    <t>长安·战乱</t>
  </si>
  <si>
    <t>英雄一线天</t>
  </si>
  <si>
    <t>天策·战乱</t>
  </si>
  <si>
    <t>战宝军械库</t>
  </si>
  <si>
    <t>华清宫</t>
  </si>
  <si>
    <t>英雄华清宫</t>
  </si>
  <si>
    <t>华清宫回忆录</t>
  </si>
  <si>
    <t>大明宫</t>
  </si>
  <si>
    <t>英雄大明宫</t>
  </si>
  <si>
    <t>一线天</t>
  </si>
  <si>
    <t>流离岛</t>
  </si>
  <si>
    <t>英雄流离岛</t>
  </si>
  <si>
    <t>英雄战宝军械库</t>
  </si>
  <si>
    <t>齐物阁</t>
  </si>
  <si>
    <t>迷仙引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</si>
  <si>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</si>
  <si>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</si>
  <si>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</si>
  <si>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</si>
  <si>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</si>
  <si>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</si>
  <si>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</si>
  <si>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</si>
  <si>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春明门</t>
  </si>
  <si>
    <t>藏宝洞·野人谷</t>
  </si>
  <si>
    <t>藏宝洞·夜狼山</t>
  </si>
  <si>
    <t>太原之战·夜守孤城</t>
  </si>
  <si>
    <t>太原之战·逐虎驱狼</t>
  </si>
  <si>
    <t>苍云</t>
  </si>
  <si>
    <t>太原</t>
  </si>
  <si>
    <t>雁门关之役</t>
  </si>
  <si>
    <t>普通雁门关之役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</si>
  <si>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</si>
  <si>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</si>
  <si>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</si>
  <si>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</si>
  <si>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</si>
  <si>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</si>
  <si>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</si>
  <si>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</si>
  <si>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</si>
  <si>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</si>
  <si>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</si>
  <si>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千岛湖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</si>
  <si>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</si>
  <si>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</si>
  <si>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</si>
  <si>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</si>
  <si>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</si>
  <si>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</si>
  <si>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</si>
  <si>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</si>
  <si>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</si>
  <si>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</si>
  <si>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</si>
  <si>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</si>
  <si>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</si>
  <si>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</si>
  <si>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</si>
  <si>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</si>
  <si>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</si>
  <si>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</si>
  <si>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</si>
  <si>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上阳宫_观风殿</t>
  </si>
  <si>
    <t>上阳宫_双曜亭</t>
  </si>
  <si>
    <t>白帝水宫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</si>
  <si>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</si>
  <si>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</si>
  <si>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</si>
  <si>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</si>
  <si>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</si>
  <si>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</si>
  <si>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</si>
  <si>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</si>
  <si>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</si>
  <si>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</si>
  <si>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</si>
  <si>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</si>
  <si>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</si>
  <si>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</si>
  <si>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</si>
  <si>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</si>
  <si>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</si>
  <si>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</si>
  <si>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</si>
  <si>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</si>
  <si>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</si>
  <si>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</si>
  <si>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</si>
  <si>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</si>
  <si>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</si>
  <si>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</si>
  <si>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</si>
  <si>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</si>
  <si>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</si>
  <si>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  <phoneticPr fontId="18" type="noConversion"/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</si>
  <si>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</si>
  <si>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</si>
  <si>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</si>
  <si>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</si>
  <si>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</si>
  <si>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</si>
  <si>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</si>
  <si>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</si>
  <si>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</si>
  <si>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</si>
  <si>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</si>
  <si>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</si>
  <si>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</si>
  <si>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</si>
  <si>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</si>
  <si>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</si>
  <si>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</si>
  <si>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</si>
  <si>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</si>
  <si>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</si>
  <si>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</si>
  <si>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</si>
  <si>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</si>
  <si>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</si>
  <si>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</si>
  <si>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</si>
  <si>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</si>
  <si>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</si>
  <si>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</si>
  <si>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</si>
  <si>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</si>
  <si>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</si>
  <si>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</si>
  <si>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</si>
  <si>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</si>
  <si>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李渡鬼域</t>
  </si>
  <si>
    <t>帮会狼牙堡_辉天堑</t>
  </si>
  <si>
    <t>帮会狼牙堡_狼神殿</t>
  </si>
  <si>
    <t>洞天福地岛</t>
  </si>
  <si>
    <t>九寨沟</t>
  </si>
  <si>
    <t>侠客岛</t>
  </si>
  <si>
    <t>蓬莱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</si>
  <si>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</si>
  <si>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</si>
  <si>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</si>
  <si>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</si>
  <si>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</si>
  <si>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</si>
  <si>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</si>
  <si>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</si>
  <si>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</si>
  <si>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</si>
  <si>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</si>
  <si>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</si>
  <si>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</si>
  <si>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</si>
  <si>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</si>
  <si>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</si>
  <si>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</si>
  <si>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</si>
  <si>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</si>
  <si>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</si>
  <si>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</si>
  <si>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</si>
  <si>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</si>
  <si>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</si>
  <si>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</si>
  <si>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</si>
  <si>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</si>
  <si>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</si>
  <si>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</si>
  <si>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</si>
  <si>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</si>
  <si>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</si>
  <si>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</si>
  <si>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</si>
  <si>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</si>
  <si>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</si>
  <si>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</si>
  <si>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</si>
  <si>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</si>
  <si>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</si>
  <si>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</si>
  <si>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</si>
  <si>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</si>
  <si>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</si>
  <si>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</si>
  <si>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</si>
  <si>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</si>
  <si>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</si>
  <si>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</si>
  <si>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</si>
  <si>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</si>
  <si>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</si>
  <si>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</si>
  <si>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</si>
  <si>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</si>
  <si>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</si>
  <si>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</si>
  <si>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</si>
  <si>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</si>
  <si>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</si>
  <si>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</si>
  <si>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</si>
  <si>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</si>
  <si>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</si>
  <si>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</si>
  <si>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</si>
  <si>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</si>
  <si>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</si>
  <si>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</si>
  <si>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</si>
  <si>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</si>
  <si>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</si>
  <si>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</si>
  <si>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</si>
  <si>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</si>
  <si>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</si>
  <si>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</si>
  <si>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</si>
  <si>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</si>
  <si>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</si>
  <si>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</si>
  <si>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</si>
  <si>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</si>
  <si>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</si>
  <si>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</si>
  <si>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</si>
  <si>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</si>
  <si>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</si>
  <si>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</si>
  <si>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</si>
  <si>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</si>
  <si>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</si>
  <si>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</si>
  <si>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</si>
  <si>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</si>
  <si>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</si>
  <si>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</si>
  <si>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</si>
  <si>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</si>
  <si>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</si>
  <si>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</si>
  <si>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</si>
  <si>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</si>
  <si>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</si>
  <si>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</si>
  <si>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</si>
  <si>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</si>
  <si>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</si>
  <si>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</si>
  <si>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</si>
  <si>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</si>
  <si>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</si>
  <si>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</si>
  <si>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</si>
  <si>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</si>
  <si>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</si>
  <si>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</si>
  <si>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</si>
  <si>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</si>
  <si>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</si>
  <si>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</si>
  <si>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</si>
  <si>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</si>
  <si>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</si>
  <si>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</si>
  <si>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</si>
  <si>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</si>
  <si>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</si>
  <si>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</si>
  <si>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</si>
  <si>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</si>
  <si>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</si>
  <si>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</si>
  <si>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</si>
  <si>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</si>
  <si>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</si>
  <si>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</si>
  <si>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</si>
  <si>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</si>
  <si>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</si>
  <si>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</si>
  <si>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</si>
  <si>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</si>
  <si>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</si>
  <si>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</si>
  <si>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</si>
  <si>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</si>
  <si>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</si>
  <si>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</si>
  <si>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</si>
  <si>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</si>
  <si>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</si>
  <si>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</si>
  <si>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</si>
  <si>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</si>
  <si>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</si>
  <si>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</si>
  <si>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</si>
  <si>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</si>
  <si>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</si>
  <si>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</si>
  <si>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</si>
  <si>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</si>
  <si>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</si>
  <si>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</si>
  <si>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</si>
  <si>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</si>
  <si>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</si>
  <si>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</si>
  <si>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</si>
  <si>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</si>
  <si>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</si>
  <si>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</si>
  <si>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</si>
  <si>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</si>
  <si>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</si>
  <si>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</si>
  <si>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</si>
  <si>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</si>
  <si>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刀宗</t>
  </si>
  <si>
    <t>百溪</t>
  </si>
  <si>
    <t>烂柯山</t>
  </si>
  <si>
    <t>楚州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</si>
  <si>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</si>
  <si>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</si>
  <si>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</si>
  <si>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</si>
  <si>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</si>
  <si>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</si>
  <si>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</si>
  <si>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</si>
  <si>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</si>
  <si>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</si>
  <si>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</si>
  <si>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</si>
  <si>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</si>
  <si>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</si>
  <si>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</si>
  <si>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</si>
  <si>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</si>
  <si>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</si>
  <si>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</si>
  <si>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</si>
  <si>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</si>
  <si>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</si>
  <si>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</si>
  <si>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</si>
  <si>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</si>
  <si>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</si>
  <si>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</si>
  <si>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</si>
  <si>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</si>
  <si>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</si>
  <si>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</si>
  <si>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</si>
  <si>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</si>
  <si>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</si>
  <si>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</si>
  <si>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</si>
  <si>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</si>
  <si>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</si>
  <si>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</si>
  <si>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</si>
  <si>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</si>
  <si>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</si>
  <si>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</si>
  <si>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</si>
  <si>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</si>
  <si>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</si>
  <si>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</si>
  <si>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</si>
  <si>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</si>
  <si>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</si>
  <si>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</si>
  <si>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</si>
  <si>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</si>
  <si>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</si>
  <si>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</si>
  <si>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</si>
  <si>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</si>
  <si>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</si>
  <si>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</si>
  <si>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</si>
  <si>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</si>
  <si>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</si>
  <si>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</si>
  <si>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</si>
  <si>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</si>
  <si>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</si>
  <si>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</si>
  <si>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</si>
  <si>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英雄栖灵洞天</t>
  </si>
  <si>
    <t>新旧贴花测试_新</t>
  </si>
  <si>
    <t>新旧贴画测试_旧</t>
  </si>
  <si>
    <t>登陆界面_2023_001</t>
  </si>
  <si>
    <t>八荒衡鉴·仙踪林</t>
    <phoneticPr fontId="18" type="noConversion"/>
  </si>
  <si>
    <t>浩气盟</t>
    <phoneticPr fontId="18" type="noConversion"/>
  </si>
  <si>
    <t>恶人谷</t>
    <phoneticPr fontId="18" type="noConversion"/>
  </si>
  <si>
    <t>藏剑</t>
  </si>
  <si>
    <t>长歌</t>
  </si>
  <si>
    <t>霸刀</t>
  </si>
  <si>
    <t>凌雪</t>
  </si>
  <si>
    <t>衍天</t>
  </si>
  <si>
    <t>药宗</t>
  </si>
  <si>
    <t>万灵</t>
    <phoneticPr fontId="18" type="noConversion"/>
  </si>
  <si>
    <t>160,30,30</t>
  </si>
  <si>
    <t>255,178,95</t>
  </si>
  <si>
    <t>255,111,83</t>
  </si>
  <si>
    <t>121,183,54</t>
  </si>
  <si>
    <t>214,249,93</t>
  </si>
  <si>
    <t>205,133,63</t>
  </si>
  <si>
    <t>240,70,96</t>
  </si>
  <si>
    <t>180,60,0</t>
  </si>
  <si>
    <t>161,9,34</t>
  </si>
  <si>
    <t>166,83,251</t>
  </si>
  <si>
    <t>0,172,153</t>
  </si>
  <si>
    <t>255,50,50</t>
  </si>
  <si>
    <t>绿色</t>
  </si>
  <si>
    <t>黄色</t>
  </si>
  <si>
    <t>255,255,0</t>
  </si>
  <si>
    <t>紫色</t>
  </si>
  <si>
    <t>255,50,255</t>
  </si>
  <si>
    <t>蓝色</t>
  </si>
  <si>
    <t>0,50,255</t>
  </si>
  <si>
    <t>红色</t>
    <phoneticPr fontId="18" type="noConversion"/>
  </si>
  <si>
    <t>青色</t>
    <phoneticPr fontId="18" type="noConversion"/>
  </si>
  <si>
    <t>白色</t>
    <phoneticPr fontId="18" type="noConversion"/>
  </si>
  <si>
    <t>橙色</t>
    <phoneticPr fontId="18" type="noConversion"/>
  </si>
  <si>
    <t>255,150,0</t>
    <phoneticPr fontId="18" type="noConversion"/>
  </si>
  <si>
    <t>0,255,255</t>
    <phoneticPr fontId="18" type="noConversion"/>
  </si>
  <si>
    <t>淡黄</t>
    <phoneticPr fontId="18" type="noConversion"/>
  </si>
  <si>
    <t>223,191,31</t>
    <phoneticPr fontId="18" type="noConversion"/>
  </si>
  <si>
    <t>嫩绿</t>
    <phoneticPr fontId="18" type="noConversion"/>
  </si>
  <si>
    <t>179,238,74</t>
    <phoneticPr fontId="18" type="noConversion"/>
  </si>
  <si>
    <t>粉色</t>
    <phoneticPr fontId="18" type="noConversion"/>
  </si>
  <si>
    <t>灰色</t>
    <phoneticPr fontId="18" type="noConversion"/>
  </si>
  <si>
    <t>金色</t>
    <phoneticPr fontId="18" type="noConversion"/>
  </si>
  <si>
    <t>255,204,0</t>
    <phoneticPr fontId="18" type="noConversion"/>
  </si>
  <si>
    <t>淡紫</t>
    <phoneticPr fontId="18" type="noConversion"/>
  </si>
  <si>
    <t>165,96,232</t>
    <phoneticPr fontId="18" type="noConversion"/>
  </si>
  <si>
    <t>淡绿</t>
    <phoneticPr fontId="18" type="noConversion"/>
  </si>
  <si>
    <t>0,238,0</t>
    <phoneticPr fontId="18" type="noConversion"/>
  </si>
  <si>
    <t>太虚剑意</t>
  </si>
  <si>
    <t>花间游</t>
  </si>
  <si>
    <t>离经易道</t>
  </si>
  <si>
    <t>傲血战意</t>
  </si>
  <si>
    <t>铁牢律</t>
  </si>
  <si>
    <t>冰心诀</t>
  </si>
  <si>
    <t>云裳心经</t>
  </si>
  <si>
    <t>毒经</t>
  </si>
  <si>
    <t>补天诀</t>
  </si>
  <si>
    <t>惊羽诀</t>
  </si>
  <si>
    <t>天罗诡道</t>
  </si>
  <si>
    <t>问水诀</t>
  </si>
  <si>
    <t>山居剑意</t>
  </si>
  <si>
    <t>笑尘诀</t>
  </si>
  <si>
    <t>焚影圣诀</t>
  </si>
  <si>
    <t>明尊琉璃体</t>
  </si>
  <si>
    <t>铁骨衣</t>
  </si>
  <si>
    <t>分山劲</t>
  </si>
  <si>
    <t>莫问</t>
  </si>
  <si>
    <t>相知</t>
  </si>
  <si>
    <t>北傲诀</t>
  </si>
  <si>
    <t>凌海诀</t>
  </si>
  <si>
    <t>隐龙诀</t>
  </si>
  <si>
    <t>太玄经</t>
  </si>
  <si>
    <t>灵素</t>
  </si>
  <si>
    <t>无方</t>
  </si>
  <si>
    <t>心法</t>
    <phoneticPr fontId="18" type="noConversion"/>
  </si>
  <si>
    <t>通用</t>
    <phoneticPr fontId="18" type="noConversion"/>
  </si>
  <si>
    <t>BUFF</t>
  </si>
  <si>
    <t>有利气劲</t>
  </si>
  <si>
    <t>CASTING</t>
  </si>
  <si>
    <t>NPC</t>
  </si>
  <si>
    <t>DOODAD</t>
  </si>
  <si>
    <t>TALK</t>
  </si>
  <si>
    <t>CHAT</t>
  </si>
  <si>
    <t>不利气劲</t>
  </si>
  <si>
    <t>武学招式</t>
  </si>
  <si>
    <t>系统角色</t>
  </si>
  <si>
    <t>交互物件</t>
  </si>
  <si>
    <t>角色喊话</t>
  </si>
  <si>
    <t>系统频道</t>
  </si>
  <si>
    <t>团队面板</t>
    <phoneticPr fontId="18" type="noConversion"/>
  </si>
  <si>
    <t>值类型</t>
  </si>
  <si>
    <t>描述</t>
  </si>
  <si>
    <t>nStackNum</t>
  </si>
  <si>
    <t>整数</t>
  </si>
  <si>
    <t>触发层数</t>
  </si>
  <si>
    <t>nStackNum = 3</t>
  </si>
  <si>
    <t>szStackOp</t>
  </si>
  <si>
    <t>字符串</t>
  </si>
  <si>
    <t>触发逻辑（数学比较运算符）</t>
  </si>
  <si>
    <t>szStackOp = "="</t>
  </si>
  <si>
    <t>布尔</t>
  </si>
  <si>
    <t>仅来源自己</t>
  </si>
  <si>
    <t>bOnlyMine = true</t>
  </si>
  <si>
    <t>bOnlyMe</t>
  </si>
  <si>
    <t>仅监控自己</t>
  </si>
  <si>
    <t>bOnlyMe = true</t>
  </si>
  <si>
    <t>szReminder</t>
  </si>
  <si>
    <t>备注</t>
  </si>
  <si>
    <t>szReminder = "xxx"</t>
  </si>
  <si>
    <t>nPriority</t>
  </si>
  <si>
    <t>优先级（越小越高，0为最高）</t>
  </si>
  <si>
    <t>nPriority = 2</t>
  </si>
  <si>
    <t>col</t>
  </si>
  <si>
    <t>蒙版颜色 + 描边颜色</t>
  </si>
  <si>
    <t>col = "#3FDFBFA9"</t>
  </si>
  <si>
    <t>整数（0-255）</t>
  </si>
  <si>
    <t>描边透明度</t>
  </si>
  <si>
    <t>nColAlpha = 169</t>
  </si>
  <si>
    <t>蒙版警告</t>
  </si>
  <si>
    <t>bAttention = true</t>
  </si>
  <si>
    <t>bScreenHead</t>
  </si>
  <si>
    <t>开启头顶提示</t>
  </si>
  <si>
    <t>bScreenHead = true</t>
  </si>
  <si>
    <t>头顶提示颜色</t>
  </si>
  <si>
    <t>colScreenHead = "#DFBF3F"</t>
  </si>
  <si>
    <t>开启特效警告</t>
  </si>
  <si>
    <t>bCaution = true</t>
  </si>
  <si>
    <t>tRelation</t>
  </si>
  <si>
    <t>表</t>
  </si>
  <si>
    <t>目标关系</t>
  </si>
  <si>
    <t>-</t>
  </si>
  <si>
    <t>tLife</t>
  </si>
  <si>
    <t>目标血量百分比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</si>
  <si>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</si>
  <si>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</si>
  <si>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</si>
  <si>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</si>
  <si>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</si>
  <si>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</si>
  <si>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</si>
  <si>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</si>
  <si>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</si>
  <si>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</si>
  <si>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tRelation = {			--目标关系
    bAll = false,			--全部
    bEnemy = false,			--敌对目标
    bAlly = true,			--非敌对目标
},</t>
    <phoneticPr fontId="18" type="noConversion"/>
  </si>
  <si>
    <t>tLife = {				--目标气血限制
    bEnable = true,			--是否启用
    szOperator = "&gt;=",		--触发逻辑（对应气血百分比，=、!=、&lt;、&gt;=、&gt;、&lt;=）
    nValue = 60,			--气血百分比
},</t>
    <phoneticPr fontId="18" type="noConversion"/>
  </si>
  <si>
    <t>nClass</t>
  </si>
  <si>
    <t>nClass = 9</t>
  </si>
  <si>
    <t>nIcon</t>
  </si>
  <si>
    <t>计时条图标</t>
  </si>
  <si>
    <t>nIcon = 894</t>
  </si>
  <si>
    <t>nFrame</t>
  </si>
  <si>
    <t>倒计时条背景色（0橙,1粉,2红,3黄,4灰,5深蓝,6绿,7浅蓝,8紫,其他为透明）</t>
  </si>
  <si>
    <t>nFrame = 1</t>
  </si>
  <si>
    <t>bHold</t>
  </si>
  <si>
    <t>倒计时过图不消失</t>
  </si>
  <si>
    <t>bHold = true</t>
  </si>
  <si>
    <t>szName</t>
  </si>
  <si>
    <t>倒计时条显示文字</t>
  </si>
  <si>
    <t>szName = "倒计时 {$S565}"</t>
  </si>
  <si>
    <t>bTeamChannel</t>
  </si>
  <si>
    <t>是否开启团队喊话报警</t>
  </si>
  <si>
    <t>bTeamChannel = true</t>
  </si>
  <si>
    <t>nTime</t>
  </si>
  <si>
    <t>数字/字符串</t>
  </si>
  <si>
    <t>倒计时时间</t>
  </si>
  <si>
    <t>nTime = 10</t>
  </si>
  <si>
    <t>nRefresh</t>
  </si>
  <si>
    <t>重复调用时间限制</t>
  </si>
  <si>
    <t>nRefresh = 5</t>
  </si>
  <si>
    <t>key</t>
  </si>
  <si>
    <t>倒计时唯一标识</t>
  </si>
  <si>
    <t>key = "demo"</t>
  </si>
  <si>
    <t>动态属性编号</t>
    <phoneticPr fontId="18" type="noConversion"/>
  </si>
  <si>
    <t>焦点列表</t>
    <phoneticPr fontId="18" type="noConversion"/>
  </si>
  <si>
    <t>倒计时条</t>
    <phoneticPr fontId="18" type="noConversion"/>
  </si>
  <si>
    <t>键名</t>
  </si>
  <si>
    <t> 示例</t>
  </si>
  <si>
    <t>应用范围</t>
  </si>
  <si>
    <t>是否必须</t>
  </si>
  <si>
    <t>szNote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</si>
  <si>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</si>
  <si>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</si>
  <si>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</si>
  <si>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</si>
  <si>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</si>
  <si>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</si>
  <si>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</si>
  <si>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通用报警颜色</t>
  </si>
  <si>
    <t>col = {255,0,0}</t>
  </si>
  <si>
    <t>非完全通用部分包含：</t>
  </si>
  <si>
    <t>ID（编号）</t>
  </si>
  <si>
    <t>dwID = 684</t>
  </si>
  <si>
    <t>BUFF、DEBUFF、CASTING、NPC、DOODAD</t>
  </si>
  <si>
    <t>nLevel</t>
  </si>
  <si>
    <t>nLevel = 1</t>
  </si>
  <si>
    <t>BUFF、DEBUFF、CASTING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</si>
  <si>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</si>
  <si>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</si>
  <si>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</si>
  <si>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</si>
  <si>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</si>
  <si>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</si>
  <si>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自定义名称</t>
  </si>
  <si>
    <t>szName = "天地低昂"</t>
  </si>
  <si>
    <t>自定义图标</t>
  </si>
  <si>
    <t>nIcon = 1498</t>
  </si>
  <si>
    <t>监控对象类型（缺省-全部，1自身，2团队，3敌对，4当前目标）</t>
  </si>
  <si>
    <t>nScrutinyType = 2</t>
  </si>
  <si>
    <t>aCataclysmBuff</t>
  </si>
  <si>
    <t>茗伊团队框架buff设置</t>
  </si>
  <si>
    <t>BUFF、DEBUFF</t>
  </si>
  <si>
    <t>bMonTarget </t>
  </si>
  <si>
    <t>显示目标名称</t>
  </si>
  <si>
    <t>bMonTarget = true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</si>
  <si>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</si>
  <si>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</si>
  <si>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</si>
  <si>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</si>
  <si>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</si>
  <si>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</si>
  <si>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</si>
  <si>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</si>
  <si>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szTarget</t>
  </si>
  <si>
    <t>喊话对象</t>
  </si>
  <si>
    <t>szTarget = "xxx"</t>
  </si>
  <si>
    <t>szContent</t>
  </si>
  <si>
    <t>szContent = "xxx"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</si>
  <si>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</si>
  <si>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</si>
  <si>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</si>
  <si>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</si>
  <si>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</si>
  <si>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</si>
  <si>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</si>
  <si>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示例</t>
    <phoneticPr fontId="18" type="noConversion"/>
  </si>
  <si>
    <t>见《团队面板属性》</t>
    <phoneticPr fontId="18" type="noConversion"/>
  </si>
  <si>
    <t>自身心法要求（心法ID请参阅《心法ID表》）</t>
    <phoneticPr fontId="18" type="noConversion"/>
  </si>
  <si>
    <t>见《计时条属性》</t>
    <phoneticPr fontId="18" type="noConversion"/>
  </si>
  <si>
    <t>静态属性</t>
    <phoneticPr fontId="18" type="noConversion"/>
  </si>
  <si>
    <t>OTHER</t>
  </si>
  <si>
    <t>BUFF_GET</t>
  </si>
  <si>
    <t>获得BUFF</t>
  </si>
  <si>
    <t>BUFF_LOSE</t>
  </si>
  <si>
    <t>失去BUFF</t>
  </si>
  <si>
    <t>NPC_ENTER</t>
  </si>
  <si>
    <t>NPC进入场景</t>
  </si>
  <si>
    <t>NPC_LEAVE</t>
  </si>
  <si>
    <t>NPC离开场景</t>
  </si>
  <si>
    <t>NPC_TALK</t>
  </si>
  <si>
    <t>NPC说话信息(未使用)</t>
  </si>
  <si>
    <t>NPC_LIFE</t>
  </si>
  <si>
    <t>NPC气血值监控</t>
  </si>
  <si>
    <t>NPC_FIGHT</t>
  </si>
  <si>
    <t>NPC进入战斗</t>
  </si>
  <si>
    <t>SKILL_BEGIN</t>
  </si>
  <si>
    <t>技能开始释放</t>
  </si>
  <si>
    <t>SKILL_END</t>
  </si>
  <si>
    <t>技能成功(结束)释放</t>
  </si>
  <si>
    <t>SYS_TALK</t>
  </si>
  <si>
    <t>系统聊天信息(未使用)</t>
  </si>
  <si>
    <t>NPC_ALLLEAVE</t>
  </si>
  <si>
    <t>所有同一个NPC离开场景</t>
  </si>
  <si>
    <t>NPC_DEATH</t>
  </si>
  <si>
    <t>NPC死亡</t>
  </si>
  <si>
    <t>NPC_ALLDEATH</t>
  </si>
  <si>
    <t>所有同一个NPC死亡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</si>
  <si>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</si>
  <si>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</si>
  <si>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</si>
  <si>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</si>
  <si>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</si>
  <si>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</si>
  <si>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</si>
  <si>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</si>
  <si>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</si>
  <si>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</si>
  <si>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</si>
  <si>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</si>
  <si>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</si>
  <si>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动态属性</t>
    <phoneticPr fontId="18" type="noConversion"/>
  </si>
  <si>
    <t>bCheckLevel</t>
    <phoneticPr fontId="18" type="noConversion"/>
  </si>
  <si>
    <t>nScrutinyType</t>
    <phoneticPr fontId="18" type="noConversion"/>
  </si>
  <si>
    <t>tKungFu</t>
    <phoneticPr fontId="18" type="noConversion"/>
  </si>
  <si>
    <t>键</t>
  </si>
  <si>
    <t>示例</t>
  </si>
  <si>
    <t>tMark</t>
  </si>
  <si>
    <t>见下文</t>
  </si>
  <si>
    <t>团队频道报警开关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</si>
  <si>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</si>
  <si>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</si>
  <si>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</si>
  <si>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</si>
  <si>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</si>
  <si>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</si>
  <si>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头顶报警开关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</si>
  <si>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</si>
  <si>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</si>
  <si>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</si>
  <si>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</si>
  <si>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</si>
  <si>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</si>
  <si>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</si>
  <si>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</si>
  <si>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</si>
  <si>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</si>
  <si>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</si>
  <si>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</si>
  <si>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</si>
  <si>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</si>
  <si>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</si>
  <si>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</si>
  <si>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是否优先使用官方语音条目</t>
  </si>
  <si>
    <t>bVoiceSelfOnly = true</t>
  </si>
  <si>
    <t>bVoiceOfficial</t>
  </si>
  <si>
    <t>是否仅在自身气劲下播放语音（仅用于气劲相关）</t>
  </si>
  <si>
    <t>bVoiceOfficial = true</t>
  </si>
  <si>
    <t>255,153,204</t>
    <phoneticPr fontId="18" type="noConversion"/>
  </si>
  <si>
    <t>170,170,170</t>
    <phoneticPr fontId="18" type="noConversion"/>
  </si>
  <si>
    <t>60,128,220</t>
    <phoneticPr fontId="18" type="noConversion"/>
  </si>
  <si>
    <t>196,152,255</t>
    <phoneticPr fontId="18" type="noConversion"/>
  </si>
  <si>
    <t>22,216,216</t>
    <phoneticPr fontId="18" type="noConversion"/>
  </si>
  <si>
    <t>255,129,176</t>
    <phoneticPr fontId="18" type="noConversion"/>
  </si>
  <si>
    <t>55,147,255</t>
    <phoneticPr fontId="18" type="noConversion"/>
  </si>
  <si>
    <t>100,250,180</t>
    <phoneticPr fontId="18" type="noConversion"/>
  </si>
  <si>
    <t>106,108,189</t>
    <phoneticPr fontId="18" type="noConversion"/>
  </si>
  <si>
    <t>171,227,250</t>
    <phoneticPr fontId="18" type="noConversion"/>
  </si>
  <si>
    <t>107,183,242</t>
    <phoneticPr fontId="18" type="noConversion"/>
  </si>
  <si>
    <t>235,215,115</t>
    <phoneticPr fontId="18" type="noConversion"/>
  </si>
  <si>
    <t>255,255,255</t>
    <phoneticPr fontId="18" type="noConversion"/>
  </si>
  <si>
    <t>bOnlySelfSrc</t>
    <phoneticPr fontId="18" type="noConversion"/>
  </si>
  <si>
    <t>bOnlyMine</t>
    <phoneticPr fontId="18" type="noConversion"/>
  </si>
  <si>
    <t>colScreenHead</t>
    <phoneticPr fontId="18" type="noConversion"/>
  </si>
  <si>
    <t>nColAlpha</t>
    <phoneticPr fontId="18" type="noConversion"/>
  </si>
  <si>
    <t>bAttention</t>
    <phoneticPr fontId="18" type="noConversion"/>
  </si>
  <si>
    <t>bScreenHead</t>
    <phoneticPr fontId="18" type="noConversion"/>
  </si>
  <si>
    <t>bCaution</t>
    <phoneticPr fontId="18" type="noConversion"/>
  </si>
  <si>
    <t>CHAT</t>
    <phoneticPr fontId="18" type="noConversion"/>
  </si>
  <si>
    <t>szOfficialVoicePacketUUID="",</t>
    <phoneticPr fontId="18" type="noConversion"/>
  </si>
  <si>
    <t>szCustomVoicePacketUUID="",</t>
    <phoneticPr fontId="18" type="noConversion"/>
  </si>
  <si>
    <t>团队监控手册</t>
    <phoneticPr fontId="18" type="noConversion"/>
  </si>
  <si>
    <t>不建议使用0、1，因为在excel表格中0，1可能代表布尔值，干扰公式结果，建议从5开始，留下2，3，4给PVE中BOSS秒杀等重要气劲使用</t>
    <phoneticPr fontId="18" type="noConversion"/>
  </si>
  <si>
    <t>透明建议使用-1</t>
    <phoneticPr fontId="18" type="noConversion"/>
  </si>
  <si>
    <t>主城</t>
    <phoneticPr fontId="18" type="noConversion"/>
  </si>
  <si>
    <t>秘境</t>
    <phoneticPr fontId="18" type="noConversion"/>
  </si>
  <si>
    <t>小队秘境</t>
    <phoneticPr fontId="18" type="noConversion"/>
  </si>
  <si>
    <t>团队秘境</t>
    <phoneticPr fontId="18" type="noConversion"/>
  </si>
  <si>
    <t>浪客行</t>
    <phoneticPr fontId="18" type="noConversion"/>
  </si>
  <si>
    <t>野外地图</t>
    <phoneticPr fontId="18" type="noConversion"/>
  </si>
  <si>
    <t>名剑大会</t>
    <phoneticPr fontId="18" type="noConversion"/>
  </si>
  <si>
    <t>回收站</t>
    <phoneticPr fontId="18" type="noConversion"/>
  </si>
  <si>
    <t>战场</t>
    <phoneticPr fontId="18" type="noConversion"/>
  </si>
  <si>
    <t>绝境战场</t>
    <phoneticPr fontId="18" type="noConversion"/>
  </si>
  <si>
    <t>李渡鬼域</t>
    <phoneticPr fontId="18" type="noConversion"/>
  </si>
  <si>
    <t>百战通用</t>
    <phoneticPr fontId="18" type="noConversion"/>
  </si>
  <si>
    <t>列镜虚境</t>
    <phoneticPr fontId="18" type="noConversion"/>
  </si>
  <si>
    <t>家园</t>
    <phoneticPr fontId="18" type="noConversion"/>
  </si>
  <si>
    <t>八荒横鉴</t>
    <phoneticPr fontId="18" type="noConversion"/>
  </si>
  <si>
    <t>动态属性编号映射</t>
    <phoneticPr fontId="18" type="noConversion"/>
  </si>
  <si>
    <t>插件面板可修改</t>
    <phoneticPr fontId="18" type="noConversion"/>
  </si>
  <si>
    <t>喊话内容(注意excel换行表示为\n)</t>
    <phoneticPr fontId="18" type="noConversion"/>
  </si>
  <si>
    <t>tKungFu={["SKILL#10081"] = true,["SKILL#10080"] = true,},</t>
    <phoneticPr fontId="18" type="noConversion"/>
  </si>
  <si>
    <t>江湖</t>
  </si>
  <si>
    <t>School ID</t>
  </si>
  <si>
    <t>门派</t>
    <phoneticPr fontId="18" type="noConversion"/>
  </si>
  <si>
    <t>Force ID</t>
    <phoneticPr fontId="18" type="noConversion"/>
  </si>
  <si>
    <t>地图ID</t>
    <phoneticPr fontId="18" type="noConversion"/>
  </si>
  <si>
    <t>地图名称</t>
    <phoneticPr fontId="18" type="noConversion"/>
  </si>
  <si>
    <t>Mount ID</t>
  </si>
  <si>
    <t>武学套路说明</t>
  </si>
  <si>
    <t>10005;10010;10095;10082</t>
  </si>
  <si>
    <t>防身武艺;基础招式;混元气功;江湖轻功</t>
  </si>
  <si>
    <t>10031;10032;10033;10034</t>
  </si>
  <si>
    <t>罗汉棍法;龙爪功;袈裟伏魔功;达摩武诀</t>
  </si>
  <si>
    <t>10000;10009;10011;10012</t>
  </si>
  <si>
    <t>纯阳诀;北冥剑气;天道剑势;坐忘经</t>
  </si>
  <si>
    <t>10018;10019;10088;10089</t>
  </si>
  <si>
    <t>养心诀;太素九针;点穴截脉;百花拂穴手</t>
  </si>
  <si>
    <t>10017;10023;10024;10061</t>
  </si>
  <si>
    <t>羽林枪法;虎牙令;奔雷枪术;游龙骑法</t>
  </si>
  <si>
    <t>10068;10069;10070;10072</t>
  </si>
  <si>
    <t>猿公剑法;霓裳羽衣;西河剑器;剑器浑脱</t>
  </si>
  <si>
    <t>10171;10172;10173;10174</t>
  </si>
  <si>
    <t>千劫万毒手;引魂蛊术;驭虫奇术;补天心经</t>
  </si>
  <si>
    <t>10216;10218;10219;10220</t>
  </si>
  <si>
    <t>乾坤一掷;百步穿杨;九宫飞星;天魔无相</t>
  </si>
  <si>
    <t>10146;10148;10149;10150</t>
  </si>
  <si>
    <t>秀水剑法;灵峰剑式;君子风;西子情</t>
  </si>
  <si>
    <t>10263;10264;10296;10265</t>
  </si>
  <si>
    <t>打狗棒法;降龙掌·上;降龙掌·下;逍遥行</t>
  </si>
  <si>
    <t>10235;10236;10237;10238</t>
  </si>
  <si>
    <t>日月净世;幻魔妙相;御暗烬灭令;大圣明尊法</t>
  </si>
  <si>
    <t>10385;10386;10384;10383</t>
  </si>
  <si>
    <t>云城盾;苍雪刀;破阵令;寒铁诀</t>
  </si>
  <si>
    <t>10440;10441;10442;10443</t>
  </si>
  <si>
    <t>音;曲;气;影</t>
  </si>
  <si>
    <t>10465;10466;10467;10468</t>
  </si>
  <si>
    <t>殷雷腿;秀明尘身;松烟竹雾;雪絮金屏</t>
  </si>
  <si>
    <t>10535;10539;10540;10541</t>
  </si>
  <si>
    <t>风起云扬诀;长空破云式;九霄踏云步;碧海缥缈掌</t>
  </si>
  <si>
    <t>10586;10588;10589;10590</t>
  </si>
  <si>
    <t>断水刃;隐雷鞭;冲云链;山河令</t>
  </si>
  <si>
    <t>10614;10617;10618;10619</t>
  </si>
  <si>
    <t>九字诀;占术;奇门;天机</t>
  </si>
  <si>
    <t>10622;10623;10624;10625</t>
  </si>
  <si>
    <t>行忌制方;行宜列药;凌波飞叶令;神农百草诀</t>
  </si>
  <si>
    <t>10697;10706;10707;10708</t>
  </si>
  <si>
    <t>流云势法;游风步;破浪三式;骤雨劲</t>
  </si>
  <si>
    <t>Kungfu ID</t>
    <phoneticPr fontId="18" type="noConversion"/>
  </si>
  <si>
    <t>颜色表</t>
    <phoneticPr fontId="18" type="noConversion"/>
  </si>
  <si>
    <t>RGB</t>
    <phoneticPr fontId="18" type="noConversion"/>
  </si>
  <si>
    <t>H</t>
    <phoneticPr fontId="18" type="noConversion"/>
  </si>
  <si>
    <t>站位走位</t>
    <phoneticPr fontId="18" type="noConversion"/>
  </si>
  <si>
    <t>准备承伤</t>
  </si>
  <si>
    <t>ChengShang_P</t>
  </si>
  <si>
    <t>都来准备承伤</t>
  </si>
  <si>
    <t>准备抱团</t>
  </si>
  <si>
    <t>BaoTuan_P</t>
  </si>
  <si>
    <t>准备抱团啦</t>
  </si>
  <si>
    <t>准备分散</t>
  </si>
  <si>
    <t>FenSan_P</t>
  </si>
  <si>
    <t>准备分散呀</t>
  </si>
  <si>
    <t>准备移动</t>
  </si>
  <si>
    <t>YiDong_P</t>
  </si>
  <si>
    <t>准备原地不动</t>
  </si>
  <si>
    <t>YuanDiBuDong_P</t>
  </si>
  <si>
    <t>准备原地停留</t>
  </si>
  <si>
    <t>准备背对</t>
  </si>
  <si>
    <t>BeiDui_P</t>
  </si>
  <si>
    <t>准备引导</t>
  </si>
  <si>
    <t>YinDao_P</t>
  </si>
  <si>
    <t>远离boss</t>
  </si>
  <si>
    <t>YuanLiBoss</t>
  </si>
  <si>
    <t>快远离boss</t>
  </si>
  <si>
    <t>Boss拉走</t>
  </si>
  <si>
    <t>BossLaZou</t>
  </si>
  <si>
    <t>把boss拉走</t>
  </si>
  <si>
    <t>小怪拉走</t>
  </si>
  <si>
    <t>XiaoGuaiLaZou</t>
  </si>
  <si>
    <t>把小怪拉走</t>
  </si>
  <si>
    <t>承伤抱团</t>
  </si>
  <si>
    <t>ChengShang_T</t>
  </si>
  <si>
    <t>一起抱团承伤</t>
  </si>
  <si>
    <t>找T抱团</t>
  </si>
  <si>
    <t>BaoTuan_T_sp</t>
  </si>
  <si>
    <t>人群抱团</t>
  </si>
  <si>
    <t>BaoTuan_T_sp2</t>
  </si>
  <si>
    <t>点名抱团</t>
  </si>
  <si>
    <t>BaoTuan_T_s</t>
  </si>
  <si>
    <t>点名玩家抱团</t>
  </si>
  <si>
    <t>boss脚下抱团</t>
  </si>
  <si>
    <t>BaoTuan_T_sp3</t>
  </si>
  <si>
    <t>npc脚下抱团</t>
  </si>
  <si>
    <t>BaoTuan_T_sp4</t>
  </si>
  <si>
    <t>保持分散</t>
  </si>
  <si>
    <t>FenSan_T</t>
  </si>
  <si>
    <t>保持分散 散开</t>
  </si>
  <si>
    <t>保持移动</t>
  </si>
  <si>
    <t>YiDong_T</t>
  </si>
  <si>
    <t>保持移动 别停</t>
  </si>
  <si>
    <t>别动</t>
  </si>
  <si>
    <t>YuanDiBuDong_T</t>
  </si>
  <si>
    <t>站原地别动</t>
  </si>
  <si>
    <t>背对boss</t>
  </si>
  <si>
    <t>BeiDui_T</t>
  </si>
  <si>
    <t>面向背对boss</t>
  </si>
  <si>
    <t>注意引导</t>
  </si>
  <si>
    <t>YinDao_T</t>
  </si>
  <si>
    <t>注意准备引导</t>
  </si>
  <si>
    <t>点名引导</t>
  </si>
  <si>
    <t>YinDao_T_s</t>
  </si>
  <si>
    <t>点名玩家引导</t>
  </si>
  <si>
    <t>点名</t>
    <phoneticPr fontId="18" type="noConversion"/>
  </si>
  <si>
    <t>准备点名</t>
  </si>
  <si>
    <t>DianMing_P</t>
  </si>
  <si>
    <t>远离点名</t>
  </si>
  <si>
    <t>DianMing_T_sp</t>
  </si>
  <si>
    <t>远离点名玩家</t>
  </si>
  <si>
    <t>点名出人群</t>
  </si>
  <si>
    <t>DianMing_T_sp2</t>
  </si>
  <si>
    <t>点名玩家出人群</t>
  </si>
  <si>
    <t>点名躲技能</t>
  </si>
  <si>
    <t>DianMing_T_sp3</t>
  </si>
  <si>
    <t>点名玩家多好技能</t>
  </si>
  <si>
    <t>点名上点</t>
  </si>
  <si>
    <t>DianMing_T_sp4</t>
  </si>
  <si>
    <t>点名玩家前往指定点</t>
  </si>
  <si>
    <t>点名不动</t>
  </si>
  <si>
    <t>DianMing_T_sp5</t>
  </si>
  <si>
    <t>点名玩家原地别动</t>
  </si>
  <si>
    <t>点名遛怪</t>
  </si>
  <si>
    <t>DianMing_T_sp6</t>
  </si>
  <si>
    <t>点名玩家遛怪</t>
  </si>
  <si>
    <t>技能释放</t>
    <phoneticPr fontId="18" type="noConversion"/>
  </si>
  <si>
    <t>准备驱散</t>
  </si>
  <si>
    <t>QuSan_P</t>
  </si>
  <si>
    <t>准备减伤</t>
  </si>
  <si>
    <t>JianShang_P</t>
  </si>
  <si>
    <t>准备开减伤</t>
  </si>
  <si>
    <t>准备控怪</t>
  </si>
  <si>
    <t>KongGuai_P</t>
  </si>
  <si>
    <t>准备打断</t>
  </si>
  <si>
    <t>DaDuan_P</t>
  </si>
  <si>
    <t>准备连续打断</t>
  </si>
  <si>
    <t>LianXuDaDuan_P</t>
  </si>
  <si>
    <t>准备抬血</t>
  </si>
  <si>
    <t>TaiXie_P</t>
  </si>
  <si>
    <t>治疗准备抬血</t>
  </si>
  <si>
    <t>准备断读条</t>
  </si>
  <si>
    <t>DuanDuTiao_P</t>
  </si>
  <si>
    <t>驱散T</t>
  </si>
  <si>
    <t>QuSan_T_sp</t>
  </si>
  <si>
    <t>快驱散T</t>
  </si>
  <si>
    <t>驱散点名</t>
  </si>
  <si>
    <t>QuSan_T_sp2</t>
  </si>
  <si>
    <t>驱散点名玩家</t>
  </si>
  <si>
    <t>驱散boss</t>
  </si>
  <si>
    <t>QuSan_T_sp3</t>
  </si>
  <si>
    <t>驱散npc</t>
  </si>
  <si>
    <t>QuSan_T_sp4</t>
  </si>
  <si>
    <t>驱散Npc</t>
  </si>
  <si>
    <t>快开减伤</t>
  </si>
  <si>
    <t>JianShang_T</t>
  </si>
  <si>
    <t>快开减伤！</t>
  </si>
  <si>
    <t>给点名减伤</t>
  </si>
  <si>
    <t>JianShang_T_s</t>
  </si>
  <si>
    <t>给被点玩家减伤！</t>
  </si>
  <si>
    <t>注意控怪</t>
  </si>
  <si>
    <t>KongGuai_T</t>
  </si>
  <si>
    <t>注意控制目标</t>
  </si>
  <si>
    <t>打断！</t>
  </si>
  <si>
    <t>DaDuan_T</t>
  </si>
  <si>
    <t>快打断！</t>
  </si>
  <si>
    <t>打断注意接断</t>
  </si>
  <si>
    <t>LianXuDaDuan_T</t>
  </si>
  <si>
    <t>准备继续打断</t>
  </si>
  <si>
    <t>注意团血</t>
  </si>
  <si>
    <t>TaiXie_T</t>
  </si>
  <si>
    <t>点名给大加</t>
  </si>
  <si>
    <t>TaiXie_T_s</t>
  </si>
  <si>
    <t>给点名玩家大加！</t>
  </si>
  <si>
    <t>别用读条技能</t>
  </si>
  <si>
    <t>DuanDuTiao_T</t>
  </si>
  <si>
    <t>断读条，别用读条技能</t>
  </si>
  <si>
    <t>目标</t>
    <phoneticPr fontId="18" type="noConversion"/>
  </si>
  <si>
    <t>准备转火</t>
  </si>
  <si>
    <t>ZhuanHuo_P</t>
  </si>
  <si>
    <t>准备停手</t>
  </si>
  <si>
    <t>TingShou_P</t>
  </si>
  <si>
    <t>准备停奶</t>
  </si>
  <si>
    <t>TingNai_P</t>
  </si>
  <si>
    <t>治疗准备停奶</t>
  </si>
  <si>
    <t>准备换仇</t>
  </si>
  <si>
    <t>HuanChou_P</t>
  </si>
  <si>
    <t>T准备换仇</t>
  </si>
  <si>
    <t>停手别打了</t>
  </si>
  <si>
    <t>TingShou_T</t>
  </si>
  <si>
    <t>DPS停手!</t>
  </si>
  <si>
    <t>治疗停手</t>
  </si>
  <si>
    <t>TingNai_T</t>
  </si>
  <si>
    <t>治疗停手!</t>
  </si>
  <si>
    <t>注意换仇</t>
  </si>
  <si>
    <t>HuanChou_T</t>
  </si>
  <si>
    <t>T注意换仇</t>
  </si>
  <si>
    <t>其它</t>
    <phoneticPr fontId="18" type="noConversion"/>
  </si>
  <si>
    <t>准备转阶段</t>
  </si>
  <si>
    <t>ZhuanJieDuan</t>
  </si>
  <si>
    <t>准备QTE</t>
  </si>
  <si>
    <t>QTE</t>
  </si>
  <si>
    <t>使用道具</t>
  </si>
  <si>
    <t>ShiYongDaoJu</t>
  </si>
  <si>
    <t>使用特殊道具</t>
  </si>
  <si>
    <t>使用特殊技能</t>
  </si>
  <si>
    <t>ShiYongTeShuJiNeng</t>
  </si>
  <si>
    <t>转火</t>
    <phoneticPr fontId="18" type="noConversion"/>
  </si>
  <si>
    <t>转火白云</t>
  </si>
  <si>
    <t>ZhuanHuo_T_BY</t>
  </si>
  <si>
    <t>转火小剑</t>
  </si>
  <si>
    <t>ZhuanHuo_T_XJ</t>
  </si>
  <si>
    <t>转火斧头</t>
  </si>
  <si>
    <t>ZhuanHuo_T_FT</t>
  </si>
  <si>
    <t>转火钩子</t>
  </si>
  <si>
    <t>ZhuanHuo_T_GZ</t>
  </si>
  <si>
    <t>转火红鼓</t>
  </si>
  <si>
    <t>ZhuanHuo_T_HG</t>
  </si>
  <si>
    <t>转火剪刀</t>
  </si>
  <si>
    <t>ZhuanHuo_T_JD</t>
  </si>
  <si>
    <t>转火棒槌</t>
  </si>
  <si>
    <t>ZhuanHuo_T_BCh</t>
  </si>
  <si>
    <t>转火如意</t>
  </si>
  <si>
    <t>ZhuanHuo_T_RY</t>
  </si>
  <si>
    <t>转火飞镖</t>
  </si>
  <si>
    <t>ZhuanHuo_T_FB</t>
  </si>
  <si>
    <t>转火扇子</t>
  </si>
  <si>
    <t>ZhuanHuo_T_ShZ</t>
  </si>
  <si>
    <t>转火扇子 </t>
  </si>
  <si>
    <t>近战转火白云</t>
  </si>
  <si>
    <t>ZhuanHuo_T_BY_sp</t>
  </si>
  <si>
    <t>近战转火小剑</t>
  </si>
  <si>
    <t>ZhuanHuo_T_XJ_sp</t>
  </si>
  <si>
    <t>近战转火斧头</t>
  </si>
  <si>
    <t>ZhuanHuo_T_FT_sp</t>
  </si>
  <si>
    <t>近战转火钩子</t>
  </si>
  <si>
    <t>ZhuanHuo_T_GZ_sp</t>
  </si>
  <si>
    <t>近战转火红鼓</t>
  </si>
  <si>
    <t>ZhuanHuo_T_HG_sp</t>
  </si>
  <si>
    <t>近战转火剪刀</t>
  </si>
  <si>
    <t>ZhuanHuo_T_JD_sp</t>
  </si>
  <si>
    <t>近战转火棒槌</t>
  </si>
  <si>
    <t>ZhuanHuo_T_BCh_sp</t>
  </si>
  <si>
    <t>近战转火如意</t>
  </si>
  <si>
    <t>ZhuanHuo_T_RY_sp</t>
  </si>
  <si>
    <t>近战转火飞镖</t>
  </si>
  <si>
    <t>ZhuanHuo_T_FB_sp</t>
  </si>
  <si>
    <t>近战转火扇子</t>
  </si>
  <si>
    <t>ZhuanHuo_T_ShZ_sp</t>
  </si>
  <si>
    <t>远程转火白云</t>
  </si>
  <si>
    <t>ZhuanHuo_T_BY_sp2</t>
  </si>
  <si>
    <t>远程转火小剑</t>
  </si>
  <si>
    <t>ZhuanHuo_T_XJ_sp2</t>
  </si>
  <si>
    <t>远程转火斧头</t>
  </si>
  <si>
    <t>ZhuanHuo_T_FT_sp2</t>
  </si>
  <si>
    <t>远程转火钩子</t>
  </si>
  <si>
    <t>ZhuanHuo_T_GZ_sp2</t>
  </si>
  <si>
    <t>远程转火红鼓</t>
  </si>
  <si>
    <t>ZhuanHuo_T_HG_sp2</t>
  </si>
  <si>
    <t>远程转火剪刀</t>
  </si>
  <si>
    <t>ZhuanHuo_T_JD_sp2</t>
  </si>
  <si>
    <t>远程转火棒槌</t>
  </si>
  <si>
    <t>ZhuanHuo_T_BCh_sp2</t>
  </si>
  <si>
    <t>远程转火如意</t>
  </si>
  <si>
    <t>ZhuanHuo_T_RY_sp2</t>
  </si>
  <si>
    <t>远程转火飞镖</t>
  </si>
  <si>
    <t>ZhuanHuo_T_FB_sp2</t>
  </si>
  <si>
    <t>远程转火扇子</t>
  </si>
  <si>
    <t>ZhuanHuo_T_ShZ_sp2</t>
  </si>
  <si>
    <t>内功转火白云</t>
  </si>
  <si>
    <t>ZhuanHuo_T_BY_sp3</t>
  </si>
  <si>
    <t>内功转火小剑</t>
  </si>
  <si>
    <t>ZhuanHuo_T_XJ_sp3</t>
  </si>
  <si>
    <t>内功转火斧头</t>
  </si>
  <si>
    <t>ZhuanHuo_T_FT_sp3</t>
  </si>
  <si>
    <t>内功转火钩子</t>
  </si>
  <si>
    <t>ZhuanHuo_T_GZ_sp3</t>
  </si>
  <si>
    <t>内功转火红鼓</t>
  </si>
  <si>
    <t>ZhuanHuo_T_HG_sp3</t>
  </si>
  <si>
    <t>内功转火剪刀</t>
  </si>
  <si>
    <t>ZhuanHuo_T_JD_sp3</t>
  </si>
  <si>
    <t>内功转火棒槌</t>
  </si>
  <si>
    <t>ZhuanHuo_T_BCh_sp3</t>
  </si>
  <si>
    <t>内功转火如意</t>
  </si>
  <si>
    <t>ZhuanHuo_T_RY_sp3</t>
  </si>
  <si>
    <t>内功转火飞镖</t>
  </si>
  <si>
    <t>ZhuanHuo_T_FB_sp3</t>
  </si>
  <si>
    <t>内功转火扇子</t>
  </si>
  <si>
    <t>ZhuanHuo_T_ShZ_sp3</t>
  </si>
  <si>
    <t>外功转火白云</t>
  </si>
  <si>
    <t>ZhuanHuo_T_BY_sp4</t>
  </si>
  <si>
    <t>外功转火小剑</t>
  </si>
  <si>
    <t>ZhuanHuo_T_XJ_sp4</t>
  </si>
  <si>
    <t>外功转火斧头</t>
  </si>
  <si>
    <t>ZhuanHuo_T_FT_sp4</t>
  </si>
  <si>
    <t>外功转火钩子</t>
  </si>
  <si>
    <t>ZhuanHuo_T_GZ_sp4</t>
  </si>
  <si>
    <t>外功转火红鼓</t>
  </si>
  <si>
    <t>ZhuanHuo_T_HG_sp4</t>
  </si>
  <si>
    <t>外功转火剪刀</t>
  </si>
  <si>
    <t>ZhuanHuo_T_JD_sp4</t>
  </si>
  <si>
    <t>外功转火棒槌</t>
  </si>
  <si>
    <t>ZhuanHuo_T_BCh_sp4</t>
  </si>
  <si>
    <t>外功转火如意</t>
  </si>
  <si>
    <t>ZhuanHuo_T_RY_sp4</t>
  </si>
  <si>
    <t>外功转火飞镖</t>
  </si>
  <si>
    <t>ZhuanHuo_T_FB_sp4</t>
  </si>
  <si>
    <t>外功转火扇子</t>
  </si>
  <si>
    <t>ZhuanHuo_T_ShZ_sp4</t>
  </si>
  <si>
    <t>治疗奶白云</t>
  </si>
  <si>
    <t>ZhiLiao_BY</t>
  </si>
  <si>
    <t>治疗奶小剑</t>
  </si>
  <si>
    <t>ZhiLiao_XJ</t>
  </si>
  <si>
    <t>治疗奶斧头</t>
  </si>
  <si>
    <t>ZhiLiao_FT</t>
  </si>
  <si>
    <t>治疗奶钩子</t>
  </si>
  <si>
    <t>ZhiLiao_GZ</t>
  </si>
  <si>
    <t>治疗奶红鼓</t>
  </si>
  <si>
    <t>ZhiLiao_HG</t>
  </si>
  <si>
    <t>治疗奶剪刀</t>
  </si>
  <si>
    <t>ZhiLiao_JD</t>
  </si>
  <si>
    <t>治疗奶棒槌</t>
  </si>
  <si>
    <t>ZhiLiao_BCh</t>
  </si>
  <si>
    <t>治疗奶如意</t>
  </si>
  <si>
    <t>ZhiLiao_RY</t>
  </si>
  <si>
    <t>治疗奶飞镖</t>
  </si>
  <si>
    <t>ZhiLiao_FB</t>
  </si>
  <si>
    <t>治疗奶扇子</t>
  </si>
  <si>
    <t>ZhiLiao_ShZ</t>
  </si>
  <si>
    <t>范围技能处理</t>
    <phoneticPr fontId="18" type="noConversion"/>
  </si>
  <si>
    <t>准备躲面向</t>
  </si>
  <si>
    <t>DuoMianXiang_P</t>
  </si>
  <si>
    <t>准备连续面向</t>
  </si>
  <si>
    <t>LianXuMianXiang_P</t>
  </si>
  <si>
    <t>准备进面向</t>
  </si>
  <si>
    <t>JinMianXiang_P</t>
  </si>
  <si>
    <t>准备躲矩形</t>
  </si>
  <si>
    <t>DuoJuXing_P</t>
  </si>
  <si>
    <t>准备躲圈</t>
  </si>
  <si>
    <t>DuoQuan_P</t>
  </si>
  <si>
    <t>准备连续躲圈</t>
  </si>
  <si>
    <t>LianXuDuoQuan_P</t>
  </si>
  <si>
    <t>准备进圈</t>
  </si>
  <si>
    <t>JinQuan_P</t>
  </si>
  <si>
    <t>准备躲线</t>
  </si>
  <si>
    <t>DuoXian_P</t>
  </si>
  <si>
    <t>准备挡线</t>
  </si>
  <si>
    <t>DangXian_P</t>
  </si>
  <si>
    <t>准备跳环</t>
  </si>
  <si>
    <t>TiaoHuan_P</t>
  </si>
  <si>
    <t>准备跳绳</t>
  </si>
  <si>
    <t>TiaoSheng_P</t>
  </si>
  <si>
    <t>面向快躲</t>
  </si>
  <si>
    <t>DuoMianXiang_T</t>
  </si>
  <si>
    <t>躲面向不要停</t>
  </si>
  <si>
    <t>LianXuMianXiang_T</t>
  </si>
  <si>
    <t>快进面向</t>
  </si>
  <si>
    <t>JinMianXiang_T</t>
  </si>
  <si>
    <t>矩形快躲</t>
  </si>
  <si>
    <t>DuoJuXing_T</t>
  </si>
  <si>
    <t>快躲圈</t>
  </si>
  <si>
    <t>DuoQuan_T</t>
  </si>
  <si>
    <t>躲圈躲圈躲圈</t>
  </si>
  <si>
    <t>LianXuDuoQuan_T</t>
  </si>
  <si>
    <t>快进圈</t>
  </si>
  <si>
    <t>JinQuan_T</t>
  </si>
  <si>
    <t>连线快躲</t>
  </si>
  <si>
    <t>DuoXian_T</t>
  </si>
  <si>
    <t>快挡线</t>
  </si>
  <si>
    <t>DangXian_T</t>
  </si>
  <si>
    <t>开始跳环</t>
  </si>
  <si>
    <t>TiaoHuan_T</t>
  </si>
  <si>
    <t>开始跳绳</t>
  </si>
  <si>
    <t>TiaoSheng_T</t>
  </si>
  <si>
    <t>小轻功</t>
    <phoneticPr fontId="18" type="noConversion"/>
  </si>
  <si>
    <t>准备扶摇</t>
  </si>
  <si>
    <t>FuYao_P</t>
  </si>
  <si>
    <t>准备二段跳</t>
  </si>
  <si>
    <t>ErDuanTiao_P</t>
  </si>
  <si>
    <t>准备后跳</t>
  </si>
  <si>
    <t>HouTiao_P</t>
  </si>
  <si>
    <t>准备蹑云</t>
  </si>
  <si>
    <t>NieYun_P</t>
  </si>
  <si>
    <t>扶摇起跳</t>
  </si>
  <si>
    <t>FuYao_T</t>
  </si>
  <si>
    <t>扶摇起跳并滞空</t>
  </si>
  <si>
    <t>FuYao_T_sp</t>
  </si>
  <si>
    <t>点名扶摇跳</t>
  </si>
  <si>
    <t>FuYao_T_s</t>
  </si>
  <si>
    <t>开始二段跳</t>
  </si>
  <si>
    <t>ErDuanTiao_T</t>
  </si>
  <si>
    <t>点名二段跳</t>
  </si>
  <si>
    <t>ErDuanTiao_T_s</t>
  </si>
  <si>
    <t>开始后跳</t>
  </si>
  <si>
    <t>HouTiao_T</t>
  </si>
  <si>
    <t>点名快后跳</t>
  </si>
  <si>
    <t>HouTiao_T_s</t>
  </si>
  <si>
    <t>蹑云快跑</t>
  </si>
  <si>
    <t>NieYun_T</t>
  </si>
  <si>
    <t>魔盒</t>
    <phoneticPr fontId="18" type="noConversion"/>
  </si>
  <si>
    <t>剑三欢迎你</t>
  </si>
  <si>
    <t>jx3box_1</t>
  </si>
  <si>
    <t>魔盒真好用</t>
  </si>
  <si>
    <t>jx3box_2</t>
  </si>
  <si>
    <t>倒数：5、4、3、2、1！</t>
  </si>
  <si>
    <t>jx3box_3</t>
  </si>
  <si>
    <t>脱战</t>
  </si>
  <si>
    <t>jx3box_4</t>
  </si>
  <si>
    <t>快脱战！快跑！</t>
  </si>
  <si>
    <t>自绝经脉</t>
  </si>
  <si>
    <t>jx3box_5</t>
  </si>
  <si>
    <t>快自绝经脉</t>
  </si>
  <si>
    <t>jx3box_6</t>
  </si>
  <si>
    <t>宝贝快开门！我知道你在家！</t>
  </si>
  <si>
    <t>jx3box_7</t>
  </si>
  <si>
    <t>下把一定</t>
  </si>
  <si>
    <t>jx3box_8</t>
  </si>
  <si>
    <t>语音唯一标识符</t>
    <phoneticPr fontId="18" type="noConversion"/>
  </si>
  <si>
    <t>内容示例</t>
    <phoneticPr fontId="18" type="noConversion"/>
  </si>
  <si>
    <t> 语音唯一标识符</t>
    <phoneticPr fontId="18" type="noConversion"/>
  </si>
  <si>
    <t>使用前请详细看本页黄字</t>
    <phoneticPr fontId="18" type="noConversion"/>
  </si>
  <si>
    <t>多个焦点数组，关系建议先写敌对，后友方，最后全部</t>
    <phoneticPr fontId="18" type="noConversion"/>
  </si>
  <si>
    <t>多个条件面板，必须最高条件放前，低条件放后，且每个条件面板的优先级需依次+1</t>
    <phoneticPr fontId="18" type="noConversion"/>
  </si>
  <si>
    <t>例：春泥护花，第一个条件&gt;=8层、优先级5，第二条件&gt;=4、优先级6，第三条件&gt;=1、优先级7</t>
    <phoneticPr fontId="18" type="noConversion"/>
  </si>
  <si>
    <t>例：第一条件，敌方血量&lt;100，第二条件非敌方血量&lt;100，第三条件全部</t>
    <phoneticPr fontId="18" type="noConversion"/>
  </si>
  <si>
    <t>例：王遗风，可以设置为NPC·王遗风，但不要设置为NPC·老王</t>
    <phoneticPr fontId="18" type="noConversion"/>
  </si>
  <si>
    <t>仅生效第一个字符，例：这是一个备注，显示时只显示“这”</t>
    <phoneticPr fontId="18" type="noConversion"/>
  </si>
  <si>
    <t>此气劲来源自己的监控，常用于治疗心法的hot</t>
    <phoneticPr fontId="18" type="noConversion"/>
  </si>
  <si>
    <t>绿块自行修改，不改亦可</t>
    <phoneticPr fontId="18" type="noConversion"/>
  </si>
  <si>
    <t>TALK、CHAT。请注意字符串换行请写\n，若含有英文引号请用\转义，例："侠士"上线了。请写\"侠士\"上线了。</t>
    <phoneticPr fontId="18" type="noConversion"/>
  </si>
  <si>
    <t>不生效，该事件屏蔽</t>
    <phoneticPr fontId="18" type="noConversion"/>
  </si>
  <si>
    <t>例：春泥护花，你可以自由添加各种符号写“气劲·减伤·【春泥护花】”，但请不要写“气劲·减伤·【春泥】”</t>
    <phoneticPr fontId="18" type="noConversion"/>
  </si>
  <si>
    <t>倒计时条调用标识，标识符由自己规定，但注意关键字请最最最最好用全名。因为标识符可以设置模板字符，你可以跨区域用模板字符调用终止，用了缩写则很难在别处用模板调用</t>
    <phoneticPr fontId="18" type="noConversion"/>
  </si>
  <si>
    <t>例：阴山大草原，可以设置标识符为地图·[阴山大草原]，但不要设置为地图·[阴山]或地图·[大草原]</t>
    <phoneticPr fontId="18" type="noConversion"/>
  </si>
  <si>
    <t>工具下载地址</t>
    <phoneticPr fontId="18" type="noConversion"/>
  </si>
  <si>
    <t>教程地址</t>
    <phoneticPr fontId="18" type="noConversion"/>
  </si>
  <si>
    <t>https://www.jx3box.com/tool/74098</t>
    <phoneticPr fontId="18" type="noConversion"/>
  </si>
  <si>
    <t>https://www.jx3box.com/tool/60356</t>
  </si>
  <si>
    <t>地图id</t>
  </si>
  <si>
    <t>通用颜色</t>
  </si>
  <si>
    <t>倒计时条</t>
  </si>
  <si>
    <t>喊话内容</t>
  </si>
  <si>
    <t>子串搜索</t>
  </si>
  <si>
    <t>正则匹配</t>
  </si>
  <si>
    <t>喊话.语音报警</t>
  </si>
  <si>
    <t>喊话.团队报警</t>
  </si>
  <si>
    <t>喊话.密聊警报</t>
  </si>
  <si>
    <t>喊话.中央报警</t>
  </si>
  <si>
    <t>喊话.头顶报警</t>
  </si>
  <si>
    <t>return{TALK={</t>
  </si>
  <si>
    <t>%</t>
  </si>
  <si>
    <t>([浩气恶人]-)前线战况焦灼，(.-)，有劳你速速前往支援！</t>
  </si>
  <si>
    <t>255,255,100,</t>
  </si>
  <si>
    <t>(.-)已经尽力，请暂且退回疗伤。</t>
  </si>
  <si>
    <t>{$1}·败退</t>
  </si>
  <si>
    <t>罢了，青山不改，绿水长流，后会有期！</t>
  </si>
  <si>
    <t>{$sender}·败退</t>
  </si>
  <si>
    <t>return{CHAT={</t>
  </si>
  <si>
    <t>(.-)力不能敌，暂时败退。(.-)进攻顺利，此战有功，请即刻回营，准备下一步战略。</t>
  </si>
  <si>
    <t>{nClass=20,nIcon=13,nFrame=7,szName="浩气·{$2}·助战",nTime=0,key="浩气·{$2}·助战",},</t>
  </si>
  <si>
    <t>{nClass=20,nIcon=13,nFrame=3,szName="恶人·{$2}·助战",nTime=0,key="恶人·{$2}·助战",},</t>
  </si>
  <si>
    <t>(.-)误入埋伏，防守不利，暂时败退。请(.-)暂且撤回驻守之地，务必小心防守。</t>
  </si>
  <si>
    <t>(.-)出手协助众人酣战一场</t>
  </si>
  <si>
    <t>{nClass=20,nIcon=13,nFrame=7,szName="浩气·{$1}·助战",nTime=0,key="浩气·{$1}·助战",},</t>
  </si>
  <si>
    <t>{nClass=20,nIcon=13,nFrame=3,szName="恶人·{$1}·助战",nTime=0,key="恶人·{$1}·助战",},</t>
  </si>
  <si>
    <t>255,100,100,</t>
  </si>
  <si>
    <t>的带领下，成功击退影！</t>
  </si>
  <si>
    <t>的带领下，成功击退赵紫儿！</t>
  </si>
  <si>
    <t>的带领下，成功击退叶镜池！</t>
  </si>
  <si>
    <t>的带领下，成功击退郭珠！</t>
  </si>
  <si>
    <t>的带领下，成功击退穆玄英！</t>
  </si>
  <si>
    <t>的带领下，成功击退毕罗巴！</t>
  </si>
  <si>
    <t>的带领下，成功击退独孤修！</t>
  </si>
  <si>
    <t>的带领下，成功击退岳琅！</t>
  </si>
  <si>
    <t>的带领下，成功击退丁丁！</t>
  </si>
  <si>
    <t>的带领下，成功击退韩非池！</t>
  </si>
  <si>
    <t>的带领下，成功击退伊夜！</t>
    <phoneticPr fontId="18" type="noConversion"/>
  </si>
  <si>
    <t>的带领下，成功击退游驹！</t>
    <phoneticPr fontId="18" type="noConversion"/>
  </si>
  <si>
    <t>的带领下，成功击退谢渊！</t>
  </si>
  <si>
    <t>的带领下，成功击退司空仲平！</t>
    <phoneticPr fontId="18" type="noConversion"/>
  </si>
  <si>
    <t>的带领下，成功击退月弄痕！</t>
    <phoneticPr fontId="18" type="noConversion"/>
  </si>
  <si>
    <t>的带领下，成功击退张桎辕！</t>
    <phoneticPr fontId="18" type="noConversion"/>
  </si>
  <si>
    <t>的带领下，成功击退烟！</t>
    <phoneticPr fontId="18" type="noConversion"/>
  </si>
  <si>
    <t>的带领下，成功击退肖药儿！</t>
    <phoneticPr fontId="18" type="noConversion"/>
  </si>
  <si>
    <t>的带领下，成功击退陶寒亭！</t>
    <phoneticPr fontId="18" type="noConversion"/>
  </si>
  <si>
    <t>的带领下，成功击退王遗风！</t>
    <phoneticPr fontId="18" type="noConversion"/>
  </si>
  <si>
    <t>的带领下，成功击退白某！</t>
    <phoneticPr fontId="18" type="noConversion"/>
  </si>
  <si>
    <t>的带领下，成功击退司徒一一！</t>
    <phoneticPr fontId="18" type="noConversion"/>
  </si>
  <si>
    <t>的带领下，成功击退小七！</t>
    <phoneticPr fontId="18" type="noConversion"/>
  </si>
  <si>
    <t>主场·恶人·肖药儿·击退·浩气·司空仲平·首领</t>
    <phoneticPr fontId="18" type="noConversion"/>
  </si>
  <si>
    <t>主场·恶人·陶寒亭·击退·浩气·张桎辕·首领</t>
    <phoneticPr fontId="18" type="noConversion"/>
  </si>
  <si>
    <t>主场·恶人·米丽古丽·击退·浩气·小七·首领</t>
    <phoneticPr fontId="18" type="noConversion"/>
  </si>
  <si>
    <t>主场·恶人·白某·击退·浩气·游驹·首领</t>
    <phoneticPr fontId="18" type="noConversion"/>
  </si>
  <si>
    <t>主场·恶人·王遗风·击退·浩气·谢渊·首领</t>
    <phoneticPr fontId="18" type="noConversion"/>
  </si>
  <si>
    <t>主场·恶人·司徒一一·击退·浩气·月弄痕·首领</t>
    <phoneticPr fontId="18" type="noConversion"/>
  </si>
  <si>
    <t>恶人·吕沛杰·击退·浩气·陶杰·复活点·七星岩</t>
    <phoneticPr fontId="18" type="noConversion"/>
  </si>
  <si>
    <t>恶人·陶国栋·击退·浩气·郑鸥·复活点·栖霞</t>
    <phoneticPr fontId="18" type="noConversion"/>
  </si>
  <si>
    <t>恶人·张一洋·击退·浩气·周峰·复活点·龙隐山</t>
    <phoneticPr fontId="18" type="noConversion"/>
  </si>
  <si>
    <t>恶人·顾延恶·击退·浩气·谢烟客·复活点·烟雨居舍</t>
    <phoneticPr fontId="18" type="noConversion"/>
  </si>
  <si>
    <t>顾延恶已经尽力，请暂且退回疗伤。</t>
    <phoneticPr fontId="18" type="noConversion"/>
  </si>
  <si>
    <t>王遗风</t>
  </si>
  <si>
    <t>王遗风</t>
    <phoneticPr fontId="18" type="noConversion"/>
  </si>
  <si>
    <t>谢渊</t>
  </si>
  <si>
    <t>谢渊</t>
    <phoneticPr fontId="18" type="noConversion"/>
  </si>
  <si>
    <t>浩气·谢烟客·击退·恶人·顾延恶·复活点·烟雨居舍</t>
    <phoneticPr fontId="18" type="noConversion"/>
  </si>
  <si>
    <t>浩气·陶杰·击退·恶人·吕沛杰·复活点·七星岩</t>
    <phoneticPr fontId="18" type="noConversion"/>
  </si>
  <si>
    <t>浩气·郑鸥·击退·恶人·陶国栋·复活点·栖霞</t>
    <phoneticPr fontId="18" type="noConversion"/>
  </si>
  <si>
    <t>浩气·周峰·击退·恶人·张一洋·复活点·龙隐山</t>
    <phoneticPr fontId="18" type="noConversion"/>
  </si>
  <si>
    <t>吕沛杰已经尽力，请暂且退回疗伤。</t>
    <phoneticPr fontId="18" type="noConversion"/>
  </si>
  <si>
    <t>陶国栋已经尽力，请暂且退回疗伤。</t>
    <phoneticPr fontId="18" type="noConversion"/>
  </si>
  <si>
    <t>张一洋已经尽力，请暂且退回疗伤。</t>
    <phoneticPr fontId="18" type="noConversion"/>
  </si>
  <si>
    <t>谢烟客已经尽力，请暂且退回疗伤。</t>
    <phoneticPr fontId="18" type="noConversion"/>
  </si>
  <si>
    <t>陶杰已经尽力，请暂且退回疗伤。</t>
    <phoneticPr fontId="18" type="noConversion"/>
  </si>
  <si>
    <t>郑鸥已经尽力，请暂且退回疗伤。</t>
    <phoneticPr fontId="18" type="noConversion"/>
  </si>
  <si>
    <t>周峰已经尽力，请暂且退回疗伤。</t>
    <phoneticPr fontId="18" type="noConversion"/>
  </si>
  <si>
    <t>浩气·陶杰·击退·恶人·吕沛杰·复活点·炎狱山</t>
    <phoneticPr fontId="18" type="noConversion"/>
  </si>
  <si>
    <t>浩气·谢烟客·击退·恶人·顾延恶·复活点·平安客栈</t>
    <phoneticPr fontId="18" type="noConversion"/>
  </si>
  <si>
    <t>恶人·顾延恶·击退·浩气·谢烟客·复活点·平安客栈</t>
    <phoneticPr fontId="18" type="noConversion"/>
  </si>
  <si>
    <t>浩气·周峰·击退·恶人·张一洋·复活点·丐王坡</t>
    <phoneticPr fontId="18" type="noConversion"/>
  </si>
  <si>
    <t>浩气·郑鸥·击退·恶人·陶国栋·复活点·白骨陵园</t>
    <phoneticPr fontId="18" type="noConversion"/>
  </si>
  <si>
    <t>恶人·陶国栋·击退·浩气·郑鸥·复活点·白骨陵园</t>
    <phoneticPr fontId="18" type="noConversion"/>
  </si>
  <si>
    <t>奇袭·浩气·叶镜池·击退·恶人·岳琅·首领</t>
    <phoneticPr fontId="18" type="noConversion"/>
  </si>
  <si>
    <t>奇袭·恶人·岳琅·击退·浩气·叶镜池·首领</t>
    <phoneticPr fontId="18" type="noConversion"/>
  </si>
  <si>
    <t>奇袭·浩气·赵紫儿·击退·恶人·丁丁·首领</t>
    <phoneticPr fontId="18" type="noConversion"/>
  </si>
  <si>
    <t>奇袭·恶人·丁丁·击退·浩气·赵紫儿·首领</t>
    <phoneticPr fontId="18" type="noConversion"/>
  </si>
  <si>
    <t>奇袭·浩气·郭珠·击退·恶人·毕罗巴·首领</t>
    <phoneticPr fontId="18" type="noConversion"/>
  </si>
  <si>
    <t>奇袭·恶人·毕罗巴·击退·浩气·郭珠·首领</t>
    <phoneticPr fontId="18" type="noConversion"/>
  </si>
  <si>
    <t>奇袭·浩气·影·击退·恶人·独孤修·首领</t>
    <phoneticPr fontId="18" type="noConversion"/>
  </si>
  <si>
    <t>奇袭·恶人·独孤修·击退·浩气·影·首领</t>
    <phoneticPr fontId="18" type="noConversion"/>
  </si>
  <si>
    <t>奇袭·浩气·韩非池·击退·恶人·伊夜·首领</t>
    <phoneticPr fontId="18" type="noConversion"/>
  </si>
  <si>
    <t>奇袭·恶人·伊夜·击退·浩气·韩非池·首领</t>
    <phoneticPr fontId="18" type="noConversion"/>
  </si>
  <si>
    <t>奇袭·恶人·烟·击退·浩气·穆玄英·首领</t>
    <phoneticPr fontId="18" type="noConversion"/>
  </si>
  <si>
    <t>100,100,255,</t>
    <phoneticPr fontId="18" type="noConversion"/>
  </si>
  <si>
    <t>主场·浩气·月弄痕·击退·恶人·司徒一一·首领</t>
    <phoneticPr fontId="18" type="noConversion"/>
  </si>
  <si>
    <t>主场·浩气·游驹·击退·恶人·白某·首领</t>
    <phoneticPr fontId="18" type="noConversion"/>
  </si>
  <si>
    <t>主场·浩气·小七·击退·恶人·米丽古丽·首领</t>
    <phoneticPr fontId="18" type="noConversion"/>
  </si>
  <si>
    <t>主场·浩气·张桎辕·击退·恶人·陶寒亭·首领</t>
    <phoneticPr fontId="18" type="noConversion"/>
  </si>
  <si>
    <t>主场·浩气·司空仲平·击退·恶人·肖药儿·首领</t>
    <phoneticPr fontId="18" type="noConversion"/>
  </si>
  <si>
    <t>主场·浩气·谢渊·击退·恶人·王遗风·首领</t>
    <phoneticPr fontId="18" type="noConversion"/>
  </si>
  <si>
    <t>奇袭·浩气·穆玄英·击退·恶人·烟·首领</t>
    <phoneticPr fontId="18" type="noConversion"/>
  </si>
  <si>
    <t>赵紫儿</t>
    <phoneticPr fontId="18" type="noConversion"/>
  </si>
  <si>
    <t>叶镜池</t>
  </si>
  <si>
    <t>郭珠</t>
  </si>
  <si>
    <t>穆玄英</t>
  </si>
  <si>
    <t>韩非池</t>
  </si>
  <si>
    <t>影</t>
  </si>
  <si>
    <t>司空仲平</t>
  </si>
  <si>
    <t>月弄痕</t>
  </si>
  <si>
    <t>张桎辕</t>
  </si>
  <si>
    <t>小七</t>
  </si>
  <si>
    <t>游驹</t>
  </si>
  <si>
    <t>烟</t>
  </si>
  <si>
    <t>岳琅</t>
  </si>
  <si>
    <t>毕罗巴</t>
  </si>
  <si>
    <t>独孤修</t>
  </si>
  <si>
    <t>伊夜</t>
  </si>
  <si>
    <t>司徒一一</t>
  </si>
  <si>
    <t>白某</t>
  </si>
  <si>
    <t>陶寒亭</t>
  </si>
  <si>
    <t>肖药儿</t>
  </si>
  <si>
    <t>丁丁</t>
    <phoneticPr fontId="18" type="noConversion"/>
  </si>
  <si>
    <t>米丽古丽</t>
  </si>
  <si>
    <t>{nClass=14,nIcon=13,nFrame=7,szName="谢渊·{$1}·减伤",nTime=-1,key="谢渊·{$1}·减伤",},</t>
    <phoneticPr fontId="18" type="noConversion"/>
  </si>
  <si>
    <t>{nClass=14,nIcon=13,nFrame=3,szName="王遗风·{$1}·减伤",nTime=-1,key="王遗风·{$1}·减伤",},</t>
    <phoneticPr fontId="18" type="noConversion"/>
  </si>
  <si>
    <t>阵营首领</t>
    <phoneticPr fontId="18" type="noConversion"/>
  </si>
  <si>
    <t>地图</t>
    <phoneticPr fontId="18" type="noConversion"/>
  </si>
  <si>
    <t>驻场首领</t>
    <phoneticPr fontId="18" type="noConversion"/>
  </si>
  <si>
    <t>退场首领</t>
    <phoneticPr fontId="18" type="noConversion"/>
  </si>
  <si>
    <t>谢烟客</t>
  </si>
  <si>
    <t>谢烟客</t>
    <phoneticPr fontId="18" type="noConversion"/>
  </si>
  <si>
    <t>陶杰</t>
  </si>
  <si>
    <t>郑鸥</t>
  </si>
  <si>
    <t>周峰</t>
  </si>
  <si>
    <t>顾延恶</t>
  </si>
  <si>
    <t>吕沛杰</t>
  </si>
  <si>
    <t>陶国栋</t>
  </si>
  <si>
    <t>张一洋</t>
  </si>
  <si>
    <t>复活点</t>
    <phoneticPr fontId="18" type="noConversion"/>
  </si>
  <si>
    <t>烟雨居舍</t>
  </si>
  <si>
    <t>烟雨居舍</t>
    <phoneticPr fontId="18" type="noConversion"/>
  </si>
  <si>
    <t>七星岩</t>
  </si>
  <si>
    <t>栖霞</t>
  </si>
  <si>
    <t>龙隐山</t>
  </si>
  <si>
    <t>平安客栈</t>
  </si>
  <si>
    <t>炎狱山</t>
  </si>
  <si>
    <t>白骨陵园</t>
  </si>
  <si>
    <t>丐王坡</t>
  </si>
  <si>
    <t>恶人·吕沛杰·击退·浩气·陶杰·复活点·炎狱山</t>
    <phoneticPr fontId="18" type="noConversion"/>
  </si>
  <si>
    <t>恶人·张一洋·击退·浩气·周峰·复活点·丐王坡</t>
    <phoneticPr fontId="18" type="noConversion"/>
  </si>
  <si>
    <t>{nClass=14,nIcon=13,nFrame=6,szName="谢渊·{$sender}·减伤",nTime=0,key="谢渊·{$sender}·减伤",},</t>
    <phoneticPr fontId="18" type="noConversion"/>
  </si>
  <si>
    <t>{nClass=14,nIcon=13,nFrame=6,szName="王遗风·{$sender}·减伤",nTime=0,key="王遗风·{$sender}·减伤",},</t>
    <phoneticPr fontId="18" type="noConversion"/>
  </si>
  <si>
    <t>战况焦灼，瞬息万变，([浩气恶人]+)[盟谷]-侠士%[(.-)%]特请%[(.-)%]前来助战</t>
    <phoneticPr fontId="18" type="noConversion"/>
  </si>
  <si>
    <t>{$1}·正在召请·{$3}</t>
  </si>
  <si>
    <t>255,100,100,</t>
    <phoneticPr fontId="18" type="noConversion"/>
  </si>
  <si>
    <t>^本场攻防“([主战奇袭场]+)”已结束，([浩气盟恶人谷]+)[侠士们众志成城和，]-([大完险胜]+)([浩气盟恶人谷]+)[！，]+</t>
    <phoneticPr fontId="18" type="noConversion"/>
  </si>
  <si>
    <t>{nClass=20,nIcon=2400,nFrame=0,szName="{$1}·{$2}{$3}",nTime=10,nRefresh=2,key="{$1}",},</t>
    <phoneticPr fontId="18" type="noConversion"/>
  </si>
  <si>
    <t>{$1}·{$2}{$3}</t>
    <phoneticPr fontId="18" type="noConversion"/>
  </si>
  <si>
    <t>{$1}·回防</t>
    <phoneticPr fontId="18" type="noConversion"/>
  </si>
  <si>
    <t>本场攻防“主战场”已结束，浩气盟侠士和恶人谷侠士经过一场恶战，势均力敌，最终打为平手，暂时休战！\n</t>
  </si>
  <si>
    <t>本场攻防“奇袭场”已结束，浩气盟侠士和恶人谷侠士经过一场恶战，势均力敌，最终打为平手，暂时休战！\n</t>
    <phoneticPr fontId="18" type="noConversion"/>
  </si>
  <si>
    <t>奇袭场·平手</t>
    <phoneticPr fontId="18" type="noConversion"/>
  </si>
  <si>
    <t>主战场·平手</t>
    <phoneticPr fontId="18" type="noConversion"/>
  </si>
  <si>
    <t>{nClass=20,nIcon=2401,nFrame=0,szName="主战场·平手",nTime=10,nRefresh=2,key="主战场",},</t>
  </si>
  <si>
    <t>([浩气恶人]+)[盟谷]-的【(.-)】帮会成功占领【(.-)】据点！</t>
  </si>
  <si>
    <t>([浩气恶人]+)[盟谷]-位于(.-)的【(.-)据点】大旗被夺</t>
  </si>
  <si>
    <t>^【(.*)】据点大旗.*重置回初始位置！</t>
  </si>
  <si>
    <t>^江湖快报！(.-)据点粮仓被一群([浩气恶人]+)[盟谷]-人士洗劫，损失一半据点资金。</t>
  </si>
  <si>
    <t>{nClass=20,nIcon=2397,nFrame=-1,szName="{$3}·浩气占领",nTime=-1,key="{$3}·浩气占领",},</t>
  </si>
  <si>
    <t>{nClass=20,nIcon=2398,nFrame=-1,szName="{$3}·恶人占领",nTime=-1,key="{$3}·恶人占领",},</t>
  </si>
  <si>
    <t>{nClass=20,nIcon=20122,nFrame=7,szName="【{$3}】·浩气占领",nTime=30,nRefresh=1,key="{$3}·浩气占领",},</t>
  </si>
  <si>
    <t>{nClass=20,nIcon=20114,nFrame=3,szName="【{$3}】·恶人占领",nTime=30,nRefresh=1,key="{$3}·恶人占领",},</t>
  </si>
  <si>
    <t>{nClass=20,nIcon=2397,nFrame=-1,szName="{$3}·浩气大旗被夺",nTime=-1,key="{$3}·浩气大旗被夺",},</t>
  </si>
  <si>
    <t>{nClass=20,nIcon=2398,nFrame=-1,szName="{$3}·恶人大旗被夺",nTime=-1,key="{$3}·恶人大旗被夺",},</t>
  </si>
  <si>
    <t>{nClass=20,nIcon=592,nFrame=4,szName="【{$1}】大旗重置",nTime=180,key="{$1}·大旗重置",},</t>
  </si>
  <si>
    <t>{nClass=20,nIcon=2397,nFrame=-1,szName="{$1}·浩气劫粮",nTime=-1,key="{$1}·浩气劫粮",},</t>
  </si>
  <si>
    <t>{nClass=20,nIcon=2398,nFrame=-1,szName="{$1}·恶人劫粮",nTime=-1,key="{$1}·恶人劫粮",},</t>
  </si>
  <si>
    <t>{nClass=20,nIcon=15387,nFrame=7,szName="【{$1}】浩气劫粮",nTime=30,nRefresh=1,key="{$1}·浩气劫粮",},</t>
  </si>
  <si>
    <t>{nClass=20,nIcon=15383,nFrame=3,szName="【{$1}】恶人劫粮",nTime=30,nRefresh=1,key="{$1}·恶人劫粮",},</t>
  </si>
  <si>
    <t>{$3}·{$1}占领</t>
    <phoneticPr fontId="18" type="noConversion"/>
  </si>
  <si>
    <t>{$3}·{$1}大旗被夺</t>
    <phoneticPr fontId="18" type="noConversion"/>
  </si>
  <si>
    <t>{$1}大旗重置</t>
    <phoneticPr fontId="18" type="noConversion"/>
  </si>
  <si>
    <t>{$1}·{$2}劫粮</t>
    <phoneticPr fontId="18" type="noConversion"/>
  </si>
  <si>
    <t>{nClass=14,nIcon=20122,nFrame=7,szName="浩气·{$2}·前来助战",nTime=300,nRefresh=1,key="浩气·{$2}·助战",},</t>
    <phoneticPr fontId="18" type="noConversion"/>
  </si>
  <si>
    <t>{nClass=14,nIcon=20114,nFrame=3,szName="恶人·{$2}·前来助战",nTime=300,nRefresh=1,key="恶人·{$2}·助战",},</t>
    <phoneticPr fontId="18" type="noConversion"/>
  </si>
  <si>
    <t>{nClass=14,nIcon=16834,nFrame=6,szName="{$2}·减伤层数已清空",nTime=10,key="{$sender}·{$2}·减伤",},</t>
    <phoneticPr fontId="18" type="noConversion"/>
  </si>
  <si>
    <t>{nClass=14,nIcon=2399,nFrame=2,szName="{$1}·召请CD·{$2}",nTime=1800,key="召请CD·{$2}",},</t>
    <phoneticPr fontId="18" type="noConversion"/>
  </si>
  <si>
    <t>{nClass=20,nIcon=13345,nFrame=0,szName="{$1}·正在召请·{$3}",nTime=10,key="{$1}·{$3}·助战",},</t>
    <phoneticPr fontId="18" type="noConversion"/>
  </si>
  <si>
    <t>{nClass=20,nIcon=2400,nFrame=7,szName="{$3}·{$1}占领",nTime=0,key="{$3}·{$1}占领",},</t>
    <phoneticPr fontId="18" type="noConversion"/>
  </si>
  <si>
    <t>{nClass=20,nIcon=2400,nFrame=7,szName="{$3}·{$1}大旗被夺",nTime=0,key="{$3}·{$1}大旗被夺",},</t>
    <phoneticPr fontId="18" type="noConversion"/>
  </si>
  <si>
    <t>{nClass=20,nIcon=2400,nFrame=7,szName="{$1}·{$2}劫粮",nTime=0,key="{$1}·{$2}劫粮",},</t>
    <phoneticPr fontId="18" type="noConversion"/>
  </si>
  <si>
    <t>{nClass=20,nIcon=4837,nFrame=7,szName="{$2}【{$3}】浩气大旗被夺",nTime=30,nRefresh=1,key="{$3}·浩气大旗被夺",},</t>
    <phoneticPr fontId="18" type="noConversion"/>
  </si>
  <si>
    <t>{nClass=20,nIcon=4838,nFrame=3,szName="{$2}【{$3}】恶人大旗被夺",nTime=30,nRefresh=1,key="{$3}·恶人大旗被夺",},</t>
    <phoneticPr fontId="18" type="noConversion"/>
  </si>
  <si>
    <t>野外</t>
    <phoneticPr fontId="18" type="noConversion"/>
  </si>
  <si>
    <t>{nClass=14,nIcon=18829,nFrame=7,szName="浩气·{$1}·败退",nTime=10,nRefresh=10,key="谢渊·{$1}·减伤",},</t>
    <phoneticPr fontId="18" type="noConversion"/>
  </si>
  <si>
    <t>{nClass=14,nIcon=18830,nFrame=3,szName="恶人·{$1}·败退",nTime=10,nRefresh=10,key="王遗风·{$1}·减伤",},</t>
    <phoneticPr fontId="18" type="noConversion"/>
  </si>
  <si>
    <t>[奇袭]</t>
    <phoneticPr fontId="18" type="noConversion"/>
  </si>
  <si>
    <t>[主场]</t>
    <phoneticPr fontId="18" type="noConversion"/>
  </si>
  <si>
    <t>的带领下，成功击退米丽古丽！</t>
    <phoneticPr fontId="18" type="noConversion"/>
  </si>
  <si>
    <t>穆玄英</t>
    <phoneticPr fontId="18" type="noConversion"/>
  </si>
  <si>
    <t>叶镜池</t>
    <phoneticPr fontId="18" type="noConversion"/>
  </si>
  <si>
    <t>影</t>
    <phoneticPr fontId="18" type="noConversion"/>
  </si>
  <si>
    <t>郭珠</t>
    <phoneticPr fontId="18" type="noConversion"/>
  </si>
  <si>
    <t>独孤修</t>
    <phoneticPr fontId="18" type="noConversion"/>
  </si>
  <si>
    <t>烟</t>
    <phoneticPr fontId="18" type="noConversion"/>
  </si>
  <si>
    <t>岳琅</t>
    <phoneticPr fontId="18" type="noConversion"/>
  </si>
  <si>
    <t>毕罗巴</t>
    <phoneticPr fontId="18" type="noConversion"/>
  </si>
  <si>
    <t>你已进入地图【浩气盟】。</t>
    <phoneticPr fontId="18" type="noConversion"/>
  </si>
  <si>
    <t>肖药儿</t>
    <phoneticPr fontId="18" type="noConversion"/>
  </si>
  <si>
    <t>月弄痕</t>
    <phoneticPr fontId="18" type="noConversion"/>
  </si>
  <si>
    <t>游驹</t>
    <phoneticPr fontId="18" type="noConversion"/>
  </si>
  <si>
    <t>你已进入地图【恶人谷】。</t>
    <phoneticPr fontId="18" type="noConversion"/>
  </si>
  <si>
    <t>{nClass=14,nIcon=13,nFrame=-1,szName="{$sender}·{$1}·减伤",nTime=-2,key="{$sender}·{$1}·减伤",},</t>
    <phoneticPr fontId="18" type="noConversion"/>
  </si>
  <si>
    <t>{nClass=14,nIcon=13,nFrame=-1,szName="{$sender}·{$1}·减伤",nTime=0,key="{$sender}·{$1}·减伤",},</t>
    <phoneticPr fontId="18" type="noConversion"/>
  </si>
  <si>
    <t>你获得了100点威名、100点战阶。受到了鼓舞，气力值增加500点。</t>
  </si>
  <si>
    <t>你获得了100点威名、100点战阶。受到了鼓舞，气力值消耗减少一段时间。</t>
  </si>
  <si>
    <t>图标</t>
  </si>
  <si>
    <t>数量</t>
  </si>
  <si>
    <t>全部消失</t>
  </si>
  <si>
    <t>名称</t>
  </si>
  <si>
    <t>心法要求</t>
  </si>
  <si>
    <t>NPC进入.标记</t>
  </si>
  <si>
    <t>NPC进入.语音报警</t>
  </si>
  <si>
    <t>NPC进入.团队报警</t>
  </si>
  <si>
    <t>NPC进入.密聊报警</t>
  </si>
  <si>
    <t>NPC进入.中央报警</t>
  </si>
  <si>
    <t>NPC进入.头顶报警</t>
  </si>
  <si>
    <t>NPC离开.语音报警</t>
  </si>
  <si>
    <t>NPC离开.团队报警</t>
  </si>
  <si>
    <t>NPC离开.密聊报警</t>
  </si>
  <si>
    <t>NPC离开.中央报警</t>
  </si>
  <si>
    <t>焦点列表</t>
  </si>
  <si>
    <t>return{NPC={</t>
  </si>
  <si>
    <t>0,255,0,</t>
  </si>
  <si>
    <t>{dwMapID=-1,nMaxDistance=0,tRelation={bAll=false,bEnemy=true,bAlly=false,},tLife={bEnable=false,szOperator="&gt;",nValue=0,},},</t>
  </si>
  <si>
    <t>野外地图</t>
  </si>
  <si>
    <t>主城</t>
  </si>
  <si>
    <t>{dwMapID=-1,nMaxDistance=3,tRelation={bAll=true,bEnemy=false,bAlly=false,},tLife={bEnable=false,szOperator="&gt;",nValue=0,},},</t>
  </si>
  <si>
    <t>{dwMapID=-1,nMaxDistance=10,tRelation={bAll=false,bEnemy=false,bAlly=true,},tLife={bEnable=false,szOperator="&gt;",nValue=0,},},</t>
  </si>
  <si>
    <t>大旗·红莲岗</t>
  </si>
  <si>
    <t>{dwMapID=-1,szDisplay="大旗·红莲岗",nMaxDistance=3,tRelation={bAll=true,bEnemy=false,bAlly=false,},tLife={bEnable=false,szOperator="&gt;",nValue=0,},},</t>
  </si>
  <si>
    <t>大旗·秋雨堡</t>
  </si>
  <si>
    <t>{dwMapID=-1,szDisplay="大旗·秋雨堡",nMaxDistance=3,tRelation={bAll=true,bEnemy=false,bAlly=false,},tLife={bEnable=false,szOperator="&gt;",nValue=0,},},</t>
  </si>
  <si>
    <t>{dwMapID=-1,szDisplay="大旗·金门关",nMaxDistance=3,tRelation={bAll=true,bEnemy=false,bAlly=false,},tLife={bEnable=false,szOperator="&gt;",nValue=0,},},</t>
  </si>
  <si>
    <t>{dwMapID=-1,szDisplay="大旗·青云坞",nMaxDistance=3,tRelation={bAll=true,bEnemy=false,bAlly=false,},tLife={bEnable=false,szOperator="&gt;",nValue=0,},},</t>
  </si>
  <si>
    <t>100,255,255,</t>
  </si>
  <si>
    <t>{dwMapID=-1,szDisplay="郭海宾·阵营前置",nMaxDistance=0,tRelation={bAll=true,bEnemy=false,bAlly=false,},tLife={bEnable=false,szOperator="&gt;",nValue=0,},},</t>
  </si>
  <si>
    <t>{dwMapID=-1,szDisplay="左破天·阵营前置",nMaxDistance=0,tRelation={bAll=true,bEnemy=false,bAlly=false,},tLife={bEnable=false,szOperator="&gt;",nValue=0,},},</t>
  </si>
  <si>
    <t>{dwMapID=-1,szDisplay="赵新宇·阵营前置",nMaxDistance=0,tRelation={bAll=true,bEnemy=false,bAlly=false,},tLife={bEnable=false,szOperator="&gt;",nValue=0,},},</t>
  </si>
  <si>
    <t>{dwMapID=-1,szDisplay="方超··阵营前置",nMaxDistance=0,tRelation={bAll=true,bEnemy=false,bAlly=false,},tLife={bEnable=false,szOperator="&gt;",nValue=0,},},</t>
  </si>
  <si>
    <t>{dwMapID=-1,szDisplay="浩气牛车·粮草先行",nMaxDistance=0,tRelation={bAll=true,bEnemy=false,bAlly=false,},tLife={bEnable=false,szOperator="&gt;",nValue=0,},},</t>
  </si>
  <si>
    <t>{dwMapID=-1,szDisplay="恶人牛车·粮草先行",nMaxDistance=0,tRelation={bAll=true,bEnemy=false,bAlly=false,},tLife={bEnable=false,szOperator="&gt;",nValue=0,},},</t>
  </si>
  <si>
    <t>管良沧·粮草先行</t>
  </si>
  <si>
    <t>{dwMapID=-1,szDisplay="管良沧·粮草先行",nMaxDistance=60,tRelation={bAll=false,bEnemy=false,bAlly=true,},tLife={bEnable=false,szOperator="&gt;",nValue=0,},},</t>
  </si>
  <si>
    <t>苏才寥·粮草先行</t>
  </si>
  <si>
    <t>{dwMapID=-1,szDisplay="苏才寥·粮草先行",nMaxDistance=60,tRelation={bAll=false,bEnemy=false,bAlly=true,},tLife={bEnable=false,szOperator="&gt;",nValue=0,},},</t>
  </si>
  <si>
    <t>大旗·武王城</t>
  </si>
  <si>
    <t>{dwMapID=-1,szDisplay="大旗·武王城",nMaxDistance=3,tRelation={bAll=true,bEnemy=false,bAlly=false,},tLife={bEnable=false,szOperator="&gt;",nValue=0,},},</t>
  </si>
  <si>
    <t>{dwMapID=-1,nMaxDistance=3,tRelation={bAll=false,bEnemy=false,bAlly=true,},tLife={bEnable=false,szOperator="&gt;",nValue=0,},},</t>
  </si>
  <si>
    <t>{dwMapID=-1,szDisplay="王洵·阵营前置",nMaxDistance=10,tRelation={bAll=false,bEnemy=false,bAlly=true,},tLife={bEnable=false,szOperator="&gt;",nValue=0,},},</t>
  </si>
  <si>
    <t>{dwMapID=-1,szDisplay="何非笑·阵营前置",nMaxDistance=10,tRelation={bAll=false,bEnemy=false,bAlly=true,},tLife={bEnable=false,szOperator="&gt;",nValue=0,},},</t>
  </si>
  <si>
    <t>大旗·激流坞</t>
  </si>
  <si>
    <t>{dwMapID=-1,szDisplay="大旗·激流坞",nMaxDistance=3,tRelation={bAll=true,bEnemy=false,bAlly=false,},tLife={bEnable=false,szOperator="&gt;",nValue=0,},},</t>
  </si>
  <si>
    <t>大旗·不空关</t>
  </si>
  <si>
    <t>{dwMapID=-1,szDisplay="大旗·不空关",nMaxDistance=3,tRelation={bAll=true,bEnemy=false,bAlly=false,},tLife={bEnable=false,szOperator="&gt;",nValue=0,},},</t>
  </si>
  <si>
    <t>大旗·日月崖</t>
  </si>
  <si>
    <t>{dwMapID=-1,szDisplay="大旗·日月崖",nMaxDistance=3,tRelation={bAll=true,bEnemy=false,bAlly=false,},tLife={bEnable=false,szOperator="&gt;",nValue=0,},},</t>
  </si>
  <si>
    <t>大旗·卧龙坡</t>
  </si>
  <si>
    <t>{dwMapID=-1,szDisplay="大旗·卧龙坡",nMaxDistance=3,tRelation={bAll=true,bEnemy=false,bAlly=false,},tLife={bEnable=false,szOperator="&gt;",nValue=0,},},</t>
  </si>
  <si>
    <t>大旗·霜戈堡</t>
  </si>
  <si>
    <t>{dwMapID=-1,szDisplay="大旗·霜戈堡",nMaxDistance=3,tRelation={bAll=true,bEnemy=false,bAlly=false,},tLife={bEnable=false,szOperator="&gt;",nValue=0,},},</t>
  </si>
  <si>
    <t>大旗·澜沧城</t>
  </si>
  <si>
    <t>{dwMapID=-1,szDisplay="大旗·澜沧城",nMaxDistance=3,tRelation={bAll=true,bEnemy=false,bAlly=false,},tLife={bEnable=false,szOperator="&gt;",nValue=0,},},</t>
  </si>
  <si>
    <t>大旗·凤鸣堡</t>
  </si>
  <si>
    <t>{dwMapID=-1,szDisplay="大旗·凤鸣堡",nMaxDistance=3,tRelation={bAll=true,bEnemy=false,bAlly=false,},tLife={bEnable=false,szOperator="&gt;",nValue=0,},},</t>
  </si>
  <si>
    <t>大旗·惊虬谷</t>
  </si>
  <si>
    <t>{dwMapID=-1,szDisplay="大旗·惊虬谷",nMaxDistance=3,tRelation={bAll=true,bEnemy=false,bAlly=false,},tLife={bEnable=false,szOperator="&gt;",nValue=0,},},</t>
  </si>
  <si>
    <t>大旗·大理山城</t>
  </si>
  <si>
    <t>{dwMapID=-1,szDisplay="大旗·大理山城",nMaxDistance=3,tRelation={bAll=true,bEnemy=false,bAlly=false,},tLife={bEnable=false,szOperator="&gt;",nValue=0,},},</t>
  </si>
  <si>
    <t>{dwMapID=-1,nMaxDistance=0,tRelation={bAll=true,bEnemy=false,bAlly=false,},tLife={bEnable=false,szOperator="&gt;",nValue=0,},},</t>
  </si>
  <si>
    <t>{dwMapID=-1,nMaxDistance=10,tRelation={bAll=false,bEnemy=true,bAlly=false,},tLife={bEnable=false,szOperator="&gt;",nValue=0,},},</t>
  </si>
  <si>
    <t>阴山商路</t>
  </si>
  <si>
    <t>{dwMapID=-1,szDisplay="夏洛特·阴山商路补货",nMaxDistance=20,tRelation={bAll=true,bEnemy=false,bAlly=false,},tLife={bEnable=false,szOperator="&gt;",nValue=0,},},</t>
  </si>
  <si>
    <t>{dwMapID=-1,nMaxDistance=40,tRelation={bAll=true,bEnemy=false,bAlly=false,},tLife={bEnable=false,szOperator="&gt;",nValue=0,},},</t>
  </si>
  <si>
    <t>大旗·云台营</t>
  </si>
  <si>
    <t>{dwMapID=-1,szDisplay="大旗·云台营",nMaxDistance=20,tRelation={bAll=true,bEnemy=false,bAlly=false,},tLife={bEnable=false,szOperator="&gt;",nValue=0,},},</t>
  </si>
  <si>
    <t>大旗·高阳营</t>
  </si>
  <si>
    <t>{dwMapID=-1,szDisplay="大旗·高阳营",nMaxDistance=20,tRelation={bAll=true,bEnemy=false,bAlly=false,},tLife={bEnable=false,szOperator="&gt;",nValue=0,},},</t>
  </si>
  <si>
    <t>{dwMapID=-1,szDisplay="分线·传送",nMaxDistance=6,tRelation={bAll=false,bEnemy=false,bAlly=true,},tLife={bEnable=false,szOperator="&gt;",nValue=0,},},</t>
  </si>
  <si>
    <t>{dwMapID=-1,szDisplay="蒋征南·烽烟再起",nMaxDistance=10,tRelation={bAll=false,bEnemy=false,bAlly=true,},tLife={bEnable=false,szOperator="&gt;",nValue=0,},},</t>
  </si>
  <si>
    <t>255,255,31,</t>
  </si>
  <si>
    <t>{dwMapID=-1,szDisplay="谷艾·阴山商路主簿",nMaxDistance=20,tRelation={bAll=false,bEnemy=false,bAlly=true,},tLife={bEnable=false,szOperator="&gt;",nValue=0,},},</t>
  </si>
  <si>
    <t>{dwMapID=-1,szDisplay="宋涛·阴山商路主簿",nMaxDistance=20,tRelation={bAll=false,bEnemy=false,bAlly=true,},tLife={bEnable=false,szOperator="&gt;",nValue=0,},},</t>
  </si>
  <si>
    <t>物件进入.语音报警</t>
  </si>
  <si>
    <t>物件进入.团队报警</t>
  </si>
  <si>
    <t>物件进入.密聊报警</t>
  </si>
  <si>
    <t>物件进入.中央报警</t>
  </si>
  <si>
    <t>物件离开.语音报警</t>
  </si>
  <si>
    <t>物件离开.团队报警</t>
  </si>
  <si>
    <t>物件离开.密聊报警</t>
  </si>
  <si>
    <t>物件离开.中央报警</t>
  </si>
  <si>
    <t>狼牙先锋首领掉落</t>
  </si>
  <si>
    <t>{dwMapID=-1,szDisplay="狼牙先锋首领·掉落",nMaxDistance=0,tRelation={bAll=true,bEnemy=false,bAlly=false,},tLife={bEnable=false,szOperator="&gt;",nValue=0,},},</t>
  </si>
  <si>
    <t>粮仓宝堆</t>
  </si>
  <si>
    <t>{dwMapID=-1,szDisplay="粮仓宝堆",nMaxDistance=0,tRelation={bAll=true,bEnemy=false,bAlly=false,},tLife={bEnable=false,szOperator="&gt;",nValue=0,},},</t>
  </si>
  <si>
    <t>{dwMapID=-1,szDisplay="方超信物·阵营前置",nMaxDistance=0,tRelation={bAll=true,bEnemy=false,bAlly=false,},tLife={bEnable=false,szOperator="&gt;",nValue=0,},},</t>
  </si>
  <si>
    <t>{dwMapID=-1,szDisplay="赵新宇信物·阵营前置",nMaxDistance=0,tRelation={bAll=true,bEnemy=false,bAlly=false,},tLife={bEnable=false,szOperator="&gt;",nValue=0,},},</t>
  </si>
  <si>
    <t>{dwMapID=-1,szDisplay="河底的沙石·前置",nMaxDistance=20,tRelation={bAll=false,bEnemy=true,bAlly=false,},tLife={bEnable=false,szOperator="&gt;",nValue=0,},},</t>
  </si>
  <si>
    <t>{dwMapID=-1,szDisplay="护送奖赏·粮草先行",nMaxDistance=0,tRelation={bAll=true,bEnemy=false,bAlly=false,},tLife={bEnable=false,szOperator="&gt;",nValue=0,},},</t>
  </si>
  <si>
    <t>{dwMapID=-1,szDisplay="孙永恒信物·阵营前置",nMaxDistance=0,tRelation={bAll=true,bEnemy=false,bAlly=false,},tLife={bEnable=false,szOperator="&gt;",nValue=0,},},</t>
  </si>
  <si>
    <t>{dwMapID=-1,szDisplay="霸图的信物·阵营前置",nMaxDistance=0,tRelation={bAll=true,bEnemy=false,bAlly=false,},tLife={bEnable=false,szOperator="&gt;",nValue=0,},},</t>
  </si>
  <si>
    <t>{dwMapID=-1,szDisplay="散落的冰魂货箱·前置",nMaxDistance=20,tRelation={bAll=true,bEnemy=false,bAlly=false,},tLife={bEnable=false,szOperator="&gt;",nValue=0,},},</t>
  </si>
  <si>
    <t>物资堆·物资车</t>
  </si>
  <si>
    <t>{dwMapID=-1,szDisplay="物资堆·物资车",nMaxDistance=30,tRelation={bAll=true,bEnemy=false,bAlly=false,},tLife={bEnable=false,szOperator="&gt;",nValue=0,},},</t>
  </si>
  <si>
    <t>物资箱·复活点</t>
  </si>
  <si>
    <t>{dwMapID=-1,szDisplay="物资箱·复活点",nMaxDistance=30,tRelation={bAll=true,bEnemy=false,bAlly=false,},tLife={bEnable=false,szOperator="&gt;",nValue=0,},},</t>
  </si>
  <si>
    <t>物资·首领掉落</t>
  </si>
  <si>
    <t>{dwMapID=-1,szDisplay="物资·首领掉落",nMaxDistance=0,tRelation={bAll=true,bEnemy=false,bAlly=false,},tLife={bEnable=false,szOperator="&gt;",nValue=0,},},</t>
  </si>
  <si>
    <t>{dwMapID=-1,szDisplay="冰魂·阵营前置",nMaxDistance=60,tRelation={bAll=true,bEnemy=false,bAlly=false,},tLife={bEnable=false,szOperator="&gt;",nValue=0,},},</t>
  </si>
  <si>
    <t>100,100,255,</t>
  </si>
  <si>
    <t>侠士 [{$me}] 在拾取复活点物资时意外获得了[便携装置·神机车]。</t>
    <phoneticPr fontId="18" type="noConversion"/>
  </si>
  <si>
    <t>便携装置·神机车</t>
  </si>
  <si>
    <t>军情速递！浩气盟物资车已运达，车内装有大量物资，望侠士们前来拾取，切莫错过。\n</t>
  </si>
  <si>
    <t>军情速递！恶人谷物资官传来消息，现有一批新物资运至各复活点，望恶人侠士们前来领取，以便增强战斗实力。\n</t>
  </si>
  <si>
    <t>军情速递！浩气盟物资官传来消息，现有一批新物资运至各复活点，望浩气侠士们前来领取，以便增强战斗实力。\n</t>
  </si>
  <si>
    <t>本场恶人谷攻防即将结束，昆仑物资运送暂且休整，等待下一场攻防开启！\n</t>
  </si>
  <si>
    <t>{nClass=20,nIcon=17135,nFrame=0,szName="粮草先行·恶人谷",nTime=0,key="粮草先行·恶人谷",},</t>
  </si>
  <si>
    <t>{nClass=20,nIcon=17135,nFrame=0,szName="粮草先行·浩气盟",nTime=0,key="粮草先行·浩气盟",},</t>
  </si>
  <si>
    <t>随着孙永恒的死亡，一柄短剑从他身上滑落，似乎是他的随身信物。\n</t>
  </si>
  <si>
    <t>随着霸图的死亡，一柄钢刀从他身上滑落，似乎是他的随身信物。\n</t>
  </si>
  <si>
    <t>昆仑山浩气盟东昆仑高地援军已到，营地夺回，交通恢复！\n</t>
  </si>
  <si>
    <t>昆仑山恶人谷西昆仑高地援军已到，营地夺回，交通恢复！\n</t>
  </si>
  <si>
    <t>随着方超的死亡，一把短笛掉了出来，貌似是他的随身信物。\n</t>
  </si>
  <si>
    <t>赵新宇死亡时，从他身上遗落一把短笛，貌似是他的随身信物。\n</t>
  </si>
  <si>
    <t>南屏山浩气盟望北村援军已到，营地夺回，交通恢复！\n</t>
  </si>
  <si>
    <t>南屏山恶人谷伴江村援军已到，营地夺回，交通恢复！\n</t>
  </si>
  <si>
    <t>阵营攻防排队正式开始，侠士们速速前往恶人谷地图参与排队，亦可与主城战场的冷倪之、冷允之对话进行排队。\n</t>
  </si>
  <si>
    <t>{nClass=20,nIcon=17582,nFrame=3,szName="主战场·恶人谷",nTime=60,key="大攻防·主战场",},</t>
  </si>
  <si>
    <t>{nClass=20,nIcon=17583,nFrame=7,szName="奇袭场·浩气盟",nTime=60,key="大攻防·奇袭场",},</t>
  </si>
  <si>
    <t>阵营攻防排队正式开始，侠士们速速前往浩气盟地图参与排队，亦可与主城战场的冷倪之、冷允之对话进行排队。\n</t>
  </si>
  <si>
    <t>{nClass=20,nIcon=17583,nFrame=7,szName="主战场·浩气盟",nTime=60,key="大攻防·主战场",},</t>
  </si>
  <si>
    <t>{nClass=20,nIcon=17582,nFrame=3,szName="奇袭场·恶人谷",nTime=60,key="大攻防·奇袭场",},</t>
  </si>
  <si>
    <t>前线战况空前激烈！未能进入前线据点争夺场景参与战斗的侠士，可前往阴山大草原助本阵营后方物资运送一臂之力！只需完成增援任务，也可以参与本日逐鹿中原结算奖励发放。\n</t>
  </si>
  <si>
    <t>{nClass=20,nIcon=3536,nFrame=3,szName="小攻防·阴山大草原·分流",nTime=10,nRefresh=3600,key="小攻防·阴山大草原·分流",},</t>
  </si>
  <si>
    <t>逐鹿中原前线战况空前激烈，位于阴山大草原的分线据点争夺将于5分钟后开启！未能进入前线据点争夺场景的侠士可从沙盘地图（Ctrl + M）动态分线入口，或主城战场区小曾和小珍处进入分线场景。\n</t>
  </si>
  <si>
    <t>阴山大草原·分线据点争夺正式开始，场景内交通已中断。\n</t>
  </si>
  <si>
    <t>阵营攻防首领战奇袭场分线已经开启，现可前往本日奇袭场分线参与争夺，也可通过主城战场区分线接引人前往各个奇袭场分线参与。\n</t>
  </si>
  <si>
    <t>{nClass=20,nIcon=3536,nFrame=3,szName="攻防·奇袭场·分线·开启",nTime=10,nRefresh=7200,key="大攻防·分流",},</t>
  </si>
  <si>
    <t>阵营攻防战即将开始，为防弄虚作假者，即将对“恶人谷”地图进行清场操作，并在“下午六点三十分”开始攻防排队，请侠士们做好准备。请勿在下午六点三十分前排队，将被视为无效。\n</t>
  </si>
  <si>
    <t>阵营攻防战即将开始，为防弄虚作假者，即将对“恶人谷”地图进行清场操作，并在“中午十二点三十分”开始攻防排队，请侠士们做好准备。请勿在中午十二点三十分前排队，将被视为无效。\n</t>
  </si>
  <si>
    <t>阵营攻防战即将开始，为防弄虚作假者，即将对“浩气盟”地图进行清场操作，并在“下午六点三十分”开始攻防排队，请侠士们做好准备。请勿在下午六点三十分前排队，将被视为无效。\n</t>
  </si>
  <si>
    <t>阵营攻防战即将开始，为防弄虚作假者，即将对“浩气盟”地图进行清场操作，并在“中午十二点三十分”开始攻防排队，请侠士们做好准备。请勿在中午十二点三十分前排队，将被视为无效。\n</t>
  </si>
  <si>
    <t>据点争夺战即将开始，为防弄虚作假者，即将对据点活动地图进行清场操作，请各阵营侠士做好准备。拥有据点地图优先进入权的帮众可提前进入地图以作防守准备，不会被清出地图。\n</t>
  </si>
  <si>
    <t>{nClass=-1,nIcon=439,nFrame=0,szName="60,小攻防排队正式开始;180,小攻防据点清场;480,等待放人",nTime=0,},</t>
  </si>
  <si>
    <t>浩气盟前线战况空前激烈！未能进入浩气盟前线据点争夺场景参与战斗的侠士，可前往黑戈壁助本阵营后方物资运送一臂之力！只需完成增援任务，也可以参与本日逐鹿中原结算奖励发放。\n</t>
  </si>
  <si>
    <t>{nClass=20,nIcon=18784,nFrame=7,szName="浩气盟·小攻防·黑戈壁分流",nTime=30,nRefresh=3600,key="浩气盟·小攻防·黑戈壁分流",},</t>
  </si>
  <si>
    <t>恶人谷前线战况空前激烈！未能进入恶人谷前线据点争夺场景参与战斗的侠士，可前往黑戈壁助本阵营后方物资运送一臂之力！只需完成增援任务，也可以参与本日逐鹿中原结算奖励发放。\n</t>
  </si>
  <si>
    <t>{nClass=20,nIcon=18783,nFrame=3,szName="恶人谷·小攻防·黑戈壁分流",nTime=30,nRefresh=3600,key="恶人谷·小攻防·黑戈壁分流",},</t>
  </si>
  <si>
    <t>为保障各位侠士的安全，浩气盟和恶人谷重新派出了守卫，在野外地图侠士重伤后复活可回到阵营复活点！\n</t>
  </si>
  <si>
    <t>前线据点之争已经打响，争夺正式开始，沙盘地图（CTRL + M）绘有详细战略意图，谁将称霸中原，我们拭目以待！\n</t>
  </si>
  <si>
    <t>据点攻防·正式开始</t>
  </si>
  <si>
    <t>攻防排队即将开始，为公平起见，对排队做了清空处理，请侠士速速重新排队。</t>
  </si>
  <si>
    <t>本场贡献值进入前1200名，额外获得3000威名，可通过邮件领取\n</t>
  </si>
  <si>
    <t>据点争夺已结束，所有交通已恢复。\n</t>
  </si>
  <si>
    <t>{nClass=20,nIcon=3556,nFrame=3,szName="狼牙先锋首领",nTime=0,key="狼牙先锋首领",},</t>
  </si>
  <si>
    <t>据点攻防·已结束</t>
    <phoneticPr fontId="18" type="noConversion"/>
  </si>
  <si>
    <t>留下大量军功，请“浩气盟”侠士们前来拾取，切莫错过。</t>
  </si>
  <si>
    <t>{nClass=20,nIcon=2397,nFrame=5,szName="浩气盟·拾取首领掉落",nTime="300,浩气盟·拾取首领掉落;600,狼牙先锋首领·5分钟刷新;622,狼牙先锋首领·即将刷新",nRefresh=1,key="狼牙先锋首领",},</t>
  </si>
  <si>
    <t>留下大量军功，请“恶人谷”侠士们前来拾取，切莫错过。</t>
  </si>
  <si>
    <t>{nClass=20,nIcon=2398,nFrame=3,szName="恶人谷·拾取首领掉落",nTime="300,恶人谷·拾取首领掉落;600,狼牙先锋首领·5分钟刷新;622,狼牙先锋首领·即将刷新",nRefresh=1,key="狼牙先锋首领",},</t>
  </si>
  <si>
    <t>狼牙先锋首领</t>
  </si>
  <si>
    <t>哼，打扰本大爷休息！</t>
  </si>
  <si>
    <t>{nClass=14,nIcon=3556,nFrame=3,szName="狼牙先锋首领·已刷新",nTime=10,nRefresh=120,key="狼牙先锋首领",},</t>
  </si>
  <si>
    <t>你爷爷我年轻些时候，也是翻云覆雨的江湖响当当一号人物！</t>
  </si>
  <si>
    <t>我竟然败给你们这群小辈！</t>
  </si>
  <si>
    <t>{nClass=-1,nIcon=3556,nFrame=3,szName="",nTime="10,狼牙先锋首领·已击退;590,狼牙先锋首领·10分钟刷新;600,狼牙先锋首领·即将刷新",key="狼牙先锋首领",},</t>
  </si>
  <si>
    <t>孙永恒</t>
  </si>
  <si>
    <t>浩气盟侠士们可在我这里传送到浩气盟！</t>
  </si>
  <si>
    <t>苏才寥</t>
  </si>
  <si>
    <t>浩气盟的运输小队出现了，大伙快前去接送到我方营地，盟主重重有赏！</t>
  </si>
  <si>
    <t>护送不利，浩气盟的运输小队被恶人谷截下了！</t>
  </si>
  <si>
    <t>浩气盟的运输小队成功到达营地！接下来由他们将物资运往更前线，大伙继续加油，收集更多物资！</t>
  </si>
  <si>
    <t>霸图</t>
  </si>
  <si>
    <t>恶人谷老友们可在我这里传送到恶人谷！</t>
  </si>
  <si>
    <t>管良沧</t>
  </si>
  <si>
    <t>恶人谷的运输小队出现了，大伙快前去接送到我方营地，谷主重重有赏！</t>
  </si>
  <si>
    <t>护送不利，恶人谷的运输小队被浩气盟截下了！</t>
  </si>
  <si>
    <t>恶人谷的运输小队成功到达营地！接下来由他们将物资运往更前线，大伙继续加油，收集更多物资！</t>
  </si>
  <si>
    <t>方超</t>
  </si>
  <si>
    <t>赵新宇</t>
  </si>
  <si>
    <t>禁用此倒计时条，刷新CD与拾取CD合并</t>
    <phoneticPr fontId="18" type="noConversion"/>
  </si>
  <si>
    <t>刷新喊话2</t>
    <phoneticPr fontId="18" type="noConversion"/>
  </si>
  <si>
    <t>刷新喊话1·可能会与2一起喊</t>
    <phoneticPr fontId="18" type="noConversion"/>
  </si>
  <si>
    <t>左破天</t>
  </si>
  <si>
    <t>郭海宾</t>
  </si>
  <si>
    <t>何非笑</t>
  </si>
  <si>
    <t>王洵</t>
  </si>
  <si>
    <t>恶人谷伍长</t>
  </si>
  <si>
    <t>浩气盟伍长</t>
  </si>
  <si>
    <t>物资车</t>
  </si>
  <si>
    <t>何非笑周日7604</t>
  </si>
  <si>
    <t>return{DOODAD={</t>
  </si>
  <si>
    <t>{dwMapID=-1,szDisplay="拦截奖赏·粮草先行",nMaxDistance=0,tRelation={bAll=true,bEnemy=false,bAlly=false,},tLife={bEnable=false,szOperator="&gt;",nValue=0,},},</t>
  </si>
  <si>
    <t>{dwMapID=-1,nMaxDistance=0,tRelation={bAll=false,bEnemy=true,bAlly=false,},tLife={bEnable=true,szOperator="&gt;=",nValue=10,},},</t>
  </si>
  <si>
    <t>{dwMapID=-1,nMaxDistance=10,tRelation={bAll=false,bEnemy=false,bAlly=true,},tLife={bEnable=true,szOperator="==",nValue=100,},},</t>
  </si>
  <si>
    <t>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</t>
    <phoneticPr fontId="18" type="noConversion"/>
  </si>
  <si>
    <t>{dwMapID=-1,nMaxDistance=0,tRelation={bAll=false,bEnemy=true,bAlly=false,},tLife={bEnable=false,szOperator="&gt;",nValue=0,},},{dwMapID=-1,nMaxDistance=30,tRelation={bAll=false,bEnemy=false,bAlly=true,},tLife={bEnable=true,szOperator="&lt;",nValue=100,},},{dwMapID=-1,nMaxDistance=10,tRelation={bAll=true,bEnemy=true,bAlly=true,},tLife={bEnable=true,szOperator="&gt;=",nValue=100,},},</t>
    <phoneticPr fontId="18" type="noConversion"/>
  </si>
  <si>
    <t>{dwMapID=-1,nMaxDistance=35,tRelation={bAll=false,bEnemy=false,bAlly=true,},tLife={bEnable=true,szOperator="==",nValue=100,},},</t>
  </si>
  <si>
    <t>{dwMapID=-1,nMaxDistance=60,tRelation={bAll=false,bEnemy=true,bAlly=false,},tLife={bEnable=false,szOperator="&gt;",nValue=0,},},{dwMapID=-1,nMaxDistance=30,tRelation={bAll=false,bEnemy=false,bAlly=true,},tLife={bEnable=true,szOperator="&lt;",nValue=100,},},</t>
  </si>
  <si>
    <t>恶人</t>
    <phoneticPr fontId="18" type="noConversion"/>
  </si>
  <si>
    <t>驻场阵营</t>
    <phoneticPr fontId="18" type="noConversion"/>
  </si>
  <si>
    <t>浩气</t>
    <phoneticPr fontId="18" type="noConversion"/>
  </si>
  <si>
    <t>{nClass=20,nIcon=17135,nFrame=0,szName="拾取间隔",nTime=0,key="拾取间隔",},</t>
  </si>
  <si>
    <t>伊夜</t>
    <phoneticPr fontId="18" type="noConversion"/>
  </si>
  <si>
    <t>韩非池</t>
    <phoneticPr fontId="18" type="noConversion"/>
  </si>
  <si>
    <t>{nClass=20,nIcon=2401,nFrame=0,szName="奇袭场·平手",nTime=10,nRefresh=2,key="奇袭场",},</t>
    <phoneticPr fontId="18" type="noConversion"/>
  </si>
  <si>
    <t>{nClass=20,nIcon=13,nFrame=-1,szName="谢渊·月弄痕·减伤",nTime=-1,key="谢渊·月弄痕·减伤",},</t>
    <phoneticPr fontId="18" type="noConversion"/>
  </si>
  <si>
    <t>{nClass=20,nIcon=13,nFrame=-1,szName="谢渊·游驹·减伤",nTime=-1,key="谢渊·游驹·减伤",},</t>
    <phoneticPr fontId="18" type="noConversion"/>
  </si>
  <si>
    <t>{nClass=20,nIcon=13,nFrame=-1,szName="谢渊·小七·减伤",nTime=-1,key="谢渊·小七·减伤",},</t>
    <phoneticPr fontId="18" type="noConversion"/>
  </si>
  <si>
    <t>{nClass=20,nIcon=13,nFrame=-1,szName="谢渊·司空仲平·减伤",nTime=-1,key="谢渊·司空仲平·减伤",},</t>
    <phoneticPr fontId="18" type="noConversion"/>
  </si>
  <si>
    <t>{nClass=20,nIcon=13,nFrame=-1,szName="谢渊·张桎辕·减伤",nTime=-1,key="谢渊·张桎辕·减伤",},</t>
    <phoneticPr fontId="18" type="noConversion"/>
  </si>
  <si>
    <t>{nClass=20,nIcon=13,nFrame=-1,szName="王遗风·白某·减伤",nTime=-1,key="王遗风·白某·减伤",},</t>
    <phoneticPr fontId="18" type="noConversion"/>
  </si>
  <si>
    <t>{nClass=20,nIcon=13,nFrame=-1,szName="王遗风·米丽古丽·减伤",nTime=-1,key="王遗风·米丽古丽·减伤",},</t>
    <phoneticPr fontId="18" type="noConversion"/>
  </si>
  <si>
    <t>{nClass=20,nIcon=13,nFrame=-1,szName="王遗风·陶寒亭·减伤",nTime=-1,key="王遗风·陶寒亭·减伤",},</t>
    <phoneticPr fontId="18" type="noConversion"/>
  </si>
  <si>
    <t>%</t>
    <phoneticPr fontId="18" type="noConversion"/>
  </si>
  <si>
    <t>奉谷主之命，前来相助。</t>
  </si>
  <si>
    <t>{nClass=14,nIcon=20114,nFrame=3,szName="恶人·{$sender}·正在助战",nTime=300,nRefresh=1,key="恶人·{$sender}·助战",},</t>
    <phoneticPr fontId="18" type="noConversion"/>
  </si>
  <si>
    <t>奉盟主之命，前来相助。</t>
    <phoneticPr fontId="18" type="noConversion"/>
  </si>
  <si>
    <t>恶人·{$sender}·正在助战</t>
    <phoneticPr fontId="18" type="noConversion"/>
  </si>
  <si>
    <t>浩气·{$sender}·正在助战</t>
    <phoneticPr fontId="18" type="noConversion"/>
  </si>
  <si>
    <t>{$1}·{$2}·即将到达</t>
    <phoneticPr fontId="18" type="noConversion"/>
  </si>
  <si>
    <t>河底的沙石</t>
    <phoneticPr fontId="18" type="noConversion"/>
  </si>
  <si>
    <t>方超的信物</t>
    <phoneticPr fontId="18" type="noConversion"/>
  </si>
  <si>
    <t>赵新宇的信物</t>
    <phoneticPr fontId="18" type="noConversion"/>
  </si>
  <si>
    <t>拦截奖赏</t>
    <phoneticPr fontId="18" type="noConversion"/>
  </si>
  <si>
    <t>护送奖赏</t>
    <phoneticPr fontId="18" type="noConversion"/>
  </si>
  <si>
    <t>孙永恒的信物</t>
    <phoneticPr fontId="18" type="noConversion"/>
  </si>
  <si>
    <t>霸图的信物</t>
    <phoneticPr fontId="18" type="noConversion"/>
  </si>
  <si>
    <t>散落的冰魂货箱</t>
    <phoneticPr fontId="18" type="noConversion"/>
  </si>
  <si>
    <t>冰魂</t>
    <phoneticPr fontId="18" type="noConversion"/>
  </si>
  <si>
    <t>通用箭塔·龙门荒漠</t>
    <phoneticPr fontId="18" type="noConversion"/>
  </si>
  <si>
    <t>通用箭塔·昆仑</t>
    <phoneticPr fontId="18" type="noConversion"/>
  </si>
  <si>
    <t>通用箭塔·瞿塘峡</t>
    <phoneticPr fontId="18" type="noConversion"/>
  </si>
  <si>
    <t>通用箭塔·无量山</t>
    <phoneticPr fontId="18" type="noConversion"/>
  </si>
  <si>
    <t>通用箭塔·苍山洱海</t>
    <phoneticPr fontId="18" type="noConversion"/>
  </si>
  <si>
    <t>通用箭塔·枫华谷·战乱</t>
    <phoneticPr fontId="18" type="noConversion"/>
  </si>
  <si>
    <t>通用箭塔·马嵬驿</t>
    <phoneticPr fontId="18" type="noConversion"/>
  </si>
  <si>
    <t>军情速递！恶人谷物资车已运达，车内装有大量物资，望侠士们前来拾取，切莫错过。\n</t>
    <phoneticPr fontId="18" type="noConversion"/>
  </si>
  <si>
    <t>本场浩气盟攻防即将结束，南屏山物资运送暂且休整，等待下一场攻防开启！\n</t>
    <phoneticPr fontId="18" type="noConversion"/>
  </si>
  <si>
    <t>本场恶人谷攻防即将结束，昆仑物资运送暂且休整，等待下一场攻防开启！\n</t>
    <phoneticPr fontId="18" type="noConversion"/>
  </si>
  <si>
    <t>攻防即将结束</t>
    <phoneticPr fontId="18" type="noConversion"/>
  </si>
  <si>
    <t>{nClass=20,nIcon=17135,nFrame=0,szName="粮草先行·活动结束",nTime=5,key="粮草先行·浩气盟",},</t>
    <phoneticPr fontId="18" type="noConversion"/>
  </si>
  <si>
    <t>{nClass=20,nIcon=17135,nFrame=0,szName="粮草先行·活动结束",nTime=5,key="粮草先行·恶人谷",},</t>
    <phoneticPr fontId="18" type="noConversion"/>
  </si>
  <si>
    <t>{nClass=20,nIcon=2398,nFrame=3,szName="恶人谷·营地物资·刷新",nTime=10,nRefresh=2,key="恶人·物资车·运达",},</t>
    <phoneticPr fontId="18" type="noConversion"/>
  </si>
  <si>
    <t>{nClass=20,nIcon=2397,nFrame=7,szName="浩气盟·内城物资·刷新",nTime=10,nRefresh=2,key="浩气·物资车·运达",},</t>
    <phoneticPr fontId="18" type="noConversion"/>
  </si>
  <si>
    <t>{nClass=20,nIcon=18783,nFrame=3,szName="恶人谷·小攻防·黑戈壁分流",nTime=30,nRefresh=3600,key="恶人谷·小攻防·黑戈壁分流",},</t>
    <phoneticPr fontId="18" type="noConversion"/>
  </si>
  <si>
    <t>{nClass=20,nIcon=134,nFrame=0,szName="获得[便携装置·神机车]",nTime=10,nRefresh=1,key="拾取复活点物资",},</t>
    <phoneticPr fontId="18" type="noConversion"/>
  </si>
  <si>
    <t>王遗风已率恶人谷众首领抵达浩气盟，请各位恶人谷侠士速到浩气盟支援。浩气盟侠士也请速回浩气盟防御！\n</t>
    <phoneticPr fontId="18" type="noConversion"/>
  </si>
  <si>
    <t>阵营攻防开始</t>
    <phoneticPr fontId="18" type="noConversion"/>
  </si>
  <si>
    <t>谢渊已率浩气盟众首领抵达恶人谷，请各位浩气盟侠士速到恶人谷支援。恶人谷侠士也请速回恶人谷防御！\n</t>
  </si>
  <si>
    <t>{nClass=20,nIcon=13,nFrame=-1,szName="王遗风·伊夜·减伤",nTime=0,key="王遗风·伊夜·减伤",},</t>
    <phoneticPr fontId="18" type="noConversion"/>
  </si>
  <si>
    <t>{nClass=20,nIcon=13,nFrame=-1,szName="王遗风·丁丁·减伤",nTime=0,key="王遗风·丁丁·减伤",},</t>
    <phoneticPr fontId="18" type="noConversion"/>
  </si>
  <si>
    <t>{nClass=20,nIcon=13,nFrame=-1,szName="王遗风·岳琅·减伤",nTime=0,key="王遗风·岳琅·减伤",},</t>
    <phoneticPr fontId="18" type="noConversion"/>
  </si>
  <si>
    <t>{nClass=20,nIcon=13,nFrame=-1,szName="王遗风·毕罗巴·减伤",nTime=0,key="王遗风·毕罗巴·减伤",},</t>
    <phoneticPr fontId="18" type="noConversion"/>
  </si>
  <si>
    <t>{nClass=20,nIcon=13,nFrame=-1,szName="王遗风·烟·减伤",nTime=0,key="王遗风·烟·减伤",},</t>
    <phoneticPr fontId="18" type="noConversion"/>
  </si>
  <si>
    <t>{nClass=20,nIcon=13,nFrame=-1,szName="王遗风·独孤修·减伤",nTime=0,key="王遗风·独孤修·减伤",},</t>
    <phoneticPr fontId="18" type="noConversion"/>
  </si>
  <si>
    <t>{nClass=20,nIcon=13,nFrame=-1,szName="谢渊·韩非池·减伤",nTime=0,key="谢渊·韩非池·减伤",},</t>
    <phoneticPr fontId="18" type="noConversion"/>
  </si>
  <si>
    <t>{nClass=20,nIcon=13,nFrame=-1,szName="谢渊·赵紫儿·减伤",nTime=0,key="谢渊·赵紫儿·减伤",},</t>
    <phoneticPr fontId="18" type="noConversion"/>
  </si>
  <si>
    <t>{nClass=20,nIcon=13,nFrame=-1,szName="谢渊·叶镜池·减伤",nTime=0,key="谢渊·叶镜池·减伤",},</t>
    <phoneticPr fontId="18" type="noConversion"/>
  </si>
  <si>
    <t>{nClass=20,nIcon=13,nFrame=-1,szName="谢渊·郭珠·减伤",nTime=0,key="谢渊·郭珠·减伤",},</t>
    <phoneticPr fontId="18" type="noConversion"/>
  </si>
  <si>
    <t>{nClass=20,nIcon=13,nFrame=-1,szName="谢渊·穆玄英·减伤",nTime=0,key="谢渊·穆玄英·减伤",},</t>
    <phoneticPr fontId="18" type="noConversion"/>
  </si>
  <si>
    <t>{nClass=20,nIcon=13,nFrame=-1,szName="谢渊·影·减伤",nTime=0,key="谢渊·影·减伤",},</t>
    <phoneticPr fontId="18" type="noConversion"/>
  </si>
  <si>
    <t>关闭主场首领计时条·开启奇袭首领计时条</t>
    <phoneticPr fontId="18" type="noConversion"/>
  </si>
  <si>
    <t>szAuthor = "荷花鲤",</t>
    <phoneticPr fontId="18" type="noConversion"/>
  </si>
  <si>
    <t>szServer = "唯我独尊",</t>
    <phoneticPr fontId="18" type="noConversion"/>
  </si>
  <si>
    <t>层数</t>
  </si>
  <si>
    <t>区分等级</t>
  </si>
  <si>
    <t>监控对象</t>
  </si>
  <si>
    <t>获得气劲.标记</t>
  </si>
  <si>
    <t>获得气劲.语音报警</t>
  </si>
  <si>
    <t>获得气劲.团队报警</t>
  </si>
  <si>
    <t>获得气劲.密聊报警</t>
  </si>
  <si>
    <t>获得气劲.中央报警</t>
  </si>
  <si>
    <t>获得气劲.头顶警报</t>
  </si>
  <si>
    <t>获得气劲.团队气劲列表</t>
  </si>
  <si>
    <t>获得气劲.自身气劲列表</t>
  </si>
  <si>
    <t>获得气劲.团队面板</t>
  </si>
  <si>
    <t>获得气劲.仅来源自己</t>
  </si>
  <si>
    <t>失去气劲.团队警报</t>
  </si>
  <si>
    <t>失去气劲.密聊警报</t>
  </si>
  <si>
    <t>失去气劲.中央警报</t>
  </si>
  <si>
    <t>面板.触发层数</t>
  </si>
  <si>
    <t>面板.触发逻辑</t>
  </si>
  <si>
    <t>面板.仅来源自己</t>
  </si>
  <si>
    <t>面板.仅监控自己</t>
  </si>
  <si>
    <t>面板.备注</t>
  </si>
  <si>
    <t>面板.优先级</t>
  </si>
  <si>
    <t>面板.蒙版颜色</t>
  </si>
  <si>
    <t>面板.头顶颜色</t>
  </si>
  <si>
    <t>面板.描边透明度</t>
  </si>
  <si>
    <t>面板.蒙版警告</t>
  </si>
  <si>
    <t>面板.特效警告</t>
  </si>
  <si>
    <t>面板.头顶提示</t>
  </si>
  <si>
    <t>面板.保留数组</t>
  </si>
  <si>
    <t>return{BUFF={</t>
  </si>
  <si>
    <t>#00FF00FF</t>
  </si>
  <si>
    <t>#00FF00</t>
  </si>
  <si>
    <t>{nClass=2,nIcon=6678,nFrame=6,szName="骑御·调息",nTime=-1,key="骑御·调息",},</t>
  </si>
  <si>
    <t>{nClass=2,nIcon=6491,nFrame=-1,szName="",nTime=0.01,nRefresh=300,key="骑御·劲足",},</t>
  </si>
  <si>
    <t>{nClass=2,nIcon=6491,nFrame=0,szName="骑御·劲足",nTime=-1,key="骑御·劲足",},</t>
  </si>
  <si>
    <t>{nClass=1,nIcon=6678,nFrame=6,szName="调息7级·buff触发倒计时",nTime="18.8,调息·7级·触发剩余;22.8,调息·5级·触发剩余",nRefresh=1,key="骑御·调息",},</t>
  </si>
  <si>
    <t>劲足</t>
  </si>
  <si>
    <t>{nClass=1,nIcon=6678,nFrame=0,szName="骑御·调息",nTime=0,key="骑御·调息",},</t>
  </si>
  <si>
    <t>{nClass=1,nIcon=6678,nFrame=-1,szName="骑御·调息",nTime=0.01,nRefresh=300,key="骑御·调息",},</t>
  </si>
  <si>
    <t>{nClass=1,nIcon=6678,nFrame=-1,szName="骑御·调息",nTime=-1,nRefresh=300,key="骑御·调息",},</t>
  </si>
  <si>
    <t>{nClass=1,nIcon=6491,nFrame=6,szName="骑御·劲足",nTime=0.5,nRefresh=300,key="骑御·劲足",},</t>
  </si>
  <si>
    <t>{nClass=1,nIcon=6678,nFrame=6,szName="骑御·调息",nTime=0,key="骑御·调息",},</t>
  </si>
  <si>
    <t>return{DEBUFF={</t>
  </si>
  <si>
    <t>气力·调息</t>
    <phoneticPr fontId="18" type="noConversion"/>
  </si>
  <si>
    <t>速度·劲足</t>
    <phoneticPr fontId="18" type="noConversion"/>
  </si>
  <si>
    <t>骑御</t>
    <phoneticPr fontId="18" type="noConversion"/>
  </si>
  <si>
    <t>据点大旗</t>
    <phoneticPr fontId="18" type="noConversion"/>
  </si>
  <si>
    <t>守卫据点</t>
    <phoneticPr fontId="18" type="noConversion"/>
  </si>
  <si>
    <t>{nClass=2,nIcon=6491,nFrame=4,szName="劲足·消失",nTime=2,nRefresh=3000,key="骑御·劲足",},</t>
  </si>
  <si>
    <t>{dwMapID=-1,nMaxDistance=0,tRelation={bAll=true,bEnemy=false,bAlly=false,},tLife={bEnable=false,szOperator="&gt;",nValue=0,},},</t>
    <phoneticPr fontId="18" type="noConversion"/>
  </si>
  <si>
    <t>{nClass=14,nIcon=16834,nFrame=6,szName="{$sender}·{$2}·减伤",nTime=-2,key="{$sender}·{$2}·减伤",},</t>
    <phoneticPr fontId="18" type="noConversion"/>
  </si>
  <si>
    <t>{nClass=14,nIcon=14724,nFrame=6,szName="王遗风·{$sender}·减伤",nTime=-2,key="王遗风·{$sender}·减伤",},</t>
    <phoneticPr fontId="18" type="noConversion"/>
  </si>
  <si>
    <t>{nClass=14,nIcon=14724,nFrame=6,szName="谢渊·{$sender}·减伤",nTime=-2,key="谢渊·{$sender}·减伤",},</t>
    <phoneticPr fontId="18" type="noConversion"/>
  </si>
  <si>
    <t>{nClass=20,nIcon=13,nFrame=-1,szName="王遗风·司徒一一·减伤",nTime=-1,key="王遗风·司徒一一·减伤",},</t>
    <phoneticPr fontId="18" type="noConversion"/>
  </si>
  <si>
    <t>{nClass=20,nIcon=13,nFrame=-1,szName="王遗风·肖药儿·减伤",nTime=-1,key="王遗风·肖药儿·减伤",},</t>
    <phoneticPr fontId="18" type="noConversion"/>
  </si>
  <si>
    <t>粮草先行·浩气牛车</t>
    <phoneticPr fontId="18" type="noConversion"/>
  </si>
  <si>
    <t>粮草先行·恶人牛车</t>
    <phoneticPr fontId="18" type="noConversion"/>
  </si>
  <si>
    <t>{nClass=14,nIcon=308,nFrame=3,szName="方超·已刷新",nTime=2,nRefresh=600,key="方超",},</t>
    <phoneticPr fontId="18" type="noConversion"/>
  </si>
  <si>
    <t>{nClass=14,nIcon=589,nFrame=7,szName="赵新宇·已刷新",nTime=2,nRefresh=600,key="赵新宇",},</t>
    <phoneticPr fontId="18" type="noConversion"/>
  </si>
  <si>
    <t>{nClass=14,nIcon=2864,nFrame=7,szName="霸图·已刷新",nTime=2,nRefresh=600,key="霸图",},</t>
    <phoneticPr fontId="18" type="noConversion"/>
  </si>
  <si>
    <t>{nClass=14,nIcon=845,nFrame=3,szName="孙永恒·已刷新",nTime=2,nRefresh=600,key="孙永恒",},</t>
    <phoneticPr fontId="18" type="noConversion"/>
  </si>
  <si>
    <t>{nClass=20,nIcon=589,nFrame=7,szName="赵新宇",nTime=0,key="赵新宇",},</t>
    <phoneticPr fontId="18" type="noConversion"/>
  </si>
  <si>
    <t>{nClass=20,nIcon=308,nFrame=3,szName="方超",nTime=0,key="方超",},</t>
    <phoneticPr fontId="18" type="noConversion"/>
  </si>
  <si>
    <t>{nClass=20,nIcon=308,nFrame=3,szName="方超·已刷新",nTime=10,nRefresh=600,key="方超",},</t>
    <phoneticPr fontId="18" type="noConversion"/>
  </si>
  <si>
    <t>{nClass=20,nIcon=589,nFrame=7,szName="赵新宇·已刷新",nTime=10,nRefresh=600,key="赵新宇",},</t>
    <phoneticPr fontId="18" type="noConversion"/>
  </si>
  <si>
    <t>{nClass=20,nIcon=845,nFrame=3,szName="孙永恒",nTime=0,key="孙永恒",},</t>
    <phoneticPr fontId="18" type="noConversion"/>
  </si>
  <si>
    <t>{nClass=20,nIcon=2864,nFrame=7,szName="霸图",nTime=0,key="霸图",},</t>
    <phoneticPr fontId="18" type="noConversion"/>
  </si>
  <si>
    <t>{nClass=20,nIcon=845,nFrame=3,szName="孙永恒·已刷新",nTime=10,nRefresh=600,key="孙永恒",},</t>
    <phoneticPr fontId="18" type="noConversion"/>
  </si>
  <si>
    <t>{nClass=20,nIcon=2864,nFrame=7,szName="霸图·已刷新",nTime=10,nRefresh=600,key="霸图",},</t>
    <phoneticPr fontId="18" type="noConversion"/>
  </si>
  <si>
    <t>{nClass=14,nIcon=13,nFrame=-1,szName="谢渊·月弄痕·减伤",nTime=-2,key="谢渊·月弄痕·减伤",},</t>
    <phoneticPr fontId="18" type="noConversion"/>
  </si>
  <si>
    <t>{nClass=14,nIcon=13,nFrame=-1,szName="谢渊·游驹·减伤",nTime=-2,key="谢渊·游驹·减伤",},</t>
    <phoneticPr fontId="18" type="noConversion"/>
  </si>
  <si>
    <t>{nClass=14,nIcon=13,nFrame=-1,szName="谢渊·小七·减伤",nTime=-2,key="谢渊·小七·减伤",},</t>
    <phoneticPr fontId="18" type="noConversion"/>
  </si>
  <si>
    <t>{nClass=14,nIcon=13,nFrame=-1,szName="谢渊·张桎辕·减伤",nTime=-2,key="谢渊·张桎辕·减伤",},</t>
    <phoneticPr fontId="18" type="noConversion"/>
  </si>
  <si>
    <t>{nClass=14,nIcon=13,nFrame=-1,szName="谢渊·司空仲平·减伤",nTime=-2,key="谢渊·司空仲平·减伤",},</t>
    <phoneticPr fontId="18" type="noConversion"/>
  </si>
  <si>
    <t>{nClass=14,nIcon=13,nFrame=-1,szName="王遗风·司徒一一·减伤",nTime=-2,key="王遗风·司徒一一·减伤",},</t>
    <phoneticPr fontId="18" type="noConversion"/>
  </si>
  <si>
    <t>{nClass=14,nIcon=13,nFrame=-1,szName="王遗风·白某·减伤",nTime=-2,key="王遗风·白某·减伤",},</t>
    <phoneticPr fontId="18" type="noConversion"/>
  </si>
  <si>
    <t>{nClass=14,nIcon=13,nFrame=-1,szName="王遗风·米丽古丽·减伤",nTime=-2,key="王遗风·米丽古丽·减伤",},</t>
    <phoneticPr fontId="18" type="noConversion"/>
  </si>
  <si>
    <t>{nClass=14,nIcon=13,nFrame=-1,szName="王遗风·陶寒亭·减伤",nTime=-2,key="王遗风·陶寒亭·减伤",},</t>
    <phoneticPr fontId="18" type="noConversion"/>
  </si>
  <si>
    <t>{nClass=14,nIcon=13,nFrame=-1,szName="王遗风·肖药儿·减伤",nTime=-2,key="王遗风·肖药儿·减伤",},</t>
    <phoneticPr fontId="18" type="noConversion"/>
  </si>
  <si>
    <t>{$1}·败退|{$2}·回营</t>
    <phoneticPr fontId="18" type="noConversion"/>
  </si>
  <si>
    <t>{$1}·败退|{$2}·回防</t>
    <phoneticPr fontId="18" type="noConversion"/>
  </si>
  <si>
    <t>{nClass=20,nIcon=2401,nFrame=0,szName="本场攻防即将结束",nTime=60,nRefresh=2,key="攻防活动",},</t>
  </si>
  <si>
    <t>{nClass=20,nIcon=14889,nFrame=3,szName="阵营攻防排队·正式开始",nTime=60,key="攻防活动",},</t>
  </si>
  <si>
    <t>{nClass=20,nIcon=14890,nFrame=7,szName="阵营攻防排队·正式开始",nTime=60,key="攻防活动",},</t>
  </si>
  <si>
    <t>{nClass=20,nIcon=14887,nFrame=0,bHold=true,szName="阵营攻防·恶人谷·18:30排队",nTime=600,key="攻防活动",},</t>
  </si>
  <si>
    <t>{nClass=20,nIcon=14887,nFrame=0,bHold=true,szName="阵营攻防·恶人谷·12:30排队",nTime=600,key="攻防活动",},</t>
  </si>
  <si>
    <t>{nClass=20,nIcon=14888,nFrame=0,bHold=true,szName="阵营攻防·浩气盟·18:30排队",nTime=600,key="攻防活动",},</t>
  </si>
  <si>
    <t>{nClass=20,nIcon=14888,nFrame=0,bHold=true,szName="阵营攻防·浩气盟·12:30排队",nTime=600,key="攻防活动",},</t>
  </si>
  <si>
    <t>{nClass=20,nIcon=3536,nFrame=0,szName="据点争夺战·开始排队",nTime=10,key="攻防活动",},</t>
  </si>
  <si>
    <t>{nClass=20,nIcon=3536,nFrame=3,szName="据点攻防结束",nTime=5,key="攻防活动",},</t>
  </si>
  <si>
    <t>{nClass=20,nIcon=3536,nFrame=0,szName="据点攻防·正式开始",nTime=10,nRefresh=1,key="攻防活动",},</t>
  </si>
  <si>
    <t>{nClass=20,nIcon=3536,nFrame=0,szName="攻防排队·失效",nTime=2,key="攻防活动",},</t>
  </si>
  <si>
    <t>{nClass=20,nIcon=3536,nFrame=0,szName="",nTime="30,阵营玩家复活点改为阵营复活点;600,据点攻防排队剩余18分钟;1200,据点攻防排队剩余8分钟;1380,据点攻防排队剩余5分钟;1440,据点攻防排队剩余4分钟;1500,据点攻防排队剩余3分钟;1560,据点攻防排队剩余2分钟;1620,据点攻防排队剩余60秒;1670,据点攻防排队剩余10秒;1680,据点攻防开始排队;1800,据点攻防清场剩余;3600,据点攻防正式开始剩余",nRefresh=2,key="攻防活动",},</t>
  </si>
  <si>
    <t>{nClass=20,nIcon=3536,nFrame=6,szName="攻防进入前1200名",nTime=10,key="攻防活动",},</t>
    <phoneticPr fontId="18" type="noConversion"/>
  </si>
  <si>
    <t>陶杰</t>
    <phoneticPr fontId="18" type="noConversion"/>
  </si>
  <si>
    <t>郑鸥</t>
    <phoneticPr fontId="18" type="noConversion"/>
  </si>
  <si>
    <t>周峰</t>
    <phoneticPr fontId="18" type="noConversion"/>
  </si>
  <si>
    <t>[团队监控]数据加载成功</t>
    <phoneticPr fontId="18" type="noConversion"/>
  </si>
  <si>
    <t>{nClass=20,nIcon=13,nFrame=-1,szName="王遗风·伊夜·减伤",nTime=-2,key="王遗风·伊夜·减伤",},</t>
    <phoneticPr fontId="18" type="noConversion"/>
  </si>
  <si>
    <t>{nClass=20,nIcon=13,nFrame=-1,szName="王遗风·丁丁·减伤",nTime=-2,key="王遗风·丁丁·减伤",},</t>
    <phoneticPr fontId="18" type="noConversion"/>
  </si>
  <si>
    <t>{nClass=20,nIcon=13,nFrame=-1,szName="王遗风·岳琅·减伤",nTime=-2,key="王遗风·岳琅·减伤",},</t>
    <phoneticPr fontId="18" type="noConversion"/>
  </si>
  <si>
    <t>{nClass=20,nIcon=13,nFrame=-1,szName="王遗风·毕罗巴·减伤",nTime=-2,key="王遗风·毕罗巴·减伤",},</t>
    <phoneticPr fontId="18" type="noConversion"/>
  </si>
  <si>
    <t>{nClass=20,nIcon=13,nFrame=-1,szName="王遗风·烟·减伤",nTime=-2,key="王遗风·烟·减伤",},</t>
    <phoneticPr fontId="18" type="noConversion"/>
  </si>
  <si>
    <t>{nClass=20,nIcon=13,nFrame=-1,szName="王遗风·独孤修·减伤",nTime=-2,key="王遗风·独孤修·减伤",},</t>
    <phoneticPr fontId="18" type="noConversion"/>
  </si>
  <si>
    <t>{nClass=20,nIcon=13,nFrame=-1,szName="谢渊·韩非池·减伤",nTime=-2,key="谢渊·韩非池·减伤",},</t>
    <phoneticPr fontId="18" type="noConversion"/>
  </si>
  <si>
    <t>{nClass=20,nIcon=13,nFrame=-1,szName="谢渊·赵紫儿·减伤",nTime=-2,key="谢渊·赵紫儿·减伤",},</t>
    <phoneticPr fontId="18" type="noConversion"/>
  </si>
  <si>
    <t>{nClass=20,nIcon=13,nFrame=-1,szName="谢渊·叶镜池·减伤",nTime=-2,key="谢渊·叶镜池·减伤",},</t>
    <phoneticPr fontId="18" type="noConversion"/>
  </si>
  <si>
    <t>{nClass=20,nIcon=13,nFrame=-1,szName="谢渊·郭珠·减伤",nTime=-2,key="谢渊·郭珠·减伤",},</t>
    <phoneticPr fontId="18" type="noConversion"/>
  </si>
  <si>
    <t>{nClass=20,nIcon=13,nFrame=-1,szName="谢渊·穆玄英·减伤",nTime=-2,key="谢渊·穆玄英·减伤",},</t>
    <phoneticPr fontId="18" type="noConversion"/>
  </si>
  <si>
    <t>{nClass=20,nIcon=13,nFrame=-1,szName="谢渊·影·减伤",nTime=-2,key="谢渊·影·减伤",},</t>
    <phoneticPr fontId="18" type="noConversion"/>
  </si>
  <si>
    <t>255,255,255,</t>
    <phoneticPr fontId="18" type="noConversion"/>
  </si>
  <si>
    <t>浩气盟物资车已被拦截，车内装大量物资，望侠士们前来拾取，切莫错过。</t>
    <phoneticPr fontId="18" type="noConversion"/>
  </si>
  <si>
    <t>浩气·物资车·被截</t>
    <phoneticPr fontId="18" type="noConversion"/>
  </si>
  <si>
    <t>{nClass=20,nIcon=2398,nFrame=3,szName="恶人·截车奖励",nTime=10,nRefresh=2,key="恶人·物资车·运达",},</t>
    <phoneticPr fontId="18" type="noConversion"/>
  </si>
  <si>
    <t>恶人谷物资车已被拦截，车内装大量物资，望侠士们前来拾取，切莫错过。</t>
    <phoneticPr fontId="18" type="noConversion"/>
  </si>
  <si>
    <t>恶人·物资车·被截</t>
    <phoneticPr fontId="18" type="noConversion"/>
  </si>
  <si>
    <t>{nClass=20,nIcon=2397,nFrame=7,szName="浩气·截车奖励",nTime=10,nRefresh=2,key="浩气·物资车·运达",},</t>
    <phoneticPr fontId="18" type="noConversion"/>
  </si>
  <si>
    <t>分流活动已开启，大侠可以前往巴陵县接取阵营攻防前置任务</t>
    <phoneticPr fontId="18" type="noConversion"/>
  </si>
  <si>
    <t>分流活动已开启，大侠可以前往龙门荒漠接取阵营攻防前置任务</t>
    <phoneticPr fontId="18" type="noConversion"/>
  </si>
  <si>
    <t>{nClass=14,nIcon=3536,nFrame=3,szName="龙门·攻防前置分流",nTime=30,nRefresh=3600,key="攻防前置分流",},</t>
    <phoneticPr fontId="18" type="noConversion"/>
  </si>
  <si>
    <t>{nClass=14,nIcon=3536,nFrame=7,szName="巴陵·攻防前置分流",nTime=30,nRefresh=3600,key="攻防前置分流",},</t>
    <phoneticPr fontId="18" type="noConversion"/>
  </si>
  <si>
    <t>{nClass=20,nIcon=589,nFrame=7,szName="",nTime="60,赵新宇的信物;300,赵新宇·刷新剩余;310,赵新宇·即将刷新",nRefresh=60,key="赵新宇",},</t>
    <phoneticPr fontId="18" type="noConversion"/>
  </si>
  <si>
    <t>{nClass=20,nIcon=308,nFrame=3,szName="",nTime="60,方超的信物;300,方超·刷新剩余;310,方超·即将刷新",nRefresh=60,key="方超",},</t>
    <phoneticPr fontId="18" type="noConversion"/>
  </si>
  <si>
    <t>{nClass=20,nIcon=2864,nFrame=7,szName="",nTime="60,霸图的信物;300,霸图·刷新剩余;310,霸图·即将刷新",nRefresh=60,key="霸图",},</t>
    <phoneticPr fontId="18" type="noConversion"/>
  </si>
  <si>
    <t>{nClass=20,nIcon=845,nFrame=3,szName="",nTime="60,孙永恒的信物;300,孙永恒·刷新剩余;310,孙永恒·即将刷新",nRefresh=60,key="孙永恒",},</t>
    <phoneticPr fontId="18" type="noConversion"/>
  </si>
  <si>
    <t>{nClass=20,nIcon=589,nFrame=7,szName="",nTime="60,赵新宇的信物;302,赵新宇·刷新剩余",nRefresh=60,key="赵新宇",},</t>
    <phoneticPr fontId="18" type="noConversion"/>
  </si>
  <si>
    <t>{nClass=20,nIcon=308,nFrame=3,szName="",nTime="60,方超的信物;302,方超·刷新剩余",nRefresh=60,key="方超",},</t>
    <phoneticPr fontId="18" type="noConversion"/>
  </si>
  <si>
    <t>{nClass=20,nIcon=2864,nFrame=7,szName="",nTime="60,霸图的信物;302,霸图·刷新剩余",nRefresh=60,key="霸图",},</t>
    <phoneticPr fontId="18" type="noConversion"/>
  </si>
  <si>
    <t>{nClass=20,nIcon=845,nFrame=3,szName="",nTime="60,孙永恒的信物;302,孙永恒·刷新剩余",nRefresh=60,key="孙永恒",},</t>
    <phoneticPr fontId="18" type="noConversion"/>
  </si>
  <si>
    <t>{nClass=20,nIcon=13,nFrame=-1,szName="",nTime=0.001,nRefresh=9999,key="谢渊·月弄痕·减伤",},</t>
  </si>
  <si>
    <t>{nClass=20,nIcon=13,nFrame=-1,szName="",nTime=0.001,nRefresh=9999,key="谢渊·游驹·减伤",},</t>
  </si>
  <si>
    <t>{nClass=20,nIcon=13,nFrame=-1,szName="",nTime=0.001,nRefresh=9999,key="谢渊·小七·减伤",},</t>
  </si>
  <si>
    <t>{nClass=20,nIcon=13,nFrame=-1,szName="",nTime=0.001,nRefresh=9999,key="谢渊·张桎辕·减伤",},</t>
  </si>
  <si>
    <t>{nClass=20,nIcon=13,nFrame=-1,szName="",nTime=0.001,nRefresh=9999,key="谢渊·司空仲平·减伤",},</t>
  </si>
  <si>
    <t>{nClass=20,nIcon=13,nFrame=-1,szName="",nTime=0.001,nRefresh=9999,key="王遗风·司徒一一·减伤",},</t>
  </si>
  <si>
    <t>{nClass=20,nIcon=13,nFrame=-1,szName="",nTime=0.001,nRefresh=9999,key="王遗风·白某·减伤",},</t>
  </si>
  <si>
    <t>{nClass=20,nIcon=13,nFrame=-1,szName="",nTime=0.001,nRefresh=9999,key="王遗风·米丽古丽·减伤",},</t>
  </si>
  <si>
    <t>{nClass=20,nIcon=13,nFrame=-1,szName="",nTime=0.001,nRefresh=9999,key="王遗风·陶寒亭·减伤",},</t>
  </si>
  <si>
    <t>{nClass=20,nIcon=13,nFrame=-1,szName="",nTime=0.001,nRefresh=9999,key="王遗风·肖药儿·减伤",},</t>
  </si>
  <si>
    <t>{nClass=20,nIcon=2397,nFrame=-1,szName="",nTime=0.001,nRefresh=2,key="{$3}·浩气占领",},</t>
  </si>
  <si>
    <t>{nClass=20,nIcon=2398,nFrame=-1,szName="",nTime=0.001,nRefresh=2,key="{$3}·恶人占领",},</t>
  </si>
  <si>
    <t>{nClass=20,nIcon=2397,nFrame=-1,szName="",nTime=0.001,nRefresh=2,key="{$3}·浩气大旗被夺",},</t>
  </si>
  <si>
    <t>{nClass=20,nIcon=2398,nFrame=-1,szName="",nTime=0.001,nRefresh=2,key="{$3}·恶人大旗被夺",},</t>
  </si>
  <si>
    <t>{nClass=20,nIcon=2397,nFrame=-1,szName="",nTime=0.001,nRefresh=2,key="{$1}·浩气劫粮",},</t>
  </si>
  <si>
    <t>{nClass=20,nIcon=2398,nFrame=-1,szName="",nTime=0.001,nRefresh=2,key="{$1}·恶人劫粮",},</t>
  </si>
  <si>
    <t>{nClass=14,nIcon=13,nFrame=-1,nTime=0.001,nRefresh=2,key="谢渊·{$1}·减伤",},</t>
  </si>
  <si>
    <t>{nClass=14,nIcon=13,nFrame=-1,szName="",nTime=0.001,nRefresh=2,key="王遗风·{$1}·减伤",},</t>
  </si>
  <si>
    <t>{nClass=20,nIcon=20114,nFrame=3,szName="【{$3}】·恶人占领",nTime=30,nRefresh=1,key="{$3}·浩气占领",},</t>
  </si>
  <si>
    <t>{nClass=20,nIcon=20122,nFrame=7,szName="【{$3}】·浩气占领",nTime=30,nRefresh=1,key="{$3}·恶人占领",},</t>
  </si>
  <si>
    <t>{nClass=20,nIcon=2400,nFrame=7,szName="{$3}·{$1}占领",nTime=-1,key="{$3}·{$1}占领",},</t>
  </si>
  <si>
    <t>{nClass=12,nIcon=13,nFrame=4,szName="郭海宾·刷新剩余",nTime=10.1,},</t>
    <phoneticPr fontId="18" type="noConversion"/>
  </si>
  <si>
    <t>{nClass=12,nIcon=13,nFrame=4,szName="左破天·刷新剩余",nTime=10.1,},</t>
    <phoneticPr fontId="18" type="noConversion"/>
  </si>
  <si>
    <t>{nClass=12,nIcon=13,nFrame=4,szName="于成仇·刷新剩余",nTime=10.1,},</t>
    <phoneticPr fontId="18" type="noConversion"/>
  </si>
  <si>
    <t>{nClass=12,nIcon=13,nFrame=4,szName="阎世通·刷新剩余",nTime=10.1,},</t>
    <phoneticPr fontId="18" type="noConversion"/>
  </si>
  <si>
    <t>于成仇</t>
  </si>
  <si>
    <t>阎世通</t>
  </si>
  <si>
    <t>{nClass=14,nIcon=15384,nFrame=7,szName="浩气·护送牛车",nTime=337,key="粮草先行·浩气盟",},</t>
    <phoneticPr fontId="18" type="noConversion"/>
  </si>
  <si>
    <t>{nClass=14,nIcon=2397,nFrame=7,szName="浩气·领取护送奖赏",nTime=60,key="粮草先行·浩气盟",},</t>
    <phoneticPr fontId="18" type="noConversion"/>
  </si>
  <si>
    <t>{nClass=14,nIcon=2398,nFrame=3,szName="恶人·劫车奖励",nTime=60,key="粮草先行·浩气盟",},</t>
    <phoneticPr fontId="18" type="noConversion"/>
  </si>
  <si>
    <t>{nClass=14,nIcon=15380,nFrame=3,szName="恶人·护送牛车",nTime=337,key="粮草先行·恶人谷",},</t>
    <phoneticPr fontId="18" type="noConversion"/>
  </si>
  <si>
    <t>{nClass=14,nIcon=2398,nFrame=3,szName="恶人·领取护送奖赏",nTime=60,key="粮草先行·恶人谷",},</t>
    <phoneticPr fontId="18" type="noConversion"/>
  </si>
  <si>
    <t>{nClass=14,nIcon=2398,nFrame=7,szName="浩气·劫车奖励",nTime=60,key="粮草先行·恶人谷",},</t>
    <phoneticPr fontId="18" type="noConversion"/>
  </si>
  <si>
    <t>{nClass=14,nIcon=15384,nFrame=7,szName="浩气·护送牛车",nTime=557,key="粮草先行·浩气盟",},</t>
    <phoneticPr fontId="18" type="noConversion"/>
  </si>
  <si>
    <t>{nClass=14,nIcon=2397,nFrame=7,szName="浩气·劫车奖励",nTime=60,key="粮草先行·恶人谷",},</t>
    <phoneticPr fontId="18" type="noConversion"/>
  </si>
  <si>
    <t>{nClass=14,nIcon=15380,nFrame=3,szName="恶人·护送牛车",nTime=557,key="粮草先行·恶人谷",},</t>
    <phoneticPr fontId="18" type="noConversion"/>
  </si>
  <si>
    <t>{nIcon=13,key="金水镇",nTime=-1,szName="金水镇",nClass=20,},</t>
  </si>
  <si>
    <t>{nIcon=13,key="巴陵县",nTime=-1,szName="巴陵县",nClass=20,},</t>
  </si>
  <si>
    <t>{nIcon=13,key="龙门荒漠",nTime=-1,szName="龙门荒漠",nClass=20,},</t>
  </si>
  <si>
    <t>{nIcon=13,key="南屏山",nTime=-1,szName="南屏山",nClass=20,},</t>
  </si>
  <si>
    <t>{nIcon=13,key="昆仑",nTime=-1,szName="昆仑",nClass=20,},</t>
  </si>
  <si>
    <t>{nIcon=13,key="白龙口",nTime=-1,szName="白龙口",nClass=20,},</t>
  </si>
  <si>
    <t>{nIcon=13,key="无量山",nTime=-1,szName="无量山",nClass=20,},</t>
  </si>
  <si>
    <t>{nIcon=13,key="黑龙沼",nTime=-1,szName="黑龙沼",nClass=20,},</t>
  </si>
  <si>
    <t>{nIcon=13,key="阴山大草原",nTime=-1,szName="阴山大草原",nClass=20,},</t>
  </si>
  <si>
    <t>{nIcon=13,key="黑戈壁",nTime=-1,szName="黑戈壁",nClass=20,},</t>
  </si>
  <si>
    <t>{nIcon=13,key="鲲鹏岛",nTime=-1,szName="鲲鹏岛",nClass=20,},</t>
    <phoneticPr fontId="18" type="noConversion"/>
  </si>
  <si>
    <t>大旗·青云坞</t>
    <phoneticPr fontId="18" type="noConversion"/>
  </si>
  <si>
    <t>大旗·金门关</t>
    <phoneticPr fontId="18" type="noConversion"/>
  </si>
  <si>
    <t>{dwMapID=-1,szDisplay="大旗·神池岭",nMaxDistance=3,tRelation={bAll=true,bEnemy=false,bAlly=false,},tLife={bEnable=false,szOperator="&gt;",nValue=0,},},</t>
    <phoneticPr fontId="18" type="noConversion"/>
  </si>
  <si>
    <t>大旗·神池岭</t>
  </si>
  <si>
    <t>{dwMapID=-1,szDisplay="大旗·烈日岗",nMaxDistance=3,tRelation={bAll=true,bEnemy=false,bAlly=false,},tLife={bEnable=false,szOperator="&gt;",nValue=0,},},</t>
    <phoneticPr fontId="18" type="noConversion"/>
  </si>
  <si>
    <t>大旗·烈日岗</t>
  </si>
  <si>
    <t>{dwMapID=-1,szDisplay="大旗·扶风郡",nMaxDistance=3,tRelation={bAll=true,bEnemy=false,bAlly=false,},tLife={bEnable=false,szOperator="&gt;",nValue=0,},},</t>
    <phoneticPr fontId="18" type="noConversion"/>
  </si>
  <si>
    <t>大旗·扶风郡</t>
  </si>
  <si>
    <t>{dwMapID=-1,szDisplay="大旗·世外坡",nMaxDistance=3,tRelation={bAll=true,bEnemy=false,bAlly=false,},tLife={bEnable=false,szOperator="&gt;",nValue=0,},},</t>
    <phoneticPr fontId="18" type="noConversion"/>
  </si>
  <si>
    <t>大旗·世外坡</t>
  </si>
  <si>
    <t>{dwMapID=-1,szDisplay="大旗·凛风堡",nMaxDistance=3,tRelation={bAll=true,bEnemy=false,bAlly=false,},tLife={bEnable=false,szOperator="&gt;",nValue=0,},},</t>
    <phoneticPr fontId="18" type="noConversion"/>
  </si>
  <si>
    <t>大旗·凛风堡</t>
  </si>
  <si>
    <t>长乐坊村民</t>
    <phoneticPr fontId="18" type="noConversion"/>
  </si>
  <si>
    <t>被虏的江湖人士</t>
    <phoneticPr fontId="18" type="noConversion"/>
  </si>
  <si>
    <t>{dwMapID=-1,szDisplay="孙永恒·阵营前置",nMaxDistance=0,tRelation={bAll=true,bEnemy=false,bAlly=false,},tLife={bEnable=false,szOperator="&gt;",nValue=0,},},</t>
    <phoneticPr fontId="18" type="noConversion"/>
  </si>
  <si>
    <t>孙永恒·阵营前置</t>
  </si>
  <si>
    <t>{dwMapID=-1,szDisplay="霸图·阵营前置",nMaxDistance=0,tRelation={bAll=true,bEnemy=false,bAlly=false,},tLife={bEnable=false,szOperator="&gt;",nValue=0,},},</t>
    <phoneticPr fontId="18" type="noConversion"/>
  </si>
  <si>
    <t>霸图·阵营前置</t>
  </si>
  <si>
    <t>{dwMapID=-1,szDisplay="王洵·阵营前置",nMaxDistance=60,tRelation={bAll=false,bEnemy=false,bAlly=true,},tLife={bEnable=false,szOperator="&gt;",nValue=0,},},</t>
    <phoneticPr fontId="18" type="noConversion"/>
  </si>
  <si>
    <t>王洵·阵营前置</t>
  </si>
  <si>
    <t>王洵·阵营前置</t>
    <phoneticPr fontId="18" type="noConversion"/>
  </si>
  <si>
    <t>何非笑·阵营前置</t>
  </si>
  <si>
    <t>何非笑·阵营前置</t>
    <phoneticPr fontId="18" type="noConversion"/>
  </si>
  <si>
    <t>{dwMapID=-1,szDisplay="何非笑·阵营前置",nMaxDistance=60,tRelation={bAll=false,bEnemy=false,bAlly=true,},tLife={bEnable=false,szOperator="&gt;",nValue=0,},},</t>
    <phoneticPr fontId="18" type="noConversion"/>
  </si>
  <si>
    <t>浩气牛车</t>
    <phoneticPr fontId="18" type="noConversion"/>
  </si>
  <si>
    <t>恶人牛车</t>
    <phoneticPr fontId="18" type="noConversion"/>
  </si>
  <si>
    <t>{dwMapID=-1,szDisplay="大旗·盘龙坞",nMaxDistance=3,tRelation={bAll=true,bEnemy=false,bAlly=false,},tLife={bEnable=false,szOperator="&gt;",nValue=0,},},</t>
    <phoneticPr fontId="18" type="noConversion"/>
  </si>
  <si>
    <t>大旗·盘龙坞</t>
  </si>
  <si>
    <t>{dwMapID=-1,szDisplay="大旗·逐鹿坪",nMaxDistance=3,tRelation={bAll=true,bEnemy=false,bAlly=false,},tLife={bEnable=false,szOperator="&gt;",nValue=0,},},</t>
    <phoneticPr fontId="18" type="noConversion"/>
  </si>
  <si>
    <t>大旗·逐鹿坪</t>
  </si>
  <si>
    <t>{dwMapID=-1,szDisplay="何非笑·阵营前置",nMaxDistance=0,tRelation={bAll=false,bEnemy=false,bAlly=true,},tLife={bEnable=false,szOperator="&gt;",nValue=0,},},</t>
    <phoneticPr fontId="18" type="noConversion"/>
  </si>
  <si>
    <t>{dwMapID=-1,szDisplay="王洵·阵营前置",nMaxDistance=20,tRelation={bAll=false,bEnemy=false,bAlly=true,},tLife={bEnable=false,szOperator="&gt;",nValue=0,},},</t>
    <phoneticPr fontId="18" type="noConversion"/>
  </si>
  <si>
    <t>{dwMapID=-1,szDisplay="大旗·龙门镇",nMaxDistance=3,tRelation={bAll=true,bEnemy=false,bAlly=false,},tLife={bEnable=false,szOperator="&gt;",nValue=0,},},</t>
    <phoneticPr fontId="18" type="noConversion"/>
  </si>
  <si>
    <t>大旗·龙门镇</t>
  </si>
  <si>
    <t>{dwMapID=-1,szDisplay="大旗·飞沙关",nMaxDistance=3,tRelation={bAll=true,bEnemy=false,bAlly=false,},tLife={bEnable=false,szOperator="&gt;",nValue=0,},},</t>
    <phoneticPr fontId="18" type="noConversion"/>
  </si>
  <si>
    <t>大旗·飞沙关</t>
  </si>
  <si>
    <t>休憩的商人</t>
    <phoneticPr fontId="18" type="noConversion"/>
  </si>
  <si>
    <t>凌燕丘</t>
    <phoneticPr fontId="18" type="noConversion"/>
  </si>
  <si>
    <t>{dwMapID=-1,szDisplay="方超·阵营前置",nMaxDistance=0,tRelation={bAll=true,bEnemy=false,bAlly=false,},tLife={bEnable=false,szOperator="&gt;",nValue=0,},},</t>
    <phoneticPr fontId="18" type="noConversion"/>
  </si>
  <si>
    <t>{dwMapID=-1,szDisplay="赵新宇·阵营前置",nMaxDistance=0,tRelation={bAll=true,bEnemy=false,bAlly=false,},tLife={bEnable=false,szOperator="&gt;",nValue=0,},},</t>
    <phoneticPr fontId="18" type="noConversion"/>
  </si>
  <si>
    <t>郭海宾</t>
    <phoneticPr fontId="18" type="noConversion"/>
  </si>
  <si>
    <t>赵新宇·阵营前置</t>
    <phoneticPr fontId="18" type="noConversion"/>
  </si>
  <si>
    <t>方超·阵营前置</t>
    <phoneticPr fontId="18" type="noConversion"/>
  </si>
  <si>
    <t>小珍</t>
    <phoneticPr fontId="18" type="noConversion"/>
  </si>
  <si>
    <t>小曾</t>
    <phoneticPr fontId="18" type="noConversion"/>
  </si>
  <si>
    <t>{dwMapID=-1,szDisplay="郭戈·烽烟再起",nMaxDistance=10,tRelation={bAll=false,bEnemy=false,bAlly=true,},tLife={bEnable=false,szOperator="&gt;",nValue=0,},},</t>
    <phoneticPr fontId="18" type="noConversion"/>
  </si>
  <si>
    <t>烽烟再起·郭戈</t>
    <phoneticPr fontId="18" type="noConversion"/>
  </si>
  <si>
    <t>烽烟再起·蒋征南</t>
    <phoneticPr fontId="18" type="noConversion"/>
  </si>
  <si>
    <t>谷艾</t>
    <phoneticPr fontId="18" type="noConversion"/>
  </si>
  <si>
    <t>宋涛</t>
    <phoneticPr fontId="18" type="noConversion"/>
  </si>
  <si>
    <t>恶人谷大将</t>
    <phoneticPr fontId="18" type="noConversion"/>
  </si>
  <si>
    <t>浩气盟大将</t>
    <phoneticPr fontId="18" type="noConversion"/>
  </si>
  <si>
    <t>{dwMapID=-1,szDisplay="蒋征南·烽烟再起",nMaxDistance=10,tRelation={bAll=false,bEnemy=false,bAlly=true,},tLife={bEnable=false,szOperator="&gt;",nValue=0,},},</t>
    <phoneticPr fontId="18" type="noConversion"/>
  </si>
  <si>
    <t>{dwMapID=-1,szDisplay="大旗·千岩关",nMaxDistance=3,tRelation={bAll=true,bEnemy=false,bAlly=false,},tLife={bEnable=false,szOperator="&gt;",nValue=0,},},</t>
    <phoneticPr fontId="18" type="noConversion"/>
  </si>
  <si>
    <t>大旗·千岩关</t>
    <phoneticPr fontId="18" type="noConversion"/>
  </si>
  <si>
    <t>大旗·枫湖寨</t>
  </si>
  <si>
    <t>{dwMapID=-1,szDisplay="大旗·枫湖寨",nMaxDistance=3,tRelation={bAll=true,bEnemy=false,bAlly=false,},tLife={bEnable=false,szOperator="&gt;",nValue=0,},},</t>
  </si>
  <si>
    <t>{dwMapID=-1,szDisplay="大旗·啖杏林",nMaxDistance=3,tRelation={bAll=true,bEnemy=false,bAlly=false,},tLife={bEnable=false,szOperator="&gt;",nValue=0,},},</t>
    <phoneticPr fontId="18" type="noConversion"/>
  </si>
  <si>
    <t>大旗·啖杏林</t>
    <phoneticPr fontId="18" type="noConversion"/>
  </si>
  <si>
    <t>旗 攻占据点大旗</t>
    <phoneticPr fontId="18" type="noConversion"/>
  </si>
  <si>
    <t>旗 守卫据点大旗</t>
    <phoneticPr fontId="18" type="noConversion"/>
  </si>
  <si>
    <t>铁铸刚</t>
    <phoneticPr fontId="18" type="noConversion"/>
  </si>
  <si>
    <t>31,255,255,</t>
    <phoneticPr fontId="18" type="noConversion"/>
  </si>
  <si>
    <t>{dwMapID=-1,nMaxDistance=60,tRelation={bAll=true,bEnemy=false,bAlly=false,},tLife={bEnable=true,szOperator="&gt;",nValue=98,},}</t>
    <phoneticPr fontId="18" type="noConversion"/>
  </si>
  <si>
    <t>{nClass=14,nIcon=2396,nFrame=-1,szName="",nTime=0.001,nRefresh=2,key="浩气·{$2}·助战",},</t>
    <phoneticPr fontId="18" type="noConversion"/>
  </si>
  <si>
    <t>{nClass=14,nIcon=2396,nFrame=-1,szName="浩气·{$2}·助战",nTime=-1,key="浩气·{$2}·助战",},</t>
    <phoneticPr fontId="18" type="noConversion"/>
  </si>
  <si>
    <t>{nClass=14,nIcon=2396,nFrame=-1,szName="",nTime=0.001,nRefresh=2,key="恶人·{$2}·助战",},</t>
    <phoneticPr fontId="18" type="noConversion"/>
  </si>
  <si>
    <t>{nClass=14,nIcon=2396,nFrame=-1,szName="恶人·{$2}·助战",nTime=-1,key="恶人·{$2}·助战",},</t>
    <phoneticPr fontId="18" type="noConversion"/>
  </si>
  <si>
    <t>{nClass=14,nIcon=2396,nFrame=-1,szName="{$1}·{$2}·助战",nTime=0,key="{$1}·{$2}·助战",},</t>
    <phoneticPr fontId="18" type="noConversion"/>
  </si>
  <si>
    <t>{nClass=20,nIcon=2398,nFrame=3,szName="恶人谷·复活点物资·刷新",nTime=10,nRefresh=2,key="恶人·复活点·运达",},</t>
    <phoneticPr fontId="18" type="noConversion"/>
  </si>
  <si>
    <t>{nClass=20,nIcon=2397,nFrame=7,szName="浩气盟·复活点物资·刷新",nTime=10,nRefresh=2,key="浩气·复活点·运达",},</t>
    <phoneticPr fontId="18" type="noConversion"/>
  </si>
  <si>
    <t>{nClass=20,nIcon=2398,nFrame=3,szName="恶人谷·复活点物资·刷新",nTime=10,nRefresh=2,key="恶人·复活点·运达",}</t>
    <phoneticPr fontId="18" type="noConversion"/>
  </si>
  <si>
    <t>阵营地图</t>
    <phoneticPr fontId="18" type="noConversion"/>
  </si>
  <si>
    <t>顾延恶</t>
    <phoneticPr fontId="18" type="noConversion"/>
  </si>
  <si>
    <t>小七</t>
    <phoneticPr fontId="18" type="noConversion"/>
  </si>
  <si>
    <t>{nClass=14,nIcon=13,nFrame=1,szName="拾取间隔",nTime="300,物资车·拾取物资间隔;310,可以拾取物资了",nRefresh=1,key="拾取间隔",},</t>
    <phoneticPr fontId="18" type="noConversion"/>
  </si>
  <si>
    <t>{nClass=20,nIcon=13,nFrame=0,szName="拾取间隔",nTime=0,key="拾取间隔",},</t>
    <phoneticPr fontId="18" type="noConversion"/>
  </si>
  <si>
    <t>军情速递！恶人谷物资车已运达，车内装有大量物资，望侠士们前来拾取，切莫错过。\n</t>
  </si>
  <si>
    <t>{nClass=20,nIcon=2398,nFrame=3,szName="恶人谷·内城物资·刷新",nRefresh=2,nTime=10,key="恶人·物资车·运达",},</t>
    <phoneticPr fontId="18" type="noConversion"/>
  </si>
  <si>
    <t>{nClass=20,nIcon=2397,nFrame=7,szName="浩气盟·营地物资·刷新",nRefresh=2,nTime=10,key="浩气·物资车·运达",},</t>
    <phoneticPr fontId="18" type="noConversion"/>
  </si>
  <si>
    <t>{nClass=14,nIcon=20122,nFrame=3,szName="浩气·{$sender}·正在助战",nTime=300,nRefresh=1,key="浩气·{$sender}·助战",},</t>
    <phoneticPr fontId="18" type="noConversion"/>
  </si>
  <si>
    <t>{nClass=20,nIcon=13,nFrame=-1,nTime=0.001,nRefresh=7200,key="谢渊·穆玄英·减伤",},</t>
  </si>
  <si>
    <t>{nClass=20,nIcon=13,nFrame=-1,szName="谢渊·穆玄英·减伤",nTime=-1,key="谢渊·穆玄英·减伤",},</t>
  </si>
  <si>
    <t>{nClass=20,nIcon=13,nFrame=-1,nTime=0.001,nRefresh=7200,key="谢渊·叶镜池·减伤",},</t>
  </si>
  <si>
    <t>{nClass=20,nIcon=13,nFrame=-1,szName="谢渊·叶镜池·减伤",nTime=-1,key="谢渊·叶镜池·减伤",},</t>
  </si>
  <si>
    <t>{nClass=20,nIcon=13,nFrame=-1,nTime=0.001,nRefresh=7200,key="谢渊·赵紫儿·减伤",},</t>
  </si>
  <si>
    <t>{nClass=20,nIcon=13,nFrame=-1,szName="谢渊·赵紫儿·减伤",nTime=-1,key="谢渊·赵紫儿·减伤",},</t>
  </si>
  <si>
    <t>{nClass=20,nIcon=13,nFrame=-1,nTime=0.001,nRefresh=7200,key="谢渊·郭珠·减伤",},</t>
  </si>
  <si>
    <t>{nClass=20,nIcon=13,nFrame=-1,szName="谢渊·郭珠·减伤",nTime=-1,key="谢渊·郭珠·减伤",},</t>
  </si>
  <si>
    <t>{nClass=20,nIcon=13,nFrame=-1,nTime=0.001,nRefresh=7200,key="谢渊·影·减伤",},</t>
  </si>
  <si>
    <t>{nClass=20,nIcon=13,nFrame=-1,szName="谢渊·影·减伤",nTime=-1,key="谢渊·影·减伤",},</t>
  </si>
  <si>
    <t>{nClass=20,nIcon=13,nFrame=-1,nTime=0.001,nRefresh=7200,key="王遗风·烟·减伤",},</t>
  </si>
  <si>
    <t>{nClass=20,nIcon=13,nFrame=-1,szName="王遗风·烟·减伤",nTime=-1,key="王遗风·烟·减伤",},</t>
  </si>
  <si>
    <t>{nClass=20,nIcon=13,nFrame=-1,nTime=0.001,nRefresh=7200,key="王遗风·岳琅·减伤",},</t>
  </si>
  <si>
    <t>{nClass=20,nIcon=13,nFrame=-1,szName="王遗风·岳琅·减伤",nTime=-1,key="王遗风·岳琅·减伤",},</t>
  </si>
  <si>
    <t>{nClass=20,nIcon=13,nFrame=-1,nTime=0.001,nRefresh=7200,key="王遗风·丁丁·减伤",},</t>
  </si>
  <si>
    <t>{nClass=20,nIcon=13,nFrame=-1,szName="王遗风·丁丁·减伤",nTime=-1,key="王遗风·丁丁·减伤",},</t>
  </si>
  <si>
    <t>{nClass=20,nIcon=13,nFrame=-1,nTime=0.001,nRefresh=7200,key="王遗风·毕罗巴·减伤",},</t>
  </si>
  <si>
    <t>{nClass=20,nIcon=13,nFrame=-1,szName="王遗风·毕罗巴·减伤",nTime=-1,key="王遗风·毕罗巴·减伤",},</t>
  </si>
  <si>
    <t>{nClass=20,nIcon=13,nFrame=-1,nTime=0.001,nRefresh=7200,key="王遗风·独孤修·减伤",},</t>
  </si>
  <si>
    <t>{nClass=20,nIcon=13,nFrame=-1,szName="王遗风·独孤修·减伤",nTime=-1,key="王遗风·独孤修·减伤",},</t>
  </si>
  <si>
    <t>{nClass=20,nIcon=13,nFrame=-1,nTime=0.001,nRefresh=7200,key="王遗风·伊夜·减伤",},</t>
  </si>
  <si>
    <t>{nClass=20,nIcon=13,nFrame=-1,szName="王遗风·伊夜·减伤",nTime=-1,key="王遗风·伊夜·减伤",},</t>
  </si>
  <si>
    <t>{nClass=20,nIcon=13,nFrame=-1,nTime=0.001,nRefresh=7200,key="谢渊·韩非池·减伤",},</t>
  </si>
  <si>
    <t>{nClass=20,nIcon=13,nFrame=-1,szName="谢渊·韩非池·减伤",nTime=-1,key="谢渊·韩非池·减伤",},</t>
  </si>
  <si>
    <t>{nClass=20,nIcon=13,nFrame=-1,szName="谢渊·月弄痕·减伤",nTime=-2,key="谢渊·月弄痕·减伤",},</t>
  </si>
  <si>
    <t>{nClass=20,nIcon=13,nFrame=-1,szName="谢渊·游驹·减伤",nTime=-2,key="谢渊·游驹·减伤",},</t>
  </si>
  <si>
    <t>{nClass=20,nIcon=13,nFrame=-1,szName="谢渊·小七·减伤",nTime=-2,key="谢渊·小七·减伤",},</t>
  </si>
  <si>
    <t>{nClass=20,nIcon=13,nFrame=-1,szName="谢渊·张桎辕·减伤",nTime=-2,key="谢渊·张桎辕·减伤",},</t>
  </si>
  <si>
    <t>{nClass=20,nIcon=13,nFrame=-1,szName="谢渊·司空仲平·减伤",nTime=-2,key="谢渊·司空仲平·减伤",},</t>
  </si>
  <si>
    <t>{nClass=20,nIcon=13,nFrame=-1,szName="王遗风·司徒一一·减伤",nTime=-2,key="王遗风·司徒一一·减伤",},</t>
  </si>
  <si>
    <t>{nClass=20,nIcon=13,nFrame=-1,szName="王遗风·白某·减伤",nTime=-2,key="王遗风·白某·减伤",},</t>
  </si>
  <si>
    <t>{nClass=20,nIcon=13,nFrame=-1,szName="王遗风·米丽古丽·减伤",nTime=-2,key="王遗风·米丽古丽·减伤",},</t>
  </si>
  <si>
    <t>{nClass=20,nIcon=13,nFrame=-1,szName="王遗风·陶寒亭·减伤",nTime=-2,key="王遗风·陶寒亭·减伤",},</t>
  </si>
  <si>
    <t>{nClass=20,nIcon=13,nFrame=-1,szName="王遗风·肖药儿·减伤",nTime=-2,key="王遗风·肖药儿·减伤",},</t>
  </si>
  <si>
    <t>{nClass=20,nIcon=2401,nFrame=0,szName="本场攻防·正式开始",nTime=60,nRefresh=2,key="攻防活动",},</t>
    <phoneticPr fontId="18" type="noConversion"/>
  </si>
  <si>
    <t>偃旗息鼓·结束时间</t>
    <phoneticPr fontId="18" type="noConversion"/>
  </si>
  <si>
    <t>一触即发·开启事件</t>
    <phoneticPr fontId="18" type="noConversion"/>
  </si>
  <si>
    <t>{nClass=2,nIcon=13,nFrame=0,szName="拾取间隔",nTime=0,key="拾取间隔",},</t>
    <phoneticPr fontId="18" type="noConversion"/>
  </si>
  <si>
    <t>{nClass=1,nIcon=13,nFrame=0,szName="拾取间隔",nTime=0,key="拾取间隔",},</t>
    <phoneticPr fontId="18" type="noConversion"/>
  </si>
  <si>
    <t>{nClass=2,nIcon=13,nFrame=-1,szName="谢渊·月弄痕·减伤",nTime=-1,key="谢渊·月弄痕·减伤",},</t>
  </si>
  <si>
    <t>{nClass=2,nIcon=13,nFrame=-1,szName="谢渊·游驹·减伤",nTime=-1,key="谢渊·游驹·减伤",},</t>
  </si>
  <si>
    <t>{nClass=2,nIcon=13,nFrame=-1,szName="谢渊·小七·减伤",nTime=-1,key="谢渊·小七·减伤",},</t>
  </si>
  <si>
    <t>{nClass=2,nIcon=13,nFrame=-1,szName="谢渊·司空仲平·减伤",nTime=-1,key="谢渊·司空仲平·减伤",},</t>
  </si>
  <si>
    <t>{nClass=2,nIcon=13,nFrame=-1,szName="王遗风·司徒一一·减伤",nTime=-1,key="王遗风·司徒一一·减伤",},</t>
  </si>
  <si>
    <t>{nClass=2,nIcon=13,nFrame=-1,szName="王遗风·白某·减伤",nTime=-1,key="王遗风·白某·减伤",},</t>
  </si>
  <si>
    <t>{nClass=2,nIcon=13,nFrame=-1,szName="王遗风·米丽古丽·减伤",nTime=-1,key="王遗风·米丽古丽·减伤",},</t>
  </si>
  <si>
    <t>{nClass=2,nIcon=13,nFrame=-1,szName="王遗风·陶寒亭·减伤",nTime=-1,key="王遗风·陶寒亭·减伤",},</t>
  </si>
  <si>
    <t>{nClass=2,nIcon=13,nFrame=-1,szName="王遗风·肖药儿·减伤",nTime=-1,key="王遗风·肖药儿·减伤",},</t>
  </si>
  <si>
    <t>{nClass=2,nIcon=13,nFrame=-1,szName="王遗风·伊夜·减伤",nTime=-1,key="王遗风·伊夜·减伤",},</t>
  </si>
  <si>
    <t>{nClass=2,nIcon=13,nFrame=-1,szName="王遗风·丁丁·减伤",nTime=-1,key="王遗风·丁丁·减伤",},</t>
  </si>
  <si>
    <t>{nClass=2,nIcon=13,nFrame=-1,szName="王遗风·岳琅·减伤",nTime=-1,key="王遗风·岳琅·减伤",},</t>
  </si>
  <si>
    <t>{nClass=2,nIcon=13,nFrame=-1,szName="王遗风·毕罗巴·减伤",nTime=-1,key="王遗风·毕罗巴·减伤",},</t>
  </si>
  <si>
    <t>{nClass=2,nIcon=13,nFrame=-1,szName="王遗风·烟·减伤",nTime=-1,key="王遗风·烟·减伤",},</t>
  </si>
  <si>
    <t>{nClass=2,nIcon=13,nFrame=-1,szName="王遗风·独孤修·减伤",nTime=-1,key="王遗风·独孤修·减伤",},</t>
  </si>
  <si>
    <t>{nClass=2,nIcon=13,nFrame=-1,szName="谢渊·韩非池·减伤",nTime=-1,key="谢渊·韩非池·减伤",},</t>
  </si>
  <si>
    <t>{nClass=2,nIcon=13,nFrame=-1,szName="谢渊·赵紫儿·减伤",nTime=-1,key="谢渊·赵紫儿·减伤",},</t>
  </si>
  <si>
    <t>{nClass=2,nIcon=13,nFrame=-1,szName="谢渊·叶镜池·减伤",nTime=-1,key="谢渊·叶镜池·减伤",},</t>
  </si>
  <si>
    <t>{nClass=2,nIcon=13,nFrame=-1,szName="谢渊·郭珠·减伤",nTime=-1,key="谢渊·郭珠·减伤",},</t>
  </si>
  <si>
    <t>{nClass=2,nIcon=13,nFrame=-1,szName="谢渊·穆玄英·减伤",nTime=-1,key="谢渊·穆玄英·减伤",},</t>
  </si>
  <si>
    <t>{nClass=2,nIcon=13,nFrame=-1,szName="谢渊·影·减伤",nTime=-1,key="谢渊·影·减伤",},</t>
  </si>
  <si>
    <t>{nClass=2,nIcon=13,nFrame=-1,szName="谢渊·张桎辕·减伤",nTime=-1,key="谢渊·张桎辕·减伤",},</t>
    <phoneticPr fontId="18" type="noConversion"/>
  </si>
  <si>
    <t>{nClass=2,key="占领据点",nTime=0,szName="占领据点",nFrame=8,nIcon=592,},</t>
    <phoneticPr fontId="18" type="noConversion"/>
  </si>
  <si>
    <t>{nClass=1,key="占领据点",nTime=600,szName="【{$receiver}】·占领据点",nFrame=8,nIcon=592,},</t>
    <phoneticPr fontId="18" type="noConversion"/>
  </si>
  <si>
    <t>{nClass=1,nIcon=2399,nFrame=2,szName="召请CD·王遗风",nTime=-1,key="召请CD·王遗风",},</t>
  </si>
  <si>
    <t>{nClass=1,nIcon=2399,nFrame=2,szName="召请CD·肖药儿",nTime=-1,key="召请CD·肖药儿",},</t>
  </si>
  <si>
    <t>{nClass=1,nIcon=2399,nFrame=2,szName="召请CD·司徒一一",nTime=-1,key="召请CD·司徒一一",},</t>
  </si>
  <si>
    <t>{nClass=1,nIcon=2399,nFrame=2,szName="召请CD·陶寒亭",nTime=-1,key="召请CD·陶寒亭",},</t>
  </si>
  <si>
    <t>{nClass=1,nIcon=2399,nFrame=2,szName="召请CD·米丽古丽",nTime=-1,key="召请CD·米丽古丽",},</t>
  </si>
  <si>
    <t>{nClass=1,nIcon=2399,nFrame=2,szName="召请CD·白某",nTime=-1,key="召请CD·白某",},</t>
  </si>
  <si>
    <t>{nClass=1,nIcon=2399,nFrame=2,szName="召请CD·谢渊",nTime=-1,key="召请CD·谢渊",},</t>
  </si>
  <si>
    <t>{nClass=1,nIcon=2399,nFrame=2,szName="召请CD·月弄痕",nTime=-1,key="召请CD·月弄痕",},</t>
  </si>
  <si>
    <t>{nClass=1,nIcon=2399,nFrame=2,szName="召请CD·游驹",nTime=-1,key="召请CD·游驹",},</t>
  </si>
  <si>
    <t>{nClass=1,nIcon=2399,nFrame=2,szName="召请CD·小七",nTime=-1,key="召请CD·小七",},</t>
  </si>
  <si>
    <t>{nClass=1,nIcon=2399,nFrame=2,szName="召请CD·张桎辕",nTime=-1,key="召请CD·张桎辕",},</t>
  </si>
  <si>
    <t>{nClass=1,nIcon=2399,nFrame=2,szName="召请CD·司空仲平",nTime=-1,key="召请CD·司空仲平",},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</si>
</sst>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宋体"/>
      <family val="2"/>
      <charset val="134"/>
    </font>
    <font>
      <b/>
      <sz val="13"/>
      <color theme="3"/>
      <name val="宋体"/>
      <family val="2"/>
      <charset val="134"/>
    </font>
    <font>
      <b/>
      <sz val="11"/>
      <color theme="3"/>
      <name val="宋体"/>
      <family val="2"/>
      <charset val="134"/>
    </font>
    <font>
      <sz val="11"/>
      <color rgb="FF006100"/>
      <name val="宋体"/>
      <family val="2"/>
      <charset val="134"/>
    </font>
    <font>
      <sz val="11"/>
      <color rgb="FF9C0006"/>
      <name val="宋体"/>
      <family val="2"/>
      <charset val="134"/>
    </font>
    <font>
      <sz val="11"/>
      <color rgb="FF9C5700"/>
      <name val="宋体"/>
      <family val="2"/>
      <charset val="134"/>
    </font>
    <font>
      <sz val="11"/>
      <color rgb="FF3F3F76"/>
      <name val="宋体"/>
      <family val="2"/>
      <charset val="134"/>
    </font>
    <font>
      <b/>
      <sz val="11"/>
      <color rgb="FF3F3F3F"/>
      <name val="宋体"/>
      <family val="2"/>
      <charset val="134"/>
    </font>
    <font>
      <b/>
      <sz val="11"/>
      <color rgb="FFFA7D00"/>
      <name val="宋体"/>
      <family val="2"/>
      <charset val="134"/>
    </font>
    <font>
      <sz val="11"/>
      <color rgb="FFFA7D00"/>
      <name val="宋体"/>
      <family val="2"/>
      <charset val="134"/>
    </font>
    <font>
      <b/>
      <sz val="11"/>
      <color theme="0"/>
      <name val="宋体"/>
      <family val="2"/>
      <charset val="134"/>
    </font>
    <font>
      <sz val="11"/>
      <color rgb="FFFF0000"/>
      <name val="宋体"/>
      <family val="2"/>
      <charset val="134"/>
    </font>
    <font>
      <i/>
      <sz val="11"/>
      <color rgb="FF7F7F7F"/>
      <name val="宋体"/>
      <family val="2"/>
      <charset val="134"/>
    </font>
    <font>
      <b/>
      <sz val="11"/>
      <color theme="1"/>
      <name val="宋体"/>
      <family val="2"/>
      <charset val="134"/>
    </font>
    <font>
      <sz val="11"/>
      <color theme="0"/>
      <name val="宋体"/>
      <family val="2"/>
      <charset val="134"/>
    </font>
    <font>
      <sz val="9"/>
      <name val="宋体"/>
      <family val="2"/>
      <charset val="134"/>
    </font>
    <font>
      <u/>
      <sz val="11"/>
      <color theme="10"/>
      <name val="宋体"/>
      <family val="2"/>
      <charset val="134"/>
    </font>
    <font>
      <b/>
      <sz val="11"/>
      <color rgb="FFFF0000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3" fontId="0" fillId="0" borderId="10" xfId="0" quotePrefix="1" applyNumberFormat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7" fillId="3" borderId="12" xfId="7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3" borderId="10" xfId="0" applyFill="1" applyBorder="1">
      <alignment vertical="center"/>
    </xf>
    <xf numFmtId="0" fontId="6" fillId="2" borderId="10" xfId="6" applyBorder="1">
      <alignment vertical="center"/>
    </xf>
    <xf numFmtId="3" fontId="0" fillId="0" borderId="0" xfId="0" quotePrefix="1" applyNumberFormat="1" applyBorder="1" applyAlignment="1">
      <alignment horizontal="center" vertical="center"/>
    </xf>
    <xf numFmtId="0" fontId="7" fillId="3" borderId="10" xfId="7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21" fillId="33" borderId="10" xfId="0" applyFont="1" applyFill="1" applyBorder="1" applyAlignment="1">
      <alignment vertical="center"/>
    </xf>
    <xf numFmtId="0" fontId="0" fillId="33" borderId="10" xfId="0" applyFill="1" applyBorder="1" applyAlignment="1">
      <alignment horizontal="left" vertical="center"/>
    </xf>
    <xf numFmtId="0" fontId="20" fillId="33" borderId="0" xfId="0" applyFont="1" applyFill="1" applyAlignment="1">
      <alignment horizontal="center" vertical="center"/>
    </xf>
    <xf numFmtId="0" fontId="20" fillId="33" borderId="10" xfId="0" applyFont="1" applyFill="1" applyBorder="1">
      <alignment vertical="center"/>
    </xf>
    <xf numFmtId="0" fontId="19" fillId="0" borderId="0" xfId="42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33" borderId="0" xfId="0" applyFill="1">
      <alignment vertical="center"/>
    </xf>
    <xf numFmtId="0" fontId="7" fillId="3" borderId="10" xfId="7" applyBorder="1" applyAlignment="1">
      <alignment horizontal="center" vertical="center"/>
    </xf>
    <xf numFmtId="0" fontId="7" fillId="3" borderId="11" xfId="7" applyBorder="1" applyAlignment="1">
      <alignment horizontal="center" vertical="center"/>
    </xf>
    <xf numFmtId="0" fontId="7" fillId="3" borderId="12" xfId="7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hyperlink" Target="https://www.jx3box.com/tool/60356" TargetMode="External"/><Relationship Id="rId2" Type="http://purl.oclc.org/ooxml/officeDocument/relationships/hyperlink" Target="https://www.jx3box.com/tool/74098" TargetMode="External"/><Relationship Id="rId1" Type="http://purl.oclc.org/ooxml/officeDocument/relationships/hyperlink" Target="https://www.jx3box.com/tool/17349" TargetMode="External"/><Relationship Id="rId4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8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2665-9A55-4092-B9FA-950D5A6A50BE}">
  <dimension ref="A1:G118"/>
  <sheetViews>
    <sheetView zoomScale="90" zoomScaleNormal="90" workbookViewId="0">
      <selection activeCell="C109" sqref="C109"/>
    </sheetView>
  </sheetViews>
  <sheetFormatPr defaultRowHeight="13.5" x14ac:dyDescent="0.15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 x14ac:dyDescent="0.15">
      <c r="A1" s="21" t="s">
        <v>38</v>
      </c>
      <c r="B1" s="20" t="s">
        <v>1411</v>
      </c>
      <c r="C1" s="28" t="s">
        <v>1403</v>
      </c>
      <c r="D1" t="s">
        <v>1417</v>
      </c>
      <c r="E1" s="30" t="s">
        <v>1420</v>
      </c>
    </row>
    <row r="2" spans="1:7" x14ac:dyDescent="0.15">
      <c r="A2" s="21" t="s">
        <v>31</v>
      </c>
      <c r="B2" s="1" t="s">
        <v>32</v>
      </c>
      <c r="C2" s="28" t="s">
        <v>1403</v>
      </c>
      <c r="D2" t="s">
        <v>1418</v>
      </c>
      <c r="E2" s="30" t="s">
        <v>1419</v>
      </c>
    </row>
    <row r="3" spans="1:7" x14ac:dyDescent="0.15">
      <c r="A3" s="21" t="s">
        <v>1895</v>
      </c>
      <c r="B3" s="1" t="s">
        <v>33</v>
      </c>
      <c r="C3" s="28" t="s">
        <v>1403</v>
      </c>
    </row>
    <row r="4" spans="1:7" x14ac:dyDescent="0.15">
      <c r="A4" s="21" t="str">
        <f ca="1">"nTimeStamp = "&amp;((NOW()-70*365-19)*86400-8*3600)*1000&amp;","</f>
        <v>nTimeStamp = 1718548623830,</v>
      </c>
      <c r="B4" s="1" t="s">
        <v>34</v>
      </c>
      <c r="C4" s="28" t="s">
        <v>1403</v>
      </c>
    </row>
    <row r="5" spans="1:7" x14ac:dyDescent="0.15">
      <c r="A5" s="21" t="s">
        <v>1896</v>
      </c>
      <c r="B5" s="1" t="s">
        <v>35</v>
      </c>
      <c r="C5" s="28" t="s">
        <v>1403</v>
      </c>
    </row>
    <row r="6" spans="1:7" x14ac:dyDescent="0.15">
      <c r="A6" s="21" t="s">
        <v>954</v>
      </c>
      <c r="B6" s="1" t="s">
        <v>36</v>
      </c>
      <c r="C6" s="28" t="s">
        <v>1403</v>
      </c>
    </row>
    <row r="7" spans="1:7" x14ac:dyDescent="0.15">
      <c r="A7" s="21" t="s">
        <v>955</v>
      </c>
      <c r="B7" s="1" t="s">
        <v>37</v>
      </c>
      <c r="C7" s="28" t="s">
        <v>1403</v>
      </c>
    </row>
    <row r="8" spans="1:7" x14ac:dyDescent="0.15">
      <c r="A8" s="21" t="s">
        <v>39</v>
      </c>
      <c r="B8" s="1"/>
      <c r="C8" s="28" t="s">
        <v>1403</v>
      </c>
    </row>
    <row r="9" spans="1:7" x14ac:dyDescent="0.15">
      <c r="C9" s="28" t="s">
        <v>1403</v>
      </c>
    </row>
    <row r="10" spans="1:7" x14ac:dyDescent="0.15">
      <c r="A10" s="1" t="s">
        <v>956</v>
      </c>
      <c r="B10" s="1"/>
      <c r="C10" s="28" t="s">
        <v>1403</v>
      </c>
      <c r="D10" s="1"/>
    </row>
    <row r="11" spans="1:7" x14ac:dyDescent="0.15">
      <c r="A11" s="17" t="s">
        <v>693</v>
      </c>
      <c r="B11" s="17" t="s">
        <v>694</v>
      </c>
      <c r="C11" s="28" t="s">
        <v>1403</v>
      </c>
      <c r="D11" s="17" t="s">
        <v>693</v>
      </c>
      <c r="E11" s="13"/>
      <c r="F11" s="13"/>
      <c r="G11" s="13"/>
    </row>
    <row r="12" spans="1:7" x14ac:dyDescent="0.15">
      <c r="A12" s="17" t="s">
        <v>41</v>
      </c>
      <c r="B12" s="17" t="s">
        <v>700</v>
      </c>
      <c r="C12" s="28" t="s">
        <v>1403</v>
      </c>
      <c r="D12" s="17" t="s">
        <v>41</v>
      </c>
      <c r="E12" s="13"/>
      <c r="F12" s="13"/>
      <c r="G12" s="13"/>
    </row>
    <row r="13" spans="1:7" x14ac:dyDescent="0.15">
      <c r="A13" s="17" t="s">
        <v>695</v>
      </c>
      <c r="B13" s="17" t="s">
        <v>701</v>
      </c>
      <c r="C13" s="28" t="s">
        <v>1403</v>
      </c>
      <c r="D13" s="17" t="s">
        <v>695</v>
      </c>
      <c r="E13" s="13"/>
      <c r="F13" s="13"/>
      <c r="G13" s="13"/>
    </row>
    <row r="14" spans="1:7" x14ac:dyDescent="0.15">
      <c r="A14" s="17" t="s">
        <v>696</v>
      </c>
      <c r="B14" s="17" t="s">
        <v>702</v>
      </c>
      <c r="C14" s="28" t="s">
        <v>1403</v>
      </c>
      <c r="D14" s="17" t="s">
        <v>696</v>
      </c>
      <c r="E14" s="13"/>
      <c r="F14" s="13"/>
      <c r="G14" s="13"/>
    </row>
    <row r="15" spans="1:7" x14ac:dyDescent="0.15">
      <c r="A15" s="17" t="s">
        <v>697</v>
      </c>
      <c r="B15" s="17" t="s">
        <v>703</v>
      </c>
      <c r="C15" s="28" t="s">
        <v>1403</v>
      </c>
      <c r="D15" s="17" t="s">
        <v>697</v>
      </c>
      <c r="E15" s="13"/>
      <c r="F15" s="13"/>
      <c r="G15" s="13"/>
    </row>
    <row r="16" spans="1:7" x14ac:dyDescent="0.15">
      <c r="A16" s="17" t="s">
        <v>698</v>
      </c>
      <c r="B16" s="17" t="s">
        <v>704</v>
      </c>
      <c r="C16" s="28" t="s">
        <v>1403</v>
      </c>
      <c r="D16" s="17" t="s">
        <v>698</v>
      </c>
      <c r="E16" s="13"/>
      <c r="F16" s="13"/>
      <c r="G16" s="13"/>
    </row>
    <row r="17" spans="1:7" x14ac:dyDescent="0.15">
      <c r="A17" s="17" t="s">
        <v>953</v>
      </c>
      <c r="B17" s="17" t="s">
        <v>705</v>
      </c>
      <c r="C17" s="28" t="s">
        <v>1403</v>
      </c>
      <c r="D17" s="17" t="s">
        <v>699</v>
      </c>
      <c r="E17" s="13"/>
      <c r="F17" s="13"/>
      <c r="G17" s="13"/>
    </row>
    <row r="18" spans="1:7" x14ac:dyDescent="0.15">
      <c r="A18" s="13"/>
      <c r="B18" s="13"/>
      <c r="C18" s="28" t="s">
        <v>1403</v>
      </c>
      <c r="D18" s="13"/>
      <c r="E18" s="13"/>
      <c r="F18" s="13"/>
      <c r="G18" s="13"/>
    </row>
    <row r="19" spans="1:7" x14ac:dyDescent="0.15">
      <c r="F19" s="13"/>
      <c r="G19" s="13"/>
    </row>
    <row r="20" spans="1:7" x14ac:dyDescent="0.15">
      <c r="A20" s="17" t="s">
        <v>855</v>
      </c>
      <c r="B20" s="17"/>
      <c r="C20" s="17"/>
      <c r="D20" s="17"/>
      <c r="E20" s="17"/>
      <c r="F20" s="17"/>
      <c r="G20" s="17"/>
    </row>
    <row r="21" spans="1:7" x14ac:dyDescent="0.15">
      <c r="A21" s="17" t="s">
        <v>792</v>
      </c>
      <c r="B21" s="17" t="s">
        <v>707</v>
      </c>
      <c r="C21" s="17" t="s">
        <v>708</v>
      </c>
      <c r="D21" s="17" t="s">
        <v>851</v>
      </c>
      <c r="E21" s="17" t="s">
        <v>794</v>
      </c>
      <c r="F21" s="17" t="s">
        <v>795</v>
      </c>
      <c r="G21" s="17" t="s">
        <v>975</v>
      </c>
    </row>
    <row r="22" spans="1:7" x14ac:dyDescent="0.15">
      <c r="A22" s="17" t="s">
        <v>796</v>
      </c>
      <c r="B22" s="17" t="s">
        <v>714</v>
      </c>
      <c r="C22" s="17" t="s">
        <v>3</v>
      </c>
      <c r="D22" s="17" t="s">
        <v>797</v>
      </c>
      <c r="E22" s="17" t="s">
        <v>798</v>
      </c>
      <c r="F22" s="17" t="s">
        <v>799</v>
      </c>
      <c r="G22" s="17" t="s">
        <v>800</v>
      </c>
    </row>
    <row r="23" spans="1:7" x14ac:dyDescent="0.15">
      <c r="A23" s="17" t="s">
        <v>801</v>
      </c>
      <c r="B23" s="17" t="s">
        <v>802</v>
      </c>
      <c r="C23" s="17" t="s">
        <v>803</v>
      </c>
      <c r="D23" s="18" t="s">
        <v>854</v>
      </c>
      <c r="E23" s="17" t="s">
        <v>798</v>
      </c>
      <c r="F23" s="17" t="s">
        <v>799</v>
      </c>
      <c r="G23" s="17" t="s">
        <v>800</v>
      </c>
    </row>
    <row r="24" spans="1:7" x14ac:dyDescent="0.15">
      <c r="A24" s="17" t="s">
        <v>729</v>
      </c>
      <c r="B24" s="17" t="s">
        <v>802</v>
      </c>
      <c r="C24" s="17" t="s">
        <v>804</v>
      </c>
      <c r="D24" s="17" t="s">
        <v>805</v>
      </c>
      <c r="E24" s="17" t="s">
        <v>798</v>
      </c>
      <c r="F24" s="17" t="s">
        <v>799</v>
      </c>
      <c r="G24" s="17" t="s">
        <v>800</v>
      </c>
    </row>
    <row r="25" spans="1:7" x14ac:dyDescent="0.15">
      <c r="A25" s="17" t="s">
        <v>806</v>
      </c>
      <c r="B25" s="17"/>
      <c r="C25" s="17"/>
      <c r="D25" s="17"/>
      <c r="E25" s="17"/>
      <c r="F25" s="17"/>
      <c r="G25" s="17"/>
    </row>
    <row r="26" spans="1:7" x14ac:dyDescent="0.15">
      <c r="A26" s="17" t="s">
        <v>792</v>
      </c>
      <c r="B26" s="17" t="s">
        <v>707</v>
      </c>
      <c r="C26" s="17" t="s">
        <v>708</v>
      </c>
      <c r="D26" s="17" t="s">
        <v>793</v>
      </c>
      <c r="E26" s="17" t="s">
        <v>794</v>
      </c>
      <c r="F26" s="17" t="s">
        <v>795</v>
      </c>
      <c r="G26" s="17" t="s">
        <v>975</v>
      </c>
    </row>
    <row r="27" spans="1:7" x14ac:dyDescent="0.15">
      <c r="A27" s="17" t="s">
        <v>1</v>
      </c>
      <c r="B27" s="17" t="s">
        <v>710</v>
      </c>
      <c r="C27" s="17" t="s">
        <v>807</v>
      </c>
      <c r="D27" s="17" t="s">
        <v>808</v>
      </c>
      <c r="E27" s="17" t="s">
        <v>809</v>
      </c>
      <c r="F27" s="17" t="s">
        <v>800</v>
      </c>
      <c r="G27" s="17" t="s">
        <v>799</v>
      </c>
    </row>
    <row r="28" spans="1:7" x14ac:dyDescent="0.15">
      <c r="A28" s="17" t="s">
        <v>810</v>
      </c>
      <c r="B28" s="17" t="s">
        <v>710</v>
      </c>
      <c r="C28" s="17" t="s">
        <v>2</v>
      </c>
      <c r="D28" s="17" t="s">
        <v>811</v>
      </c>
      <c r="E28" s="17" t="s">
        <v>812</v>
      </c>
      <c r="F28" s="17" t="s">
        <v>800</v>
      </c>
      <c r="G28" s="17" t="s">
        <v>799</v>
      </c>
    </row>
    <row r="29" spans="1:7" x14ac:dyDescent="0.15">
      <c r="A29" s="17" t="s">
        <v>897</v>
      </c>
      <c r="B29" s="17" t="s">
        <v>717</v>
      </c>
      <c r="C29" s="17" t="s">
        <v>813</v>
      </c>
      <c r="D29" s="17" t="s">
        <v>814</v>
      </c>
      <c r="E29" s="17" t="s">
        <v>812</v>
      </c>
      <c r="F29" s="17" t="s">
        <v>799</v>
      </c>
      <c r="G29" s="17" t="s">
        <v>800</v>
      </c>
    </row>
    <row r="30" spans="1:7" x14ac:dyDescent="0.15">
      <c r="A30" s="17" t="s">
        <v>815</v>
      </c>
      <c r="B30" s="17" t="s">
        <v>710</v>
      </c>
      <c r="C30" s="17" t="s">
        <v>816</v>
      </c>
      <c r="D30" s="17" t="s">
        <v>817</v>
      </c>
      <c r="E30" s="17" t="s">
        <v>818</v>
      </c>
      <c r="F30" s="17" t="s">
        <v>799</v>
      </c>
      <c r="G30" s="17" t="s">
        <v>800</v>
      </c>
    </row>
    <row r="31" spans="1:7" x14ac:dyDescent="0.15">
      <c r="A31" s="17" t="s">
        <v>773</v>
      </c>
      <c r="B31" s="17" t="s">
        <v>714</v>
      </c>
      <c r="C31" s="17" t="s">
        <v>819</v>
      </c>
      <c r="D31" s="17" t="s">
        <v>820</v>
      </c>
      <c r="E31" s="17" t="s">
        <v>809</v>
      </c>
      <c r="F31" s="17" t="s">
        <v>799</v>
      </c>
      <c r="G31" s="17" t="s">
        <v>800</v>
      </c>
    </row>
    <row r="32" spans="1:7" x14ac:dyDescent="0.15">
      <c r="A32" s="17" t="s">
        <v>764</v>
      </c>
      <c r="B32" s="17" t="s">
        <v>710</v>
      </c>
      <c r="C32" s="17" t="s">
        <v>821</v>
      </c>
      <c r="D32" s="17" t="s">
        <v>822</v>
      </c>
      <c r="E32" s="17" t="s">
        <v>809</v>
      </c>
      <c r="F32" s="17" t="s">
        <v>799</v>
      </c>
      <c r="G32" s="17" t="s">
        <v>800</v>
      </c>
    </row>
    <row r="33" spans="1:7" x14ac:dyDescent="0.15">
      <c r="A33" s="17" t="s">
        <v>898</v>
      </c>
      <c r="B33" s="17" t="s">
        <v>710</v>
      </c>
      <c r="C33" s="17" t="s">
        <v>823</v>
      </c>
      <c r="D33" s="17" t="s">
        <v>824</v>
      </c>
      <c r="E33" s="17" t="s">
        <v>812</v>
      </c>
      <c r="F33" s="17" t="s">
        <v>799</v>
      </c>
      <c r="G33" s="17" t="s">
        <v>800</v>
      </c>
    </row>
    <row r="34" spans="1:7" x14ac:dyDescent="0.15">
      <c r="A34" s="17" t="s">
        <v>899</v>
      </c>
      <c r="B34" s="17" t="s">
        <v>745</v>
      </c>
      <c r="C34" s="17" t="s">
        <v>853</v>
      </c>
      <c r="D34" s="17" t="s">
        <v>977</v>
      </c>
      <c r="E34" s="17" t="s">
        <v>809</v>
      </c>
      <c r="F34" s="17" t="s">
        <v>799</v>
      </c>
      <c r="G34" s="17" t="s">
        <v>800</v>
      </c>
    </row>
    <row r="35" spans="1:7" x14ac:dyDescent="0.15">
      <c r="A35" s="17" t="s">
        <v>825</v>
      </c>
      <c r="B35" s="17" t="s">
        <v>802</v>
      </c>
      <c r="C35" s="17" t="s">
        <v>826</v>
      </c>
      <c r="D35" s="17" t="s">
        <v>852</v>
      </c>
      <c r="E35" s="17" t="s">
        <v>827</v>
      </c>
      <c r="F35" s="17" t="s">
        <v>799</v>
      </c>
      <c r="G35" s="17" t="s">
        <v>800</v>
      </c>
    </row>
    <row r="36" spans="1:7" x14ac:dyDescent="0.15">
      <c r="A36" s="17" t="s">
        <v>828</v>
      </c>
      <c r="B36" s="17" t="s">
        <v>717</v>
      </c>
      <c r="C36" s="17" t="s">
        <v>829</v>
      </c>
      <c r="D36" s="17" t="s">
        <v>830</v>
      </c>
      <c r="E36" s="17" t="s">
        <v>695</v>
      </c>
      <c r="F36" s="17" t="s">
        <v>799</v>
      </c>
      <c r="G36" s="17" t="s">
        <v>800</v>
      </c>
    </row>
    <row r="37" spans="1:7" x14ac:dyDescent="0.15">
      <c r="A37" s="17" t="s">
        <v>767</v>
      </c>
      <c r="B37" s="17" t="s">
        <v>710</v>
      </c>
      <c r="C37" s="17" t="s">
        <v>831</v>
      </c>
      <c r="D37" s="17" t="s">
        <v>832</v>
      </c>
      <c r="E37" s="17" t="s">
        <v>696</v>
      </c>
      <c r="F37" s="17" t="s">
        <v>800</v>
      </c>
      <c r="G37" s="17" t="s">
        <v>799</v>
      </c>
    </row>
    <row r="38" spans="1:7" x14ac:dyDescent="0.15">
      <c r="A38" s="17" t="s">
        <v>833</v>
      </c>
      <c r="B38" s="17" t="s">
        <v>717</v>
      </c>
      <c r="C38" s="17" t="s">
        <v>834</v>
      </c>
      <c r="D38" s="17" t="s">
        <v>835</v>
      </c>
      <c r="E38" s="17" t="s">
        <v>836</v>
      </c>
      <c r="F38" s="17" t="s">
        <v>799</v>
      </c>
      <c r="G38" s="17" t="s">
        <v>800</v>
      </c>
    </row>
    <row r="39" spans="1:7" x14ac:dyDescent="0.15">
      <c r="A39" s="17" t="s">
        <v>837</v>
      </c>
      <c r="B39" s="17" t="s">
        <v>802</v>
      </c>
      <c r="C39" s="17" t="s">
        <v>838</v>
      </c>
      <c r="D39" s="17" t="s">
        <v>747</v>
      </c>
      <c r="E39" s="17" t="s">
        <v>836</v>
      </c>
      <c r="F39" s="17" t="s">
        <v>799</v>
      </c>
      <c r="G39" s="17" t="s">
        <v>800</v>
      </c>
    </row>
    <row r="40" spans="1:7" x14ac:dyDescent="0.15">
      <c r="A40" s="17" t="s">
        <v>839</v>
      </c>
      <c r="B40" s="17" t="s">
        <v>714</v>
      </c>
      <c r="C40" s="17" t="s">
        <v>840</v>
      </c>
      <c r="D40" s="17" t="s">
        <v>841</v>
      </c>
      <c r="E40" s="17" t="s">
        <v>698</v>
      </c>
      <c r="F40" s="17" t="s">
        <v>799</v>
      </c>
      <c r="G40" s="17" t="s">
        <v>800</v>
      </c>
    </row>
    <row r="41" spans="1:7" x14ac:dyDescent="0.15">
      <c r="A41" s="24" t="s">
        <v>842</v>
      </c>
      <c r="B41" s="24" t="s">
        <v>714</v>
      </c>
      <c r="C41" s="24" t="s">
        <v>976</v>
      </c>
      <c r="D41" s="24" t="s">
        <v>843</v>
      </c>
      <c r="E41" s="26" t="s">
        <v>1412</v>
      </c>
      <c r="F41" s="24" t="s">
        <v>799</v>
      </c>
      <c r="G41" s="24" t="s">
        <v>800</v>
      </c>
    </row>
    <row r="42" spans="1:7" x14ac:dyDescent="0.15">
      <c r="A42" s="17" t="s">
        <v>844</v>
      </c>
      <c r="B42" s="17" t="s">
        <v>717</v>
      </c>
      <c r="C42" s="17" t="s">
        <v>845</v>
      </c>
      <c r="D42" s="17" t="s">
        <v>846</v>
      </c>
      <c r="E42" s="17" t="s">
        <v>847</v>
      </c>
      <c r="F42" s="17" t="s">
        <v>799</v>
      </c>
      <c r="G42" s="17" t="s">
        <v>799</v>
      </c>
    </row>
    <row r="43" spans="1:7" x14ac:dyDescent="0.15">
      <c r="A43" s="17" t="s">
        <v>848</v>
      </c>
      <c r="B43" s="17" t="s">
        <v>717</v>
      </c>
      <c r="C43" s="17" t="s">
        <v>849</v>
      </c>
      <c r="D43" s="17" t="s">
        <v>850</v>
      </c>
      <c r="E43" s="17" t="s">
        <v>847</v>
      </c>
      <c r="F43" s="17" t="s">
        <v>799</v>
      </c>
      <c r="G43" s="17" t="s">
        <v>799</v>
      </c>
    </row>
    <row r="45" spans="1:7" x14ac:dyDescent="0.15">
      <c r="A45" s="19" t="s">
        <v>896</v>
      </c>
      <c r="B45" s="19"/>
      <c r="C45" s="19"/>
      <c r="D45" s="1"/>
      <c r="E45" s="1"/>
      <c r="F45" s="1"/>
      <c r="G45" s="1"/>
    </row>
    <row r="46" spans="1:7" x14ac:dyDescent="0.15">
      <c r="A46" s="17" t="s">
        <v>900</v>
      </c>
      <c r="B46" s="17" t="s">
        <v>707</v>
      </c>
      <c r="C46" s="17" t="s">
        <v>708</v>
      </c>
      <c r="D46" s="17" t="s">
        <v>901</v>
      </c>
      <c r="E46" s="17" t="s">
        <v>794</v>
      </c>
      <c r="F46" s="17"/>
      <c r="G46" s="17"/>
    </row>
    <row r="47" spans="1:7" x14ac:dyDescent="0.15">
      <c r="A47" s="17" t="s">
        <v>902</v>
      </c>
      <c r="B47" s="17" t="s">
        <v>802</v>
      </c>
      <c r="C47" s="17" t="s">
        <v>45</v>
      </c>
      <c r="D47" s="17" t="s">
        <v>903</v>
      </c>
      <c r="E47" s="17" t="s">
        <v>812</v>
      </c>
      <c r="F47" s="17"/>
      <c r="G47" s="17"/>
    </row>
    <row r="48" spans="1:7" x14ac:dyDescent="0.15">
      <c r="A48" s="17" t="s">
        <v>776</v>
      </c>
      <c r="B48" s="17" t="s">
        <v>717</v>
      </c>
      <c r="C48" s="17" t="s">
        <v>904</v>
      </c>
      <c r="D48" s="17" t="s">
        <v>778</v>
      </c>
      <c r="E48" s="17" t="s">
        <v>798</v>
      </c>
      <c r="F48" s="17"/>
      <c r="G48" s="17"/>
    </row>
    <row r="49" spans="1:7" x14ac:dyDescent="0.15">
      <c r="A49" s="17" t="s">
        <v>905</v>
      </c>
      <c r="B49" s="17" t="s">
        <v>717</v>
      </c>
      <c r="C49" s="17" t="s">
        <v>906</v>
      </c>
      <c r="D49" s="17" t="s">
        <v>907</v>
      </c>
      <c r="E49" s="17" t="s">
        <v>798</v>
      </c>
      <c r="F49" s="17"/>
      <c r="G49" s="17"/>
    </row>
    <row r="50" spans="1:7" x14ac:dyDescent="0.15">
      <c r="A50" s="17" t="s">
        <v>908</v>
      </c>
      <c r="B50" s="17" t="s">
        <v>717</v>
      </c>
      <c r="C50" s="17" t="s">
        <v>909</v>
      </c>
      <c r="D50" s="17" t="s">
        <v>910</v>
      </c>
      <c r="E50" s="17" t="s">
        <v>798</v>
      </c>
      <c r="F50" s="17"/>
      <c r="G50" s="17"/>
    </row>
    <row r="51" spans="1:7" x14ac:dyDescent="0.15">
      <c r="A51" s="17" t="s">
        <v>737</v>
      </c>
      <c r="B51" s="17" t="s">
        <v>717</v>
      </c>
      <c r="C51" s="17" t="s">
        <v>911</v>
      </c>
      <c r="D51" s="17" t="s">
        <v>739</v>
      </c>
      <c r="E51" s="17" t="s">
        <v>912</v>
      </c>
      <c r="F51" s="17"/>
      <c r="G51" s="17"/>
    </row>
    <row r="52" spans="1:7" x14ac:dyDescent="0.15">
      <c r="A52" s="17" t="s">
        <v>913</v>
      </c>
      <c r="B52" s="17" t="s">
        <v>717</v>
      </c>
      <c r="C52" s="17" t="s">
        <v>914</v>
      </c>
      <c r="D52" s="17" t="s">
        <v>915</v>
      </c>
      <c r="E52" s="17" t="s">
        <v>827</v>
      </c>
      <c r="F52" s="17"/>
      <c r="G52" s="17"/>
    </row>
    <row r="53" spans="1:7" x14ac:dyDescent="0.15">
      <c r="A53" s="17" t="s">
        <v>916</v>
      </c>
      <c r="B53" s="17" t="s">
        <v>717</v>
      </c>
      <c r="C53" s="17" t="s">
        <v>917</v>
      </c>
      <c r="D53" s="17" t="s">
        <v>918</v>
      </c>
      <c r="E53" s="17" t="s">
        <v>827</v>
      </c>
      <c r="F53" s="17"/>
      <c r="G53" s="17"/>
    </row>
    <row r="54" spans="1:7" x14ac:dyDescent="0.15">
      <c r="A54" s="17" t="s">
        <v>919</v>
      </c>
      <c r="B54" s="17" t="s">
        <v>717</v>
      </c>
      <c r="C54" s="17" t="s">
        <v>920</v>
      </c>
      <c r="D54" s="17" t="s">
        <v>921</v>
      </c>
      <c r="E54" s="17" t="s">
        <v>827</v>
      </c>
      <c r="F54" s="17"/>
      <c r="G54" s="17"/>
    </row>
    <row r="55" spans="1:7" x14ac:dyDescent="0.15">
      <c r="A55" s="17" t="s">
        <v>946</v>
      </c>
      <c r="B55" s="17" t="s">
        <v>717</v>
      </c>
      <c r="C55" s="17" t="s">
        <v>922</v>
      </c>
      <c r="D55" s="17" t="s">
        <v>923</v>
      </c>
      <c r="E55" s="17" t="s">
        <v>827</v>
      </c>
      <c r="F55" s="17"/>
      <c r="G55" s="17"/>
    </row>
    <row r="56" spans="1:7" x14ac:dyDescent="0.15">
      <c r="A56" s="17" t="s">
        <v>924</v>
      </c>
      <c r="B56" s="17" t="s">
        <v>714</v>
      </c>
      <c r="C56" s="17" t="s">
        <v>925</v>
      </c>
      <c r="D56" s="17" t="s">
        <v>926</v>
      </c>
      <c r="E56" s="17" t="s">
        <v>812</v>
      </c>
      <c r="F56" s="17" t="s">
        <v>799</v>
      </c>
      <c r="G56" s="17" t="s">
        <v>800</v>
      </c>
    </row>
    <row r="57" spans="1:7" x14ac:dyDescent="0.15">
      <c r="A57" s="17" t="s">
        <v>927</v>
      </c>
      <c r="B57" s="17" t="s">
        <v>717</v>
      </c>
      <c r="C57" s="17" t="s">
        <v>931</v>
      </c>
      <c r="D57" s="17" t="s">
        <v>929</v>
      </c>
      <c r="E57" s="17" t="s">
        <v>812</v>
      </c>
      <c r="F57" s="17" t="s">
        <v>799</v>
      </c>
      <c r="G57" s="17" t="s">
        <v>800</v>
      </c>
    </row>
    <row r="58" spans="1:7" x14ac:dyDescent="0.15">
      <c r="A58" s="17" t="s">
        <v>930</v>
      </c>
      <c r="B58" s="17" t="s">
        <v>717</v>
      </c>
      <c r="C58" s="17" t="s">
        <v>928</v>
      </c>
      <c r="D58" s="17" t="s">
        <v>932</v>
      </c>
      <c r="E58" s="17" t="s">
        <v>812</v>
      </c>
      <c r="F58" s="17" t="s">
        <v>799</v>
      </c>
      <c r="G58" s="17" t="s">
        <v>800</v>
      </c>
    </row>
    <row r="61" spans="1:7" x14ac:dyDescent="0.15">
      <c r="A61" s="19" t="s">
        <v>974</v>
      </c>
      <c r="B61" s="19" t="s">
        <v>792</v>
      </c>
      <c r="C61" s="19" t="s">
        <v>708</v>
      </c>
    </row>
    <row r="62" spans="1:7" x14ac:dyDescent="0.15">
      <c r="A62" s="27">
        <v>0</v>
      </c>
      <c r="B62" s="27" t="s">
        <v>856</v>
      </c>
      <c r="C62" s="27" t="s">
        <v>1413</v>
      </c>
    </row>
    <row r="63" spans="1:7" x14ac:dyDescent="0.15">
      <c r="A63" s="19">
        <v>1</v>
      </c>
      <c r="B63" s="19" t="s">
        <v>857</v>
      </c>
      <c r="C63" s="19" t="s">
        <v>858</v>
      </c>
    </row>
    <row r="64" spans="1:7" x14ac:dyDescent="0.15">
      <c r="A64" s="19">
        <v>2</v>
      </c>
      <c r="B64" s="19" t="s">
        <v>859</v>
      </c>
      <c r="C64" s="19" t="s">
        <v>860</v>
      </c>
    </row>
    <row r="65" spans="1:3" x14ac:dyDescent="0.15">
      <c r="A65" s="19">
        <v>3</v>
      </c>
      <c r="B65" s="19" t="s">
        <v>861</v>
      </c>
      <c r="C65" s="19" t="s">
        <v>862</v>
      </c>
    </row>
    <row r="66" spans="1:3" ht="15" customHeight="1" x14ac:dyDescent="0.15">
      <c r="A66" s="19">
        <v>4</v>
      </c>
      <c r="B66" s="19" t="s">
        <v>863</v>
      </c>
      <c r="C66" s="19" t="s">
        <v>864</v>
      </c>
    </row>
    <row r="67" spans="1:3" x14ac:dyDescent="0.15">
      <c r="A67" s="19">
        <v>5</v>
      </c>
      <c r="B67" s="19" t="s">
        <v>865</v>
      </c>
      <c r="C67" s="19" t="s">
        <v>866</v>
      </c>
    </row>
    <row r="68" spans="1:3" x14ac:dyDescent="0.15">
      <c r="A68" s="19">
        <v>6</v>
      </c>
      <c r="B68" s="19" t="s">
        <v>867</v>
      </c>
      <c r="C68" s="19" t="s">
        <v>868</v>
      </c>
    </row>
    <row r="69" spans="1:3" x14ac:dyDescent="0.15">
      <c r="A69" s="19">
        <v>7</v>
      </c>
      <c r="B69" s="19" t="s">
        <v>869</v>
      </c>
      <c r="C69" s="19" t="s">
        <v>870</v>
      </c>
    </row>
    <row r="70" spans="1:3" x14ac:dyDescent="0.15">
      <c r="A70" s="19">
        <v>8</v>
      </c>
      <c r="B70" s="19" t="s">
        <v>871</v>
      </c>
      <c r="C70" s="19" t="s">
        <v>872</v>
      </c>
    </row>
    <row r="71" spans="1:3" x14ac:dyDescent="0.15">
      <c r="A71" s="19">
        <v>9</v>
      </c>
      <c r="B71" s="19" t="s">
        <v>873</v>
      </c>
      <c r="C71" s="19" t="s">
        <v>874</v>
      </c>
    </row>
    <row r="72" spans="1:3" x14ac:dyDescent="0.15">
      <c r="A72" s="19">
        <v>10</v>
      </c>
      <c r="B72" s="19" t="s">
        <v>875</v>
      </c>
      <c r="C72" s="19" t="s">
        <v>876</v>
      </c>
    </row>
    <row r="73" spans="1:3" x14ac:dyDescent="0.15">
      <c r="A73" s="19">
        <v>11</v>
      </c>
      <c r="B73" s="19" t="s">
        <v>877</v>
      </c>
      <c r="C73" s="19" t="s">
        <v>878</v>
      </c>
    </row>
    <row r="74" spans="1:3" x14ac:dyDescent="0.15">
      <c r="A74" s="19">
        <v>12</v>
      </c>
      <c r="B74" s="19" t="s">
        <v>879</v>
      </c>
      <c r="C74" s="19" t="s">
        <v>880</v>
      </c>
    </row>
    <row r="75" spans="1:3" x14ac:dyDescent="0.15">
      <c r="A75" s="19">
        <v>13</v>
      </c>
      <c r="B75" s="19" t="s">
        <v>881</v>
      </c>
      <c r="C75" s="19" t="s">
        <v>882</v>
      </c>
    </row>
    <row r="76" spans="1:3" x14ac:dyDescent="0.15">
      <c r="A76" s="19">
        <v>14</v>
      </c>
      <c r="B76" s="19" t="s">
        <v>883</v>
      </c>
      <c r="C76" s="19" t="s">
        <v>884</v>
      </c>
    </row>
    <row r="77" spans="1:3" x14ac:dyDescent="0.15">
      <c r="A77" s="19">
        <v>15</v>
      </c>
      <c r="B77" s="19" t="s">
        <v>885</v>
      </c>
      <c r="C77" s="19"/>
    </row>
    <row r="78" spans="1:3" x14ac:dyDescent="0.15">
      <c r="A78" s="19">
        <v>16</v>
      </c>
      <c r="B78" s="19" t="s">
        <v>886</v>
      </c>
      <c r="C78" s="19" t="s">
        <v>887</v>
      </c>
    </row>
    <row r="79" spans="1:3" x14ac:dyDescent="0.15">
      <c r="A79" s="19">
        <v>17</v>
      </c>
      <c r="B79" s="19" t="s">
        <v>888</v>
      </c>
      <c r="C79" s="19" t="s">
        <v>889</v>
      </c>
    </row>
    <row r="80" spans="1:3" x14ac:dyDescent="0.15">
      <c r="A80" s="19">
        <v>18</v>
      </c>
      <c r="B80" s="19" t="s">
        <v>890</v>
      </c>
      <c r="C80" s="19" t="s">
        <v>891</v>
      </c>
    </row>
    <row r="81" spans="1:5" x14ac:dyDescent="0.15">
      <c r="A81" s="19">
        <v>19</v>
      </c>
      <c r="B81" s="19" t="s">
        <v>892</v>
      </c>
      <c r="C81" s="19" t="s">
        <v>893</v>
      </c>
    </row>
    <row r="82" spans="1:5" x14ac:dyDescent="0.15">
      <c r="A82" s="19">
        <v>20</v>
      </c>
      <c r="B82" s="19" t="s">
        <v>894</v>
      </c>
      <c r="C82" s="19" t="s">
        <v>895</v>
      </c>
    </row>
    <row r="84" spans="1:5" x14ac:dyDescent="0.15">
      <c r="A84" s="17" t="s">
        <v>792</v>
      </c>
      <c r="B84" s="17" t="s">
        <v>707</v>
      </c>
      <c r="C84" s="17" t="s">
        <v>708</v>
      </c>
      <c r="D84" s="17" t="s">
        <v>851</v>
      </c>
      <c r="E84" s="17"/>
    </row>
    <row r="85" spans="1:5" x14ac:dyDescent="0.15">
      <c r="A85" s="24" t="s">
        <v>706</v>
      </c>
      <c r="B85" s="24"/>
      <c r="C85" s="24"/>
      <c r="D85" s="24"/>
      <c r="E85" s="24" t="s">
        <v>1405</v>
      </c>
    </row>
    <row r="86" spans="1:5" ht="13.5" customHeight="1" x14ac:dyDescent="0.15">
      <c r="A86" s="17" t="s">
        <v>709</v>
      </c>
      <c r="B86" s="17" t="s">
        <v>710</v>
      </c>
      <c r="C86" s="17" t="s">
        <v>711</v>
      </c>
      <c r="D86" s="17" t="s">
        <v>712</v>
      </c>
      <c r="E86" s="17" t="s">
        <v>1406</v>
      </c>
    </row>
    <row r="87" spans="1:5" ht="13.5" customHeight="1" x14ac:dyDescent="0.15">
      <c r="A87" s="17" t="s">
        <v>713</v>
      </c>
      <c r="B87" s="17" t="s">
        <v>714</v>
      </c>
      <c r="C87" s="17" t="s">
        <v>715</v>
      </c>
      <c r="D87" s="17" t="s">
        <v>716</v>
      </c>
      <c r="E87" s="17"/>
    </row>
    <row r="88" spans="1:5" ht="13.5" customHeight="1" x14ac:dyDescent="0.15">
      <c r="A88" s="17" t="s">
        <v>947</v>
      </c>
      <c r="B88" s="17" t="s">
        <v>717</v>
      </c>
      <c r="C88" s="17" t="s">
        <v>718</v>
      </c>
      <c r="D88" s="17" t="s">
        <v>719</v>
      </c>
      <c r="E88" s="17" t="s">
        <v>1410</v>
      </c>
    </row>
    <row r="89" spans="1:5" ht="13.5" customHeight="1" x14ac:dyDescent="0.15">
      <c r="A89" s="17" t="s">
        <v>720</v>
      </c>
      <c r="B89" s="17" t="s">
        <v>717</v>
      </c>
      <c r="C89" s="17" t="s">
        <v>721</v>
      </c>
      <c r="D89" s="17" t="s">
        <v>722</v>
      </c>
      <c r="E89" s="17"/>
    </row>
    <row r="90" spans="1:5" ht="13.5" customHeight="1" x14ac:dyDescent="0.15">
      <c r="A90" s="17" t="s">
        <v>723</v>
      </c>
      <c r="B90" s="17" t="s">
        <v>714</v>
      </c>
      <c r="C90" s="17" t="s">
        <v>724</v>
      </c>
      <c r="D90" s="17" t="s">
        <v>725</v>
      </c>
      <c r="E90" s="17" t="s">
        <v>1409</v>
      </c>
    </row>
    <row r="91" spans="1:5" ht="13.5" customHeight="1" x14ac:dyDescent="0.15">
      <c r="A91" s="24" t="s">
        <v>726</v>
      </c>
      <c r="B91" s="24" t="s">
        <v>710</v>
      </c>
      <c r="C91" s="24" t="s">
        <v>727</v>
      </c>
      <c r="D91" s="24" t="s">
        <v>728</v>
      </c>
      <c r="E91" s="24" t="s">
        <v>957</v>
      </c>
    </row>
    <row r="92" spans="1:5" x14ac:dyDescent="0.15">
      <c r="A92" s="17" t="s">
        <v>729</v>
      </c>
      <c r="B92" s="17" t="s">
        <v>714</v>
      </c>
      <c r="C92" s="17" t="s">
        <v>730</v>
      </c>
      <c r="D92" s="17" t="s">
        <v>731</v>
      </c>
      <c r="E92" s="17"/>
    </row>
    <row r="93" spans="1:5" x14ac:dyDescent="0.15">
      <c r="A93" s="17" t="s">
        <v>949</v>
      </c>
      <c r="B93" s="17" t="s">
        <v>732</v>
      </c>
      <c r="C93" s="17" t="s">
        <v>733</v>
      </c>
      <c r="D93" s="17" t="s">
        <v>734</v>
      </c>
      <c r="E93" s="17"/>
    </row>
    <row r="94" spans="1:5" x14ac:dyDescent="0.15">
      <c r="A94" s="17" t="s">
        <v>950</v>
      </c>
      <c r="B94" s="17" t="s">
        <v>717</v>
      </c>
      <c r="C94" s="17" t="s">
        <v>735</v>
      </c>
      <c r="D94" s="17" t="s">
        <v>736</v>
      </c>
      <c r="E94" s="17"/>
    </row>
    <row r="95" spans="1:5" x14ac:dyDescent="0.15">
      <c r="A95" s="17" t="s">
        <v>951</v>
      </c>
      <c r="B95" s="17" t="s">
        <v>717</v>
      </c>
      <c r="C95" s="17" t="s">
        <v>738</v>
      </c>
      <c r="D95" s="17" t="s">
        <v>739</v>
      </c>
      <c r="E95" s="17"/>
    </row>
    <row r="96" spans="1:5" x14ac:dyDescent="0.15">
      <c r="A96" s="17" t="s">
        <v>948</v>
      </c>
      <c r="B96" s="17" t="s">
        <v>714</v>
      </c>
      <c r="C96" s="17" t="s">
        <v>740</v>
      </c>
      <c r="D96" s="17" t="s">
        <v>741</v>
      </c>
      <c r="E96" s="17"/>
    </row>
    <row r="97" spans="1:5" x14ac:dyDescent="0.15">
      <c r="A97" s="17" t="s">
        <v>952</v>
      </c>
      <c r="B97" s="17" t="s">
        <v>717</v>
      </c>
      <c r="C97" s="17" t="s">
        <v>742</v>
      </c>
      <c r="D97" s="17" t="s">
        <v>743</v>
      </c>
      <c r="E97" s="17"/>
    </row>
    <row r="98" spans="1:5" x14ac:dyDescent="0.15">
      <c r="A98" s="13"/>
      <c r="B98" s="13"/>
      <c r="C98" s="13"/>
      <c r="D98" s="13"/>
      <c r="E98" s="13"/>
    </row>
    <row r="99" spans="1:5" x14ac:dyDescent="0.15">
      <c r="A99" s="24" t="s">
        <v>790</v>
      </c>
      <c r="B99" s="24"/>
      <c r="C99" s="24"/>
      <c r="D99" s="24"/>
      <c r="E99" s="24" t="s">
        <v>1404</v>
      </c>
    </row>
    <row r="100" spans="1:5" x14ac:dyDescent="0.15">
      <c r="A100" s="17" t="s">
        <v>744</v>
      </c>
      <c r="B100" s="17" t="s">
        <v>745</v>
      </c>
      <c r="C100" s="17" t="s">
        <v>746</v>
      </c>
      <c r="D100" s="17" t="s">
        <v>760</v>
      </c>
      <c r="E100" s="17" t="s">
        <v>1407</v>
      </c>
    </row>
    <row r="101" spans="1:5" x14ac:dyDescent="0.15">
      <c r="A101" s="17" t="s">
        <v>748</v>
      </c>
      <c r="B101" s="17" t="s">
        <v>745</v>
      </c>
      <c r="C101" s="17" t="s">
        <v>749</v>
      </c>
      <c r="D101" s="17" t="s">
        <v>761</v>
      </c>
      <c r="E101" s="17"/>
    </row>
    <row r="102" spans="1:5" x14ac:dyDescent="0.15">
      <c r="A102" s="17" t="s">
        <v>750</v>
      </c>
      <c r="B102" s="17" t="s">
        <v>751</v>
      </c>
      <c r="C102" s="17" t="s">
        <v>752</v>
      </c>
      <c r="D102" s="17" t="s">
        <v>753</v>
      </c>
      <c r="E102" s="17"/>
    </row>
    <row r="103" spans="1:5" x14ac:dyDescent="0.15">
      <c r="A103" s="17" t="s">
        <v>754</v>
      </c>
      <c r="B103" s="17" t="s">
        <v>714</v>
      </c>
      <c r="C103" s="17" t="s">
        <v>755</v>
      </c>
      <c r="D103" s="17" t="s">
        <v>756</v>
      </c>
      <c r="E103" s="17"/>
    </row>
    <row r="104" spans="1:5" x14ac:dyDescent="0.15">
      <c r="A104" s="17" t="s">
        <v>757</v>
      </c>
      <c r="B104" s="17" t="s">
        <v>710</v>
      </c>
      <c r="C104" s="17" t="s">
        <v>758</v>
      </c>
      <c r="D104" s="17" t="s">
        <v>759</v>
      </c>
      <c r="E104" s="17"/>
    </row>
    <row r="105" spans="1:5" x14ac:dyDescent="0.15">
      <c r="A105" s="13"/>
      <c r="B105" s="13"/>
      <c r="C105" s="13"/>
      <c r="D105" s="13"/>
      <c r="E105" s="13"/>
    </row>
    <row r="106" spans="1:5" x14ac:dyDescent="0.15">
      <c r="A106" s="17" t="s">
        <v>791</v>
      </c>
      <c r="B106" s="17"/>
      <c r="C106" s="17"/>
      <c r="D106" s="17"/>
      <c r="E106" s="17"/>
    </row>
    <row r="107" spans="1:5" x14ac:dyDescent="0.15">
      <c r="A107" s="17" t="s">
        <v>762</v>
      </c>
      <c r="B107" s="17" t="s">
        <v>710</v>
      </c>
      <c r="C107" s="17" t="s">
        <v>789</v>
      </c>
      <c r="D107" s="17" t="s">
        <v>763</v>
      </c>
      <c r="E107" s="17"/>
    </row>
    <row r="108" spans="1:5" x14ac:dyDescent="0.15">
      <c r="A108" s="17" t="s">
        <v>764</v>
      </c>
      <c r="B108" s="17" t="s">
        <v>710</v>
      </c>
      <c r="C108" s="17" t="s">
        <v>765</v>
      </c>
      <c r="D108" s="17" t="s">
        <v>766</v>
      </c>
      <c r="E108" s="17"/>
    </row>
    <row r="109" spans="1:5" x14ac:dyDescent="0.15">
      <c r="A109" s="24" t="s">
        <v>767</v>
      </c>
      <c r="B109" s="24" t="s">
        <v>710</v>
      </c>
      <c r="C109" s="24" t="s">
        <v>768</v>
      </c>
      <c r="D109" s="24" t="s">
        <v>769</v>
      </c>
      <c r="E109" s="24" t="s">
        <v>958</v>
      </c>
    </row>
    <row r="110" spans="1:5" x14ac:dyDescent="0.15">
      <c r="A110" s="17" t="s">
        <v>770</v>
      </c>
      <c r="B110" s="17" t="s">
        <v>717</v>
      </c>
      <c r="C110" s="17" t="s">
        <v>771</v>
      </c>
      <c r="D110" s="17" t="s">
        <v>772</v>
      </c>
      <c r="E110" s="17"/>
    </row>
    <row r="111" spans="1:5" x14ac:dyDescent="0.15">
      <c r="A111" s="17" t="s">
        <v>773</v>
      </c>
      <c r="B111" s="17" t="s">
        <v>714</v>
      </c>
      <c r="C111" s="17" t="s">
        <v>774</v>
      </c>
      <c r="D111" s="17" t="s">
        <v>775</v>
      </c>
      <c r="E111" s="17"/>
    </row>
    <row r="112" spans="1:5" x14ac:dyDescent="0.15">
      <c r="A112" s="17" t="s">
        <v>776</v>
      </c>
      <c r="B112" s="17" t="s">
        <v>717</v>
      </c>
      <c r="C112" s="17" t="s">
        <v>777</v>
      </c>
      <c r="D112" s="17" t="s">
        <v>778</v>
      </c>
      <c r="E112" s="17"/>
    </row>
    <row r="113" spans="1:5" x14ac:dyDescent="0.15">
      <c r="A113" s="17" t="s">
        <v>779</v>
      </c>
      <c r="B113" s="17" t="s">
        <v>780</v>
      </c>
      <c r="C113" s="17" t="s">
        <v>781</v>
      </c>
      <c r="D113" s="17" t="s">
        <v>782</v>
      </c>
      <c r="E113" s="17"/>
    </row>
    <row r="114" spans="1:5" x14ac:dyDescent="0.15">
      <c r="A114" s="17" t="s">
        <v>783</v>
      </c>
      <c r="B114" s="17" t="s">
        <v>751</v>
      </c>
      <c r="C114" s="17" t="s">
        <v>784</v>
      </c>
      <c r="D114" s="17" t="s">
        <v>785</v>
      </c>
      <c r="E114" s="17"/>
    </row>
    <row r="115" spans="1:5" x14ac:dyDescent="0.15">
      <c r="A115" s="24" t="s">
        <v>786</v>
      </c>
      <c r="B115" s="24" t="s">
        <v>714</v>
      </c>
      <c r="C115" s="24" t="s">
        <v>787</v>
      </c>
      <c r="D115" s="25" t="s">
        <v>788</v>
      </c>
      <c r="E115" s="26" t="s">
        <v>1415</v>
      </c>
    </row>
    <row r="116" spans="1:5" x14ac:dyDescent="0.15">
      <c r="E116" s="29" t="s">
        <v>1414</v>
      </c>
    </row>
    <row r="117" spans="1:5" x14ac:dyDescent="0.15">
      <c r="E117" s="29" t="s">
        <v>1416</v>
      </c>
    </row>
    <row r="118" spans="1:5" x14ac:dyDescent="0.15">
      <c r="E118" s="29" t="s">
        <v>1408</v>
      </c>
    </row>
  </sheetData>
  <phoneticPr fontId="18" type="noConversion"/>
  <hyperlinks>
    <hyperlink ref="C107" r:id="rId1" display="https://www.jx3box.com/tool/17349" xr:uid="{DF1F1DD7-5BF8-465E-8363-D9A13201D8DE}"/>
    <hyperlink ref="E2" r:id="rId2" xr:uid="{DD9471A8-4A2C-489C-B88B-A1490E949694}"/>
    <hyperlink ref="E1" r:id="rId3" xr:uid="{3C9C8690-54A5-4C9D-B350-B4ACC40FFB31}"/>
  </hyperlinks>
  <pageMargins left="0.7" right="0.7" top="0.75" bottom="0.75" header="0.3" footer="0.3"/>
  <pageSetup paperSize="9" orientation="portrait" horizontalDpi="1200" verticalDpi="1200" r:id="rId4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F5C0-9FAC-4269-A65A-FB3E6B24BE74}">
  <dimension ref="A1:AC579"/>
  <sheetViews>
    <sheetView topLeftCell="A13" workbookViewId="0">
      <selection activeCell="I29" sqref="I29"/>
    </sheetView>
  </sheetViews>
  <sheetFormatPr defaultRowHeight="13.5" x14ac:dyDescent="0.15"/>
  <cols>
    <col min="1" max="2" width="24.625" style="10" customWidth="1"/>
    <col min="3" max="5" width="6.625" style="2" customWidth="1"/>
    <col min="6" max="9" width="10.625" style="2" customWidth="1"/>
    <col min="10" max="10" width="9" style="2"/>
    <col min="11" max="12" width="12.625" style="2" customWidth="1"/>
    <col min="13" max="15" width="18.625" customWidth="1"/>
    <col min="16" max="17" width="9" style="2"/>
    <col min="18" max="19" width="6.625" style="2" customWidth="1"/>
    <col min="20" max="20" width="10.625" style="2" customWidth="1"/>
    <col min="21" max="25" width="10.625" customWidth="1"/>
    <col min="26" max="27" width="6.625" customWidth="1"/>
  </cols>
  <sheetData>
    <row r="1" spans="1:29" x14ac:dyDescent="0.15">
      <c r="A1" s="15" t="s">
        <v>982</v>
      </c>
      <c r="B1" s="15" t="s">
        <v>983</v>
      </c>
      <c r="C1" s="15" t="s">
        <v>980</v>
      </c>
      <c r="D1" s="15" t="s">
        <v>979</v>
      </c>
      <c r="E1" s="15" t="s">
        <v>981</v>
      </c>
      <c r="F1" s="16" t="s">
        <v>691</v>
      </c>
      <c r="G1" s="16" t="s">
        <v>984</v>
      </c>
      <c r="H1" s="16" t="s">
        <v>1024</v>
      </c>
      <c r="I1" s="16" t="s">
        <v>985</v>
      </c>
      <c r="J1" s="15" t="s">
        <v>1025</v>
      </c>
      <c r="K1" s="15" t="s">
        <v>1026</v>
      </c>
      <c r="L1" s="15" t="s">
        <v>1027</v>
      </c>
      <c r="M1" s="23" t="s">
        <v>1028</v>
      </c>
      <c r="N1" s="23" t="s">
        <v>1400</v>
      </c>
      <c r="O1" s="23" t="s">
        <v>1401</v>
      </c>
      <c r="P1" s="38" t="s">
        <v>52</v>
      </c>
      <c r="Q1" s="38"/>
      <c r="R1" s="38" t="s">
        <v>981</v>
      </c>
      <c r="S1" s="38" t="s">
        <v>47</v>
      </c>
      <c r="T1" s="38" t="s">
        <v>48</v>
      </c>
      <c r="U1" s="38"/>
      <c r="V1" s="38" t="s">
        <v>49</v>
      </c>
      <c r="W1" s="38"/>
      <c r="X1" s="39" t="s">
        <v>50</v>
      </c>
      <c r="Y1" s="40"/>
      <c r="Z1" s="39" t="s">
        <v>51</v>
      </c>
      <c r="AA1" s="40"/>
    </row>
    <row r="2" spans="1:29" x14ac:dyDescent="0.15">
      <c r="A2" s="3">
        <v>-31</v>
      </c>
      <c r="B2" s="3"/>
      <c r="C2" s="3" t="s">
        <v>978</v>
      </c>
      <c r="D2" s="3">
        <v>0</v>
      </c>
      <c r="E2" s="3">
        <v>0</v>
      </c>
      <c r="F2" s="3" t="s">
        <v>978</v>
      </c>
      <c r="G2" s="3">
        <v>0</v>
      </c>
      <c r="H2" s="3" t="s">
        <v>986</v>
      </c>
      <c r="I2" s="3" t="s">
        <v>987</v>
      </c>
      <c r="J2" s="3" t="s">
        <v>619</v>
      </c>
      <c r="K2" s="14" t="s">
        <v>935</v>
      </c>
      <c r="L2" s="14"/>
      <c r="M2" s="3" t="s">
        <v>1029</v>
      </c>
      <c r="N2" s="3" t="s">
        <v>1030</v>
      </c>
      <c r="O2" s="3" t="s">
        <v>1031</v>
      </c>
      <c r="P2" s="3" t="s">
        <v>59</v>
      </c>
      <c r="Q2" s="3" t="s">
        <v>60</v>
      </c>
      <c r="R2" s="3">
        <v>0</v>
      </c>
      <c r="S2" s="3" t="str">
        <f>""</f>
        <v/>
      </c>
      <c r="T2" s="3">
        <v>0</v>
      </c>
      <c r="U2" s="3" t="str">
        <f>""</f>
        <v/>
      </c>
      <c r="V2" s="3" t="s">
        <v>53</v>
      </c>
      <c r="W2" s="4" t="s">
        <v>54</v>
      </c>
      <c r="X2" s="3" t="s">
        <v>55</v>
      </c>
      <c r="Y2" s="3" t="s">
        <v>56</v>
      </c>
      <c r="Z2" s="3" t="s">
        <v>57</v>
      </c>
      <c r="AA2" s="3" t="s">
        <v>58</v>
      </c>
    </row>
    <row r="3" spans="1:29" x14ac:dyDescent="0.15">
      <c r="A3" s="3">
        <v>-30</v>
      </c>
      <c r="B3" s="3"/>
      <c r="C3" s="3" t="s">
        <v>111</v>
      </c>
      <c r="D3" s="3">
        <v>1</v>
      </c>
      <c r="E3" s="3">
        <v>3</v>
      </c>
      <c r="F3" s="3" t="s">
        <v>43</v>
      </c>
      <c r="G3" s="3">
        <v>10003</v>
      </c>
      <c r="H3" s="3" t="s">
        <v>988</v>
      </c>
      <c r="I3" s="3" t="s">
        <v>989</v>
      </c>
      <c r="J3" s="3" t="s">
        <v>620</v>
      </c>
      <c r="K3" s="3" t="s">
        <v>628</v>
      </c>
      <c r="L3" s="3"/>
      <c r="M3" s="3" t="s">
        <v>1032</v>
      </c>
      <c r="N3" s="3" t="s">
        <v>1033</v>
      </c>
      <c r="O3" s="3" t="s">
        <v>1034</v>
      </c>
      <c r="P3" s="3" t="s">
        <v>66</v>
      </c>
      <c r="Q3" s="3" t="s">
        <v>67</v>
      </c>
      <c r="R3" s="3">
        <v>1</v>
      </c>
      <c r="S3" s="3" t="s">
        <v>61</v>
      </c>
      <c r="T3" s="3">
        <v>1</v>
      </c>
      <c r="U3" s="3" t="s">
        <v>62</v>
      </c>
      <c r="V3" s="3" t="s">
        <v>63</v>
      </c>
      <c r="W3" s="4" t="s">
        <v>56</v>
      </c>
      <c r="X3" s="3" t="s">
        <v>61</v>
      </c>
      <c r="Y3" s="3" t="s">
        <v>54</v>
      </c>
      <c r="Z3" s="3" t="s">
        <v>64</v>
      </c>
      <c r="AA3" s="3" t="s">
        <v>58</v>
      </c>
    </row>
    <row r="4" spans="1:29" x14ac:dyDescent="0.15">
      <c r="A4" s="3">
        <v>-29</v>
      </c>
      <c r="B4" s="3"/>
      <c r="C4" s="3" t="s">
        <v>5</v>
      </c>
      <c r="D4" s="3">
        <v>2</v>
      </c>
      <c r="E4" s="3">
        <v>2</v>
      </c>
      <c r="F4" s="3" t="s">
        <v>42</v>
      </c>
      <c r="G4" s="3">
        <v>10002</v>
      </c>
      <c r="H4" s="3" t="s">
        <v>988</v>
      </c>
      <c r="I4" s="3" t="s">
        <v>989</v>
      </c>
      <c r="J4" s="3" t="s">
        <v>85</v>
      </c>
      <c r="K4" s="3" t="s">
        <v>629</v>
      </c>
      <c r="L4" s="3"/>
      <c r="M4" s="3" t="s">
        <v>1035</v>
      </c>
      <c r="N4" s="3" t="s">
        <v>1036</v>
      </c>
      <c r="O4" s="3" t="s">
        <v>1037</v>
      </c>
      <c r="P4" s="3" t="s">
        <v>73</v>
      </c>
      <c r="Q4" s="3" t="s">
        <v>67</v>
      </c>
      <c r="R4" s="3">
        <v>2</v>
      </c>
      <c r="S4" s="3" t="s">
        <v>55</v>
      </c>
      <c r="T4" s="3">
        <v>2</v>
      </c>
      <c r="U4" s="3" t="s">
        <v>68</v>
      </c>
      <c r="V4" s="3" t="s">
        <v>69</v>
      </c>
      <c r="W4" s="4" t="s">
        <v>70</v>
      </c>
      <c r="X4" s="3" t="s">
        <v>58</v>
      </c>
      <c r="Y4" s="3" t="s">
        <v>71</v>
      </c>
      <c r="Z4" s="3" t="s">
        <v>72</v>
      </c>
      <c r="AA4" s="3" t="s">
        <v>58</v>
      </c>
    </row>
    <row r="5" spans="1:29" x14ac:dyDescent="0.15">
      <c r="A5" s="3">
        <v>-28</v>
      </c>
      <c r="B5" s="3"/>
      <c r="C5" s="3" t="s">
        <v>95</v>
      </c>
      <c r="D5" s="3">
        <v>3</v>
      </c>
      <c r="E5" s="3">
        <v>4</v>
      </c>
      <c r="F5" s="3" t="s">
        <v>665</v>
      </c>
      <c r="G5" s="3">
        <v>10015</v>
      </c>
      <c r="H5" s="3" t="s">
        <v>990</v>
      </c>
      <c r="I5" s="3" t="s">
        <v>991</v>
      </c>
      <c r="J5" s="3" t="s">
        <v>5</v>
      </c>
      <c r="K5" s="14" t="s">
        <v>936</v>
      </c>
      <c r="L5" s="14"/>
      <c r="M5" s="3" t="s">
        <v>1038</v>
      </c>
      <c r="N5" s="3" t="s">
        <v>1039</v>
      </c>
      <c r="O5" s="3" t="s">
        <v>1038</v>
      </c>
      <c r="P5" s="3" t="s">
        <v>79</v>
      </c>
      <c r="Q5" s="3" t="s">
        <v>67</v>
      </c>
      <c r="R5" s="3">
        <v>3</v>
      </c>
      <c r="S5" s="3" t="s">
        <v>74</v>
      </c>
      <c r="T5" s="3">
        <v>3</v>
      </c>
      <c r="U5" s="3" t="s">
        <v>75</v>
      </c>
      <c r="V5" s="3" t="s">
        <v>76</v>
      </c>
      <c r="W5" s="4" t="s">
        <v>76</v>
      </c>
      <c r="X5" s="3" t="s">
        <v>77</v>
      </c>
      <c r="Y5" s="4" t="s">
        <v>70</v>
      </c>
      <c r="Z5" s="6"/>
      <c r="AA5" s="11"/>
      <c r="AB5" s="12"/>
      <c r="AC5" s="12"/>
    </row>
    <row r="6" spans="1:29" x14ac:dyDescent="0.15">
      <c r="A6" s="3">
        <v>-27</v>
      </c>
      <c r="B6" s="3"/>
      <c r="C6" s="3" t="s">
        <v>6</v>
      </c>
      <c r="D6" s="3">
        <v>4</v>
      </c>
      <c r="E6" s="3">
        <v>5</v>
      </c>
      <c r="F6" s="3" t="s">
        <v>40</v>
      </c>
      <c r="G6" s="3">
        <v>10014</v>
      </c>
      <c r="H6" s="3" t="s">
        <v>990</v>
      </c>
      <c r="I6" s="3" t="s">
        <v>991</v>
      </c>
      <c r="J6" s="3" t="s">
        <v>111</v>
      </c>
      <c r="K6" s="3" t="s">
        <v>630</v>
      </c>
      <c r="L6" s="3"/>
      <c r="M6" s="3" t="s">
        <v>1040</v>
      </c>
      <c r="N6" s="3" t="s">
        <v>1041</v>
      </c>
      <c r="O6" s="3" t="s">
        <v>1042</v>
      </c>
      <c r="P6" s="3" t="s">
        <v>86</v>
      </c>
      <c r="Q6" s="3" t="s">
        <v>67</v>
      </c>
      <c r="R6" s="3">
        <v>4</v>
      </c>
      <c r="S6" s="3" t="s">
        <v>80</v>
      </c>
      <c r="T6" s="3">
        <v>4</v>
      </c>
      <c r="U6" s="3" t="s">
        <v>81</v>
      </c>
      <c r="V6" s="3" t="s">
        <v>82</v>
      </c>
      <c r="W6" s="4" t="s">
        <v>83</v>
      </c>
      <c r="X6" s="3" t="s">
        <v>84</v>
      </c>
      <c r="Y6" s="4" t="s">
        <v>70</v>
      </c>
      <c r="Z6" s="7"/>
      <c r="AA6" s="10"/>
      <c r="AB6" s="12"/>
      <c r="AC6" s="12"/>
    </row>
    <row r="7" spans="1:29" x14ac:dyDescent="0.15">
      <c r="A7" s="3">
        <v>-26</v>
      </c>
      <c r="B7" s="3"/>
      <c r="C7" s="3" t="s">
        <v>85</v>
      </c>
      <c r="D7" s="3">
        <v>5</v>
      </c>
      <c r="E7" s="3">
        <v>1</v>
      </c>
      <c r="F7" s="3" t="s">
        <v>666</v>
      </c>
      <c r="G7" s="3">
        <v>10021</v>
      </c>
      <c r="H7" s="3" t="s">
        <v>992</v>
      </c>
      <c r="I7" s="3" t="s">
        <v>993</v>
      </c>
      <c r="J7" s="3" t="s">
        <v>95</v>
      </c>
      <c r="K7" s="14" t="s">
        <v>937</v>
      </c>
      <c r="L7" s="14"/>
      <c r="M7" s="3" t="s">
        <v>1043</v>
      </c>
      <c r="N7" s="3" t="s">
        <v>1044</v>
      </c>
      <c r="O7" s="3" t="s">
        <v>1043</v>
      </c>
      <c r="P7" s="3" t="s">
        <v>92</v>
      </c>
      <c r="Q7" s="3" t="s">
        <v>67</v>
      </c>
      <c r="T7" s="3">
        <v>5</v>
      </c>
      <c r="U7" s="3" t="s">
        <v>87</v>
      </c>
      <c r="V7" s="5" t="s">
        <v>88</v>
      </c>
      <c r="W7" s="6" t="s">
        <v>89</v>
      </c>
      <c r="X7" s="3" t="s">
        <v>90</v>
      </c>
      <c r="Y7" s="4" t="s">
        <v>83</v>
      </c>
      <c r="Z7" s="7"/>
      <c r="AA7" s="10"/>
      <c r="AB7" s="12"/>
      <c r="AC7" s="12"/>
    </row>
    <row r="8" spans="1:29" x14ac:dyDescent="0.15">
      <c r="A8" s="3">
        <v>-25</v>
      </c>
      <c r="B8" s="3"/>
      <c r="C8" s="3" t="s">
        <v>621</v>
      </c>
      <c r="D8" s="3">
        <v>6</v>
      </c>
      <c r="E8" s="3">
        <v>8</v>
      </c>
      <c r="F8" s="3" t="s">
        <v>667</v>
      </c>
      <c r="G8" s="3">
        <v>10028</v>
      </c>
      <c r="H8" s="3" t="s">
        <v>992</v>
      </c>
      <c r="I8" s="3" t="s">
        <v>993</v>
      </c>
      <c r="J8" s="3" t="s">
        <v>6</v>
      </c>
      <c r="K8" s="14" t="s">
        <v>938</v>
      </c>
      <c r="L8" s="14"/>
      <c r="M8" s="3" t="s">
        <v>1045</v>
      </c>
      <c r="N8" s="3" t="s">
        <v>1046</v>
      </c>
      <c r="O8" s="3" t="s">
        <v>1045</v>
      </c>
      <c r="P8" s="3" t="s">
        <v>96</v>
      </c>
      <c r="Q8" s="3" t="s">
        <v>67</v>
      </c>
      <c r="T8" s="3">
        <v>6</v>
      </c>
      <c r="U8" s="4" t="s">
        <v>93</v>
      </c>
      <c r="V8" s="3" t="s">
        <v>94</v>
      </c>
      <c r="W8" s="3" t="s">
        <v>71</v>
      </c>
      <c r="X8" s="3" t="s">
        <v>80</v>
      </c>
      <c r="Y8" s="4" t="s">
        <v>76</v>
      </c>
      <c r="Z8" s="7"/>
      <c r="AA8" s="10"/>
      <c r="AB8" s="12"/>
      <c r="AC8" s="12"/>
    </row>
    <row r="9" spans="1:29" x14ac:dyDescent="0.15">
      <c r="A9" s="3">
        <v>-24</v>
      </c>
      <c r="B9" s="3"/>
      <c r="C9" s="3" t="s">
        <v>14</v>
      </c>
      <c r="D9" s="3">
        <v>7</v>
      </c>
      <c r="E9" s="3">
        <v>9</v>
      </c>
      <c r="F9" s="3" t="s">
        <v>668</v>
      </c>
      <c r="G9" s="3">
        <v>10026</v>
      </c>
      <c r="H9" s="3" t="s">
        <v>994</v>
      </c>
      <c r="I9" s="3" t="s">
        <v>995</v>
      </c>
      <c r="J9" s="3" t="s">
        <v>180</v>
      </c>
      <c r="K9" s="14" t="s">
        <v>939</v>
      </c>
      <c r="L9" s="14"/>
      <c r="M9" s="3" t="s">
        <v>1047</v>
      </c>
      <c r="N9" s="3" t="s">
        <v>1048</v>
      </c>
      <c r="O9" s="3" t="s">
        <v>1049</v>
      </c>
      <c r="P9" s="3" t="s">
        <v>100</v>
      </c>
      <c r="Q9" s="3" t="s">
        <v>67</v>
      </c>
      <c r="T9" s="3">
        <v>7</v>
      </c>
      <c r="U9" s="4" t="s">
        <v>97</v>
      </c>
      <c r="V9" s="7"/>
      <c r="W9" s="8"/>
      <c r="X9" s="3" t="s">
        <v>98</v>
      </c>
      <c r="Y9" s="3" t="s">
        <v>89</v>
      </c>
      <c r="Z9" s="2"/>
      <c r="AA9" s="10"/>
      <c r="AB9" s="12"/>
      <c r="AC9" s="12"/>
    </row>
    <row r="10" spans="1:29" x14ac:dyDescent="0.15">
      <c r="A10" s="3">
        <v>-23</v>
      </c>
      <c r="B10" s="3"/>
      <c r="C10" s="3" t="s">
        <v>13</v>
      </c>
      <c r="D10" s="3">
        <v>8</v>
      </c>
      <c r="E10" s="3">
        <v>10</v>
      </c>
      <c r="F10" s="3" t="s">
        <v>669</v>
      </c>
      <c r="G10" s="3">
        <v>10062</v>
      </c>
      <c r="H10" s="3" t="s">
        <v>994</v>
      </c>
      <c r="I10" s="3" t="s">
        <v>995</v>
      </c>
      <c r="J10" s="3" t="s">
        <v>12</v>
      </c>
      <c r="K10" s="3" t="s">
        <v>631</v>
      </c>
      <c r="L10" s="3"/>
      <c r="M10" s="3" t="s">
        <v>1050</v>
      </c>
      <c r="N10" s="3" t="s">
        <v>1051</v>
      </c>
      <c r="O10" s="3" t="s">
        <v>1052</v>
      </c>
      <c r="P10" s="3" t="s">
        <v>105</v>
      </c>
      <c r="Q10" s="3" t="s">
        <v>67</v>
      </c>
      <c r="T10" s="3">
        <v>8</v>
      </c>
      <c r="U10" s="4" t="s">
        <v>101</v>
      </c>
      <c r="V10" s="7"/>
      <c r="W10" s="8"/>
      <c r="X10" s="3" t="s">
        <v>102</v>
      </c>
      <c r="Y10" s="3" t="s">
        <v>103</v>
      </c>
      <c r="Z10" s="2"/>
      <c r="AA10" s="2"/>
      <c r="AB10" s="12"/>
      <c r="AC10" s="12"/>
    </row>
    <row r="11" spans="1:29" x14ac:dyDescent="0.15">
      <c r="A11" s="3">
        <v>-22</v>
      </c>
      <c r="B11" s="3"/>
      <c r="C11" s="3" t="s">
        <v>180</v>
      </c>
      <c r="D11" s="3">
        <v>9</v>
      </c>
      <c r="E11" s="3">
        <v>6</v>
      </c>
      <c r="F11" s="3" t="s">
        <v>670</v>
      </c>
      <c r="G11" s="3">
        <v>10081</v>
      </c>
      <c r="H11" s="3" t="s">
        <v>996</v>
      </c>
      <c r="I11" s="3" t="s">
        <v>997</v>
      </c>
      <c r="J11" s="3" t="s">
        <v>621</v>
      </c>
      <c r="K11" s="3" t="s">
        <v>632</v>
      </c>
      <c r="L11" s="3"/>
      <c r="M11" s="3" t="s">
        <v>1053</v>
      </c>
      <c r="N11" s="3" t="s">
        <v>1054</v>
      </c>
      <c r="O11" s="3" t="s">
        <v>1055</v>
      </c>
      <c r="P11" s="3" t="s">
        <v>108</v>
      </c>
      <c r="Q11" s="3" t="s">
        <v>109</v>
      </c>
      <c r="T11" s="3">
        <v>9</v>
      </c>
      <c r="U11" s="4" t="s">
        <v>106</v>
      </c>
      <c r="V11" s="7"/>
      <c r="W11" s="2"/>
      <c r="X11" s="2"/>
      <c r="Y11" s="2"/>
      <c r="Z11" s="2"/>
      <c r="AA11" s="2"/>
      <c r="AB11" s="12"/>
      <c r="AC11" s="12"/>
    </row>
    <row r="12" spans="1:29" x14ac:dyDescent="0.15">
      <c r="A12" s="3">
        <v>-21</v>
      </c>
      <c r="B12" s="3"/>
      <c r="C12" s="3" t="s">
        <v>12</v>
      </c>
      <c r="D12" s="3">
        <v>10</v>
      </c>
      <c r="E12" s="3">
        <v>7</v>
      </c>
      <c r="F12" s="3" t="s">
        <v>671</v>
      </c>
      <c r="G12" s="3">
        <v>10080</v>
      </c>
      <c r="H12" s="3" t="s">
        <v>996</v>
      </c>
      <c r="I12" s="3" t="s">
        <v>997</v>
      </c>
      <c r="J12" s="3" t="s">
        <v>14</v>
      </c>
      <c r="K12" s="3" t="s">
        <v>633</v>
      </c>
      <c r="L12" s="3"/>
      <c r="M12" s="3" t="s">
        <v>1056</v>
      </c>
      <c r="N12" s="3" t="s">
        <v>1057</v>
      </c>
      <c r="O12" s="3" t="s">
        <v>1058</v>
      </c>
      <c r="P12" s="3" t="s">
        <v>112</v>
      </c>
      <c r="Q12" s="3" t="s">
        <v>113</v>
      </c>
      <c r="T12" s="3">
        <v>10</v>
      </c>
      <c r="U12" s="4" t="s">
        <v>110</v>
      </c>
      <c r="V12" s="7"/>
      <c r="W12" s="2"/>
      <c r="X12" s="2"/>
      <c r="AA12" s="2"/>
    </row>
    <row r="13" spans="1:29" x14ac:dyDescent="0.15">
      <c r="A13" s="3">
        <v>-20</v>
      </c>
      <c r="B13" s="3"/>
      <c r="C13" s="3" t="s">
        <v>253</v>
      </c>
      <c r="D13" s="3">
        <v>18</v>
      </c>
      <c r="E13" s="3">
        <v>21</v>
      </c>
      <c r="F13" s="3" t="s">
        <v>672</v>
      </c>
      <c r="G13" s="3">
        <v>10175</v>
      </c>
      <c r="H13" s="3" t="s">
        <v>998</v>
      </c>
      <c r="I13" s="3" t="s">
        <v>999</v>
      </c>
      <c r="J13" s="3" t="s">
        <v>13</v>
      </c>
      <c r="K13" s="3" t="s">
        <v>634</v>
      </c>
      <c r="L13" s="3"/>
      <c r="M13" s="3" t="s">
        <v>1059</v>
      </c>
      <c r="N13" s="3" t="s">
        <v>1060</v>
      </c>
      <c r="O13" s="3" t="s">
        <v>1059</v>
      </c>
      <c r="P13" s="3" t="s">
        <v>116</v>
      </c>
      <c r="Q13" s="3" t="s">
        <v>113</v>
      </c>
      <c r="T13" s="3">
        <v>11</v>
      </c>
      <c r="U13" s="4" t="s">
        <v>114</v>
      </c>
      <c r="V13" s="9"/>
    </row>
    <row r="14" spans="1:29" x14ac:dyDescent="0.15">
      <c r="A14" s="3">
        <v>-19</v>
      </c>
      <c r="B14" s="3"/>
      <c r="C14" s="3" t="s">
        <v>622</v>
      </c>
      <c r="D14" s="3">
        <v>19</v>
      </c>
      <c r="E14" s="3">
        <v>22</v>
      </c>
      <c r="F14" s="3" t="s">
        <v>673</v>
      </c>
      <c r="G14" s="3">
        <v>10176</v>
      </c>
      <c r="H14" s="3" t="s">
        <v>998</v>
      </c>
      <c r="I14" s="3" t="s">
        <v>999</v>
      </c>
      <c r="J14" s="3" t="s">
        <v>253</v>
      </c>
      <c r="K14" s="3" t="s">
        <v>635</v>
      </c>
      <c r="L14" s="3"/>
      <c r="M14" s="3" t="s">
        <v>1061</v>
      </c>
      <c r="N14" s="3" t="s">
        <v>1062</v>
      </c>
      <c r="O14" s="3" t="s">
        <v>1061</v>
      </c>
      <c r="P14" s="3" t="s">
        <v>118</v>
      </c>
      <c r="Q14" s="3" t="s">
        <v>119</v>
      </c>
    </row>
    <row r="15" spans="1:29" x14ac:dyDescent="0.15">
      <c r="A15" s="3">
        <v>-18</v>
      </c>
      <c r="B15" s="3"/>
      <c r="C15" s="3" t="s">
        <v>623</v>
      </c>
      <c r="D15" s="3">
        <v>20</v>
      </c>
      <c r="E15" s="3">
        <v>23</v>
      </c>
      <c r="F15" s="3" t="s">
        <v>674</v>
      </c>
      <c r="G15" s="3">
        <v>10224</v>
      </c>
      <c r="H15" s="3" t="s">
        <v>1000</v>
      </c>
      <c r="I15" s="3" t="s">
        <v>1001</v>
      </c>
      <c r="J15" s="3" t="s">
        <v>622</v>
      </c>
      <c r="K15" s="14" t="s">
        <v>940</v>
      </c>
      <c r="L15" s="14"/>
      <c r="M15" s="3" t="s">
        <v>1063</v>
      </c>
      <c r="N15" s="3" t="s">
        <v>1064</v>
      </c>
      <c r="O15" s="3" t="s">
        <v>1065</v>
      </c>
      <c r="P15" s="3" t="s">
        <v>121</v>
      </c>
      <c r="Q15" s="3" t="s">
        <v>119</v>
      </c>
    </row>
    <row r="16" spans="1:29" x14ac:dyDescent="0.15">
      <c r="A16" s="3">
        <v>-17</v>
      </c>
      <c r="B16" s="3"/>
      <c r="C16" s="3" t="s">
        <v>362</v>
      </c>
      <c r="D16" s="3">
        <v>21</v>
      </c>
      <c r="E16" s="3">
        <v>24</v>
      </c>
      <c r="F16" s="3" t="s">
        <v>675</v>
      </c>
      <c r="G16" s="3">
        <v>10225</v>
      </c>
      <c r="H16" s="3" t="s">
        <v>1000</v>
      </c>
      <c r="I16" s="3" t="s">
        <v>1001</v>
      </c>
      <c r="J16" s="3" t="s">
        <v>623</v>
      </c>
      <c r="K16" s="14" t="s">
        <v>941</v>
      </c>
      <c r="L16" s="14"/>
      <c r="M16" s="3" t="s">
        <v>1066</v>
      </c>
      <c r="N16" s="3" t="s">
        <v>1067</v>
      </c>
      <c r="O16" s="3" t="s">
        <v>1066</v>
      </c>
      <c r="P16" s="3" t="s">
        <v>123</v>
      </c>
      <c r="Q16" s="3" t="s">
        <v>119</v>
      </c>
    </row>
    <row r="17" spans="1:17" x14ac:dyDescent="0.15">
      <c r="A17" s="3">
        <v>-16</v>
      </c>
      <c r="B17" s="3" t="s">
        <v>973</v>
      </c>
      <c r="C17" s="3" t="s">
        <v>624</v>
      </c>
      <c r="D17" s="3">
        <v>22</v>
      </c>
      <c r="E17" s="3">
        <v>25</v>
      </c>
      <c r="F17" s="3" t="s">
        <v>676</v>
      </c>
      <c r="G17" s="3">
        <v>10144</v>
      </c>
      <c r="H17" s="3" t="s">
        <v>1002</v>
      </c>
      <c r="I17" s="3" t="s">
        <v>1003</v>
      </c>
      <c r="J17" s="3" t="s">
        <v>362</v>
      </c>
      <c r="K17" s="14" t="s">
        <v>942</v>
      </c>
      <c r="L17" s="14"/>
      <c r="M17" s="3" t="s">
        <v>1068</v>
      </c>
      <c r="N17" s="3" t="s">
        <v>1069</v>
      </c>
      <c r="O17" s="3" t="s">
        <v>1068</v>
      </c>
      <c r="P17" s="3" t="s">
        <v>124</v>
      </c>
      <c r="Q17" s="3" t="s">
        <v>125</v>
      </c>
    </row>
    <row r="18" spans="1:17" x14ac:dyDescent="0.15">
      <c r="A18" s="3">
        <v>-15</v>
      </c>
      <c r="B18" s="3" t="s">
        <v>972</v>
      </c>
      <c r="C18" s="3" t="s">
        <v>625</v>
      </c>
      <c r="D18" s="3">
        <v>23</v>
      </c>
      <c r="E18" s="3">
        <v>211</v>
      </c>
      <c r="F18" s="3" t="s">
        <v>677</v>
      </c>
      <c r="G18" s="3">
        <v>10145</v>
      </c>
      <c r="H18" s="3" t="s">
        <v>1002</v>
      </c>
      <c r="I18" s="3" t="s">
        <v>1003</v>
      </c>
      <c r="J18" s="3" t="s">
        <v>624</v>
      </c>
      <c r="K18" s="3" t="s">
        <v>636</v>
      </c>
      <c r="L18" s="3"/>
      <c r="M18" s="3" t="s">
        <v>1070</v>
      </c>
      <c r="N18" s="3" t="s">
        <v>1071</v>
      </c>
      <c r="O18" s="3" t="s">
        <v>1072</v>
      </c>
      <c r="P18" s="3" t="s">
        <v>127</v>
      </c>
      <c r="Q18" s="3" t="s">
        <v>125</v>
      </c>
    </row>
    <row r="19" spans="1:17" x14ac:dyDescent="0.15">
      <c r="A19" s="3">
        <v>-14</v>
      </c>
      <c r="B19" s="3" t="s">
        <v>971</v>
      </c>
      <c r="C19" s="3" t="s">
        <v>626</v>
      </c>
      <c r="D19" s="3">
        <v>24</v>
      </c>
      <c r="E19" s="3">
        <v>212</v>
      </c>
      <c r="F19" s="3" t="s">
        <v>678</v>
      </c>
      <c r="G19" s="3">
        <v>10268</v>
      </c>
      <c r="H19" s="3" t="s">
        <v>1004</v>
      </c>
      <c r="I19" s="3" t="s">
        <v>1005</v>
      </c>
      <c r="J19" s="3" t="s">
        <v>625</v>
      </c>
      <c r="K19" s="3" t="s">
        <v>637</v>
      </c>
      <c r="L19" s="10"/>
      <c r="M19" s="3" t="s">
        <v>1073</v>
      </c>
      <c r="N19" s="3" t="s">
        <v>1074</v>
      </c>
      <c r="O19" s="3" t="s">
        <v>1075</v>
      </c>
    </row>
    <row r="20" spans="1:17" x14ac:dyDescent="0.15">
      <c r="A20" s="3">
        <v>-13</v>
      </c>
      <c r="B20" s="3" t="s">
        <v>970</v>
      </c>
      <c r="C20" s="3" t="s">
        <v>542</v>
      </c>
      <c r="D20" s="3">
        <v>26</v>
      </c>
      <c r="E20" s="3">
        <v>213</v>
      </c>
      <c r="F20" s="3" t="s">
        <v>679</v>
      </c>
      <c r="G20" s="3">
        <v>10242</v>
      </c>
      <c r="H20" s="3" t="s">
        <v>1006</v>
      </c>
      <c r="I20" s="3" t="s">
        <v>1007</v>
      </c>
      <c r="J20" s="3" t="s">
        <v>626</v>
      </c>
      <c r="K20" s="3" t="s">
        <v>638</v>
      </c>
      <c r="L20" s="10"/>
      <c r="M20" s="3" t="s">
        <v>1076</v>
      </c>
      <c r="N20" s="3" t="s">
        <v>1077</v>
      </c>
      <c r="O20" s="3" t="s">
        <v>1078</v>
      </c>
    </row>
    <row r="21" spans="1:17" x14ac:dyDescent="0.15">
      <c r="A21" s="3">
        <v>-12</v>
      </c>
      <c r="B21" s="3" t="s">
        <v>969</v>
      </c>
      <c r="F21" s="3" t="s">
        <v>680</v>
      </c>
      <c r="G21" s="3">
        <v>10243</v>
      </c>
      <c r="H21" s="3" t="s">
        <v>1006</v>
      </c>
      <c r="I21" s="3" t="s">
        <v>1007</v>
      </c>
      <c r="J21" s="3" t="s">
        <v>542</v>
      </c>
      <c r="K21" s="14" t="s">
        <v>943</v>
      </c>
      <c r="L21" s="22"/>
      <c r="M21" s="3" t="s">
        <v>1079</v>
      </c>
      <c r="N21" s="3" t="s">
        <v>1080</v>
      </c>
      <c r="O21" s="3" t="s">
        <v>1081</v>
      </c>
    </row>
    <row r="22" spans="1:17" x14ac:dyDescent="0.15">
      <c r="A22" s="3">
        <v>-11</v>
      </c>
      <c r="B22" s="3" t="s">
        <v>968</v>
      </c>
      <c r="F22" s="3" t="s">
        <v>681</v>
      </c>
      <c r="G22" s="3">
        <v>10389</v>
      </c>
      <c r="H22" s="3" t="s">
        <v>1008</v>
      </c>
      <c r="I22" s="3" t="s">
        <v>1009</v>
      </c>
      <c r="J22" s="3" t="s">
        <v>627</v>
      </c>
      <c r="K22" s="14" t="s">
        <v>944</v>
      </c>
      <c r="L22" s="22"/>
      <c r="M22" s="3" t="s">
        <v>1082</v>
      </c>
      <c r="N22" s="3" t="s">
        <v>1083</v>
      </c>
      <c r="O22" s="3" t="s">
        <v>1084</v>
      </c>
    </row>
    <row r="23" spans="1:17" x14ac:dyDescent="0.15">
      <c r="A23" s="3">
        <v>-10</v>
      </c>
      <c r="B23" s="3" t="s">
        <v>967</v>
      </c>
      <c r="F23" s="3" t="s">
        <v>682</v>
      </c>
      <c r="G23" s="3">
        <v>10390</v>
      </c>
      <c r="H23" s="3" t="s">
        <v>1008</v>
      </c>
      <c r="I23" s="3" t="s">
        <v>1009</v>
      </c>
      <c r="J23" s="3" t="s">
        <v>649</v>
      </c>
      <c r="K23" s="14" t="s">
        <v>945</v>
      </c>
      <c r="L23" s="22"/>
      <c r="M23" s="3" t="s">
        <v>1085</v>
      </c>
      <c r="N23" s="3" t="s">
        <v>1086</v>
      </c>
      <c r="O23" s="3" t="s">
        <v>1087</v>
      </c>
    </row>
    <row r="24" spans="1:17" x14ac:dyDescent="0.15">
      <c r="A24" s="3">
        <v>-9</v>
      </c>
      <c r="B24" s="3" t="s">
        <v>966</v>
      </c>
      <c r="F24" s="3" t="s">
        <v>683</v>
      </c>
      <c r="G24" s="3">
        <v>10447</v>
      </c>
      <c r="H24" s="3" t="s">
        <v>1010</v>
      </c>
      <c r="I24" s="3" t="s">
        <v>1011</v>
      </c>
      <c r="J24" s="3" t="s">
        <v>647</v>
      </c>
      <c r="K24" s="3" t="s">
        <v>639</v>
      </c>
      <c r="L24" s="10"/>
      <c r="M24" s="23" t="s">
        <v>1088</v>
      </c>
      <c r="N24" s="23" t="s">
        <v>1400</v>
      </c>
      <c r="O24" s="23" t="s">
        <v>1401</v>
      </c>
    </row>
    <row r="25" spans="1:17" x14ac:dyDescent="0.15">
      <c r="A25" s="3">
        <v>-8</v>
      </c>
      <c r="B25" s="3" t="s">
        <v>965</v>
      </c>
      <c r="F25" s="3" t="s">
        <v>684</v>
      </c>
      <c r="G25" s="3">
        <v>10448</v>
      </c>
      <c r="H25" s="3" t="s">
        <v>1010</v>
      </c>
      <c r="I25" s="3" t="s">
        <v>1011</v>
      </c>
      <c r="J25" s="3" t="s">
        <v>650</v>
      </c>
      <c r="K25" s="3" t="s">
        <v>651</v>
      </c>
      <c r="L25" s="10"/>
      <c r="M25" s="3" t="s">
        <v>1089</v>
      </c>
      <c r="N25" s="3" t="s">
        <v>1090</v>
      </c>
      <c r="O25" s="3" t="s">
        <v>1089</v>
      </c>
    </row>
    <row r="26" spans="1:17" x14ac:dyDescent="0.15">
      <c r="A26" s="3">
        <v>-7</v>
      </c>
      <c r="B26" s="3" t="s">
        <v>964</v>
      </c>
      <c r="F26" s="3" t="s">
        <v>685</v>
      </c>
      <c r="G26" s="3">
        <v>10464</v>
      </c>
      <c r="H26" s="3" t="s">
        <v>1012</v>
      </c>
      <c r="I26" s="3" t="s">
        <v>1013</v>
      </c>
      <c r="J26" s="3" t="s">
        <v>641</v>
      </c>
      <c r="K26" s="3" t="s">
        <v>642</v>
      </c>
      <c r="L26" s="10"/>
      <c r="M26" s="3" t="s">
        <v>1091</v>
      </c>
      <c r="N26" s="3" t="s">
        <v>1092</v>
      </c>
      <c r="O26" s="3" t="s">
        <v>1093</v>
      </c>
    </row>
    <row r="27" spans="1:17" x14ac:dyDescent="0.15">
      <c r="A27" s="3">
        <v>-6</v>
      </c>
      <c r="B27" s="3" t="s">
        <v>963</v>
      </c>
      <c r="F27" s="3" t="s">
        <v>686</v>
      </c>
      <c r="G27" s="3">
        <v>10533</v>
      </c>
      <c r="H27" s="3" t="s">
        <v>1014</v>
      </c>
      <c r="I27" s="3" t="s">
        <v>1015</v>
      </c>
      <c r="J27" s="3" t="s">
        <v>640</v>
      </c>
      <c r="K27" s="3" t="s">
        <v>4</v>
      </c>
      <c r="L27" s="10"/>
      <c r="M27" s="3" t="s">
        <v>1094</v>
      </c>
      <c r="N27" s="3" t="s">
        <v>1095</v>
      </c>
      <c r="O27" s="3" t="s">
        <v>1096</v>
      </c>
    </row>
    <row r="28" spans="1:17" x14ac:dyDescent="0.15">
      <c r="A28" s="3">
        <v>-5</v>
      </c>
      <c r="B28" s="3" t="s">
        <v>962</v>
      </c>
      <c r="F28" s="3" t="s">
        <v>687</v>
      </c>
      <c r="G28" s="3">
        <v>10585</v>
      </c>
      <c r="H28" s="3" t="s">
        <v>1016</v>
      </c>
      <c r="I28" s="3" t="s">
        <v>1017</v>
      </c>
      <c r="J28" s="3" t="s">
        <v>648</v>
      </c>
      <c r="K28" s="3" t="s">
        <v>652</v>
      </c>
      <c r="L28" s="10"/>
      <c r="M28" s="3" t="s">
        <v>1097</v>
      </c>
      <c r="N28" s="3" t="s">
        <v>1098</v>
      </c>
      <c r="O28" s="3" t="s">
        <v>1099</v>
      </c>
    </row>
    <row r="29" spans="1:17" x14ac:dyDescent="0.15">
      <c r="A29" s="3">
        <v>-4</v>
      </c>
      <c r="B29" s="3" t="s">
        <v>961</v>
      </c>
      <c r="F29" s="3" t="s">
        <v>688</v>
      </c>
      <c r="G29" s="3">
        <v>10615</v>
      </c>
      <c r="H29" s="3" t="s">
        <v>1018</v>
      </c>
      <c r="I29" s="3" t="s">
        <v>1019</v>
      </c>
      <c r="J29" s="3" t="s">
        <v>645</v>
      </c>
      <c r="K29" s="3" t="s">
        <v>646</v>
      </c>
      <c r="L29" s="10"/>
      <c r="M29" s="3" t="s">
        <v>1100</v>
      </c>
      <c r="N29" s="3" t="s">
        <v>1101</v>
      </c>
      <c r="O29" s="3" t="s">
        <v>1102</v>
      </c>
    </row>
    <row r="30" spans="1:17" x14ac:dyDescent="0.15">
      <c r="A30" s="3">
        <v>-3</v>
      </c>
      <c r="B30" s="3" t="s">
        <v>960</v>
      </c>
      <c r="F30" s="3" t="s">
        <v>689</v>
      </c>
      <c r="G30" s="3">
        <v>10626</v>
      </c>
      <c r="H30" s="3" t="s">
        <v>1020</v>
      </c>
      <c r="I30" s="3" t="s">
        <v>1021</v>
      </c>
      <c r="J30" s="3" t="s">
        <v>643</v>
      </c>
      <c r="K30" s="3" t="s">
        <v>644</v>
      </c>
      <c r="L30" s="10"/>
      <c r="M30" s="3" t="s">
        <v>1103</v>
      </c>
      <c r="N30" s="3" t="s">
        <v>1104</v>
      </c>
      <c r="O30" s="3" t="s">
        <v>1105</v>
      </c>
    </row>
    <row r="31" spans="1:17" x14ac:dyDescent="0.15">
      <c r="A31" s="3">
        <v>-2</v>
      </c>
      <c r="B31" s="3" t="s">
        <v>959</v>
      </c>
      <c r="F31" s="3" t="s">
        <v>690</v>
      </c>
      <c r="G31" s="3">
        <v>10627</v>
      </c>
      <c r="H31" s="3" t="s">
        <v>1020</v>
      </c>
      <c r="I31" s="3" t="s">
        <v>1021</v>
      </c>
      <c r="J31" s="3" t="s">
        <v>653</v>
      </c>
      <c r="K31" s="3" t="s">
        <v>654</v>
      </c>
      <c r="L31" s="10"/>
      <c r="M31" s="3" t="s">
        <v>1106</v>
      </c>
      <c r="N31" s="3" t="s">
        <v>1107</v>
      </c>
      <c r="O31" s="3" t="s">
        <v>1108</v>
      </c>
    </row>
    <row r="32" spans="1:17" x14ac:dyDescent="0.15">
      <c r="A32" s="3">
        <v>-1</v>
      </c>
      <c r="B32" s="3" t="s">
        <v>692</v>
      </c>
      <c r="F32" s="3" t="s">
        <v>542</v>
      </c>
      <c r="G32" s="3">
        <v>10698</v>
      </c>
      <c r="H32" s="3" t="s">
        <v>1022</v>
      </c>
      <c r="I32" s="3" t="s">
        <v>1023</v>
      </c>
      <c r="J32" s="3" t="s">
        <v>655</v>
      </c>
      <c r="K32" s="3" t="s">
        <v>656</v>
      </c>
      <c r="L32" s="10"/>
      <c r="M32" s="23" t="s">
        <v>1109</v>
      </c>
      <c r="N32" s="23" t="s">
        <v>1400</v>
      </c>
      <c r="O32" s="23" t="s">
        <v>1401</v>
      </c>
    </row>
    <row r="33" spans="1:15" x14ac:dyDescent="0.15">
      <c r="A33" s="3">
        <v>0</v>
      </c>
      <c r="B33" s="3" t="str">
        <f>""</f>
        <v/>
      </c>
      <c r="F33" s="3" t="s">
        <v>627</v>
      </c>
      <c r="G33" s="3">
        <v>10756</v>
      </c>
      <c r="J33" s="3" t="s">
        <v>657</v>
      </c>
      <c r="K33" s="14" t="s">
        <v>933</v>
      </c>
      <c r="L33" s="22"/>
      <c r="M33" s="3" t="s">
        <v>1110</v>
      </c>
      <c r="N33" s="3" t="s">
        <v>1111</v>
      </c>
      <c r="O33" s="3" t="s">
        <v>1110</v>
      </c>
    </row>
    <row r="34" spans="1:15" x14ac:dyDescent="0.15">
      <c r="A34" s="3">
        <v>1</v>
      </c>
      <c r="B34" s="3" t="s">
        <v>65</v>
      </c>
      <c r="J34" s="3" t="s">
        <v>658</v>
      </c>
      <c r="K34" s="14" t="s">
        <v>934</v>
      </c>
      <c r="L34" s="22"/>
      <c r="M34" s="3" t="s">
        <v>1112</v>
      </c>
      <c r="N34" s="3" t="s">
        <v>1113</v>
      </c>
      <c r="O34" s="3" t="s">
        <v>1114</v>
      </c>
    </row>
    <row r="35" spans="1:15" x14ac:dyDescent="0.15">
      <c r="A35" s="3">
        <v>2</v>
      </c>
      <c r="B35" s="3" t="s">
        <v>5</v>
      </c>
      <c r="J35" s="3" t="s">
        <v>659</v>
      </c>
      <c r="K35" s="3" t="s">
        <v>660</v>
      </c>
      <c r="L35" s="10"/>
      <c r="M35" s="3" t="s">
        <v>1115</v>
      </c>
      <c r="N35" s="3" t="s">
        <v>1116</v>
      </c>
      <c r="O35" s="3" t="s">
        <v>1115</v>
      </c>
    </row>
    <row r="36" spans="1:15" x14ac:dyDescent="0.15">
      <c r="A36" s="3">
        <v>3</v>
      </c>
      <c r="B36" s="3" t="s">
        <v>78</v>
      </c>
      <c r="J36" s="3" t="s">
        <v>661</v>
      </c>
      <c r="K36" s="3" t="s">
        <v>662</v>
      </c>
      <c r="L36" s="10"/>
      <c r="M36" s="3" t="s">
        <v>1117</v>
      </c>
      <c r="N36" s="3" t="s">
        <v>1118</v>
      </c>
      <c r="O36" s="3" t="s">
        <v>1117</v>
      </c>
    </row>
    <row r="37" spans="1:15" x14ac:dyDescent="0.15">
      <c r="A37" s="3">
        <v>5</v>
      </c>
      <c r="B37" s="3" t="s">
        <v>85</v>
      </c>
      <c r="J37" s="3" t="s">
        <v>663</v>
      </c>
      <c r="K37" s="3" t="s">
        <v>664</v>
      </c>
      <c r="L37" s="10"/>
      <c r="M37" s="3" t="s">
        <v>1119</v>
      </c>
      <c r="N37" s="3" t="s">
        <v>1120</v>
      </c>
      <c r="O37" s="3" t="s">
        <v>1119</v>
      </c>
    </row>
    <row r="38" spans="1:15" x14ac:dyDescent="0.15">
      <c r="A38" s="3">
        <v>6</v>
      </c>
      <c r="B38" s="3" t="s">
        <v>91</v>
      </c>
      <c r="M38" s="3" t="s">
        <v>1121</v>
      </c>
      <c r="N38" s="3" t="s">
        <v>1122</v>
      </c>
      <c r="O38" s="3" t="s">
        <v>1123</v>
      </c>
    </row>
    <row r="39" spans="1:15" x14ac:dyDescent="0.15">
      <c r="A39" s="3">
        <v>7</v>
      </c>
      <c r="B39" s="3" t="s">
        <v>95</v>
      </c>
      <c r="M39" s="3" t="s">
        <v>1124</v>
      </c>
      <c r="N39" s="3" t="s">
        <v>1125</v>
      </c>
      <c r="O39" s="3" t="s">
        <v>1124</v>
      </c>
    </row>
    <row r="40" spans="1:15" x14ac:dyDescent="0.15">
      <c r="A40" s="3">
        <v>8</v>
      </c>
      <c r="B40" s="3" t="s">
        <v>99</v>
      </c>
      <c r="M40" s="3" t="s">
        <v>1126</v>
      </c>
      <c r="N40" s="3" t="s">
        <v>1127</v>
      </c>
      <c r="O40" s="3" t="s">
        <v>1128</v>
      </c>
    </row>
    <row r="41" spans="1:15" x14ac:dyDescent="0.15">
      <c r="A41" s="3">
        <v>9</v>
      </c>
      <c r="B41" s="3" t="s">
        <v>104</v>
      </c>
      <c r="M41" s="3" t="s">
        <v>1129</v>
      </c>
      <c r="N41" s="3" t="s">
        <v>1130</v>
      </c>
      <c r="O41" s="3" t="s">
        <v>1131</v>
      </c>
    </row>
    <row r="42" spans="1:15" x14ac:dyDescent="0.15">
      <c r="A42" s="3">
        <v>10</v>
      </c>
      <c r="B42" s="3" t="s">
        <v>107</v>
      </c>
      <c r="M42" s="3" t="s">
        <v>1132</v>
      </c>
      <c r="N42" s="3" t="s">
        <v>1133</v>
      </c>
      <c r="O42" s="3" t="s">
        <v>1132</v>
      </c>
    </row>
    <row r="43" spans="1:15" x14ac:dyDescent="0.15">
      <c r="A43" s="3">
        <v>11</v>
      </c>
      <c r="B43" s="3" t="s">
        <v>111</v>
      </c>
      <c r="M43" s="3" t="s">
        <v>1134</v>
      </c>
      <c r="N43" s="3" t="s">
        <v>1135</v>
      </c>
      <c r="O43" s="3" t="s">
        <v>1136</v>
      </c>
    </row>
    <row r="44" spans="1:15" x14ac:dyDescent="0.15">
      <c r="A44" s="3">
        <v>12</v>
      </c>
      <c r="B44" s="3" t="s">
        <v>115</v>
      </c>
      <c r="M44" s="3" t="s">
        <v>1137</v>
      </c>
      <c r="N44" s="3" t="s">
        <v>1138</v>
      </c>
      <c r="O44" s="3" t="s">
        <v>1139</v>
      </c>
    </row>
    <row r="45" spans="1:15" x14ac:dyDescent="0.15">
      <c r="A45" s="3">
        <v>13</v>
      </c>
      <c r="B45" s="3" t="s">
        <v>117</v>
      </c>
      <c r="M45" s="3" t="s">
        <v>1140</v>
      </c>
      <c r="N45" s="3" t="s">
        <v>1141</v>
      </c>
      <c r="O45" s="3" t="s">
        <v>1142</v>
      </c>
    </row>
    <row r="46" spans="1:15" x14ac:dyDescent="0.15">
      <c r="A46" s="3">
        <v>14</v>
      </c>
      <c r="B46" s="3" t="s">
        <v>120</v>
      </c>
      <c r="M46" s="3" t="s">
        <v>1143</v>
      </c>
      <c r="N46" s="3" t="s">
        <v>1144</v>
      </c>
      <c r="O46" s="3" t="s">
        <v>1145</v>
      </c>
    </row>
    <row r="47" spans="1:15" x14ac:dyDescent="0.15">
      <c r="A47" s="3">
        <v>15</v>
      </c>
      <c r="B47" s="3" t="s">
        <v>122</v>
      </c>
      <c r="M47" s="3" t="s">
        <v>1146</v>
      </c>
      <c r="N47" s="3" t="s">
        <v>1147</v>
      </c>
      <c r="O47" s="3" t="s">
        <v>1148</v>
      </c>
    </row>
    <row r="48" spans="1:15" x14ac:dyDescent="0.15">
      <c r="A48" s="3">
        <v>16</v>
      </c>
      <c r="B48" s="3" t="s">
        <v>6</v>
      </c>
      <c r="M48" s="3" t="s">
        <v>1149</v>
      </c>
      <c r="N48" s="3" t="s">
        <v>1150</v>
      </c>
      <c r="O48" s="3" t="s">
        <v>1151</v>
      </c>
    </row>
    <row r="49" spans="1:15" x14ac:dyDescent="0.15">
      <c r="A49" s="3">
        <v>17</v>
      </c>
      <c r="B49" s="3" t="s">
        <v>126</v>
      </c>
      <c r="M49" s="3" t="s">
        <v>1152</v>
      </c>
      <c r="N49" s="3" t="s">
        <v>1153</v>
      </c>
      <c r="O49" s="3" t="s">
        <v>1152</v>
      </c>
    </row>
    <row r="50" spans="1:15" x14ac:dyDescent="0.15">
      <c r="A50" s="3">
        <v>18</v>
      </c>
      <c r="B50" s="3" t="s">
        <v>128</v>
      </c>
      <c r="M50" s="3" t="s">
        <v>1154</v>
      </c>
      <c r="N50" s="3" t="s">
        <v>1155</v>
      </c>
      <c r="O50" s="3" t="s">
        <v>1156</v>
      </c>
    </row>
    <row r="51" spans="1:15" x14ac:dyDescent="0.15">
      <c r="A51" s="3">
        <v>19</v>
      </c>
      <c r="B51" s="3" t="s">
        <v>129</v>
      </c>
      <c r="M51" s="3" t="s">
        <v>1157</v>
      </c>
      <c r="N51" s="3" t="s">
        <v>1158</v>
      </c>
      <c r="O51" s="3" t="s">
        <v>1159</v>
      </c>
    </row>
    <row r="52" spans="1:15" x14ac:dyDescent="0.15">
      <c r="A52" s="3">
        <v>20</v>
      </c>
      <c r="B52" s="3" t="s">
        <v>130</v>
      </c>
      <c r="M52" s="23" t="s">
        <v>1160</v>
      </c>
      <c r="N52" s="23" t="s">
        <v>1400</v>
      </c>
      <c r="O52" s="23" t="s">
        <v>1401</v>
      </c>
    </row>
    <row r="53" spans="1:15" x14ac:dyDescent="0.15">
      <c r="A53" s="3">
        <v>21</v>
      </c>
      <c r="B53" s="3" t="s">
        <v>131</v>
      </c>
      <c r="M53" s="3" t="s">
        <v>1161</v>
      </c>
      <c r="N53" s="3" t="s">
        <v>1162</v>
      </c>
      <c r="O53" s="3" t="s">
        <v>1161</v>
      </c>
    </row>
    <row r="54" spans="1:15" x14ac:dyDescent="0.15">
      <c r="A54" s="3">
        <v>22</v>
      </c>
      <c r="B54" s="3" t="s">
        <v>132</v>
      </c>
      <c r="M54" s="3" t="s">
        <v>1163</v>
      </c>
      <c r="N54" s="3" t="s">
        <v>1164</v>
      </c>
      <c r="O54" s="3" t="s">
        <v>1163</v>
      </c>
    </row>
    <row r="55" spans="1:15" x14ac:dyDescent="0.15">
      <c r="A55" s="3">
        <v>23</v>
      </c>
      <c r="B55" s="3" t="s">
        <v>7</v>
      </c>
      <c r="M55" s="3" t="s">
        <v>1165</v>
      </c>
      <c r="N55" s="3" t="s">
        <v>1166</v>
      </c>
      <c r="O55" s="3" t="s">
        <v>1167</v>
      </c>
    </row>
    <row r="56" spans="1:15" x14ac:dyDescent="0.15">
      <c r="A56" s="3">
        <v>25</v>
      </c>
      <c r="B56" s="3" t="s">
        <v>8</v>
      </c>
      <c r="M56" s="3" t="s">
        <v>1168</v>
      </c>
      <c r="N56" s="3" t="s">
        <v>1169</v>
      </c>
      <c r="O56" s="3" t="s">
        <v>1170</v>
      </c>
    </row>
    <row r="57" spans="1:15" x14ac:dyDescent="0.15">
      <c r="A57" s="3">
        <v>26</v>
      </c>
      <c r="B57" s="3" t="s">
        <v>133</v>
      </c>
      <c r="M57" s="3" t="s">
        <v>1171</v>
      </c>
      <c r="N57" s="3" t="s">
        <v>1172</v>
      </c>
      <c r="O57" s="3" t="s">
        <v>1173</v>
      </c>
    </row>
    <row r="58" spans="1:15" x14ac:dyDescent="0.15">
      <c r="A58" s="3">
        <v>27</v>
      </c>
      <c r="B58" s="3" t="s">
        <v>9</v>
      </c>
      <c r="M58" s="3" t="s">
        <v>1174</v>
      </c>
      <c r="N58" s="3" t="s">
        <v>1175</v>
      </c>
      <c r="O58" s="3" t="s">
        <v>1176</v>
      </c>
    </row>
    <row r="59" spans="1:15" x14ac:dyDescent="0.15">
      <c r="A59" s="3">
        <v>28</v>
      </c>
      <c r="B59" s="3" t="s">
        <v>134</v>
      </c>
      <c r="M59" s="3" t="s">
        <v>1177</v>
      </c>
      <c r="N59" s="3" t="s">
        <v>1178</v>
      </c>
      <c r="O59" s="3" t="s">
        <v>1179</v>
      </c>
    </row>
    <row r="60" spans="1:15" x14ac:dyDescent="0.15">
      <c r="A60" s="3">
        <v>29</v>
      </c>
      <c r="B60" s="3" t="s">
        <v>135</v>
      </c>
      <c r="M60" s="23" t="s">
        <v>1180</v>
      </c>
      <c r="N60" s="23" t="s">
        <v>1400</v>
      </c>
      <c r="O60" s="23" t="s">
        <v>1401</v>
      </c>
    </row>
    <row r="61" spans="1:15" x14ac:dyDescent="0.15">
      <c r="A61" s="3">
        <v>30</v>
      </c>
      <c r="B61" s="3" t="s">
        <v>136</v>
      </c>
      <c r="M61" s="3" t="s">
        <v>1181</v>
      </c>
      <c r="N61" s="3" t="s">
        <v>1182</v>
      </c>
      <c r="O61" s="3" t="s">
        <v>1181</v>
      </c>
    </row>
    <row r="62" spans="1:15" x14ac:dyDescent="0.15">
      <c r="A62" s="3">
        <v>31</v>
      </c>
      <c r="B62" s="3" t="s">
        <v>137</v>
      </c>
      <c r="M62" s="3" t="s">
        <v>1183</v>
      </c>
      <c r="N62" s="3" t="s">
        <v>1184</v>
      </c>
      <c r="O62" s="3" t="s">
        <v>1183</v>
      </c>
    </row>
    <row r="63" spans="1:15" x14ac:dyDescent="0.15">
      <c r="A63" s="3">
        <v>32</v>
      </c>
      <c r="B63" s="3" t="s">
        <v>138</v>
      </c>
      <c r="M63" s="3" t="s">
        <v>1185</v>
      </c>
      <c r="N63" s="3" t="s">
        <v>1186</v>
      </c>
      <c r="O63" s="3" t="s">
        <v>1187</v>
      </c>
    </row>
    <row r="64" spans="1:15" x14ac:dyDescent="0.15">
      <c r="A64" s="3">
        <v>33</v>
      </c>
      <c r="B64" s="3" t="s">
        <v>139</v>
      </c>
      <c r="M64" s="3" t="s">
        <v>1188</v>
      </c>
      <c r="N64" s="3" t="s">
        <v>1189</v>
      </c>
      <c r="O64" s="3" t="s">
        <v>1188</v>
      </c>
    </row>
    <row r="65" spans="1:15" x14ac:dyDescent="0.15">
      <c r="A65" s="3">
        <v>34</v>
      </c>
      <c r="B65" s="3" t="s">
        <v>140</v>
      </c>
      <c r="M65" s="23" t="s">
        <v>1190</v>
      </c>
      <c r="N65" s="23" t="s">
        <v>1400</v>
      </c>
      <c r="O65" s="23" t="s">
        <v>1401</v>
      </c>
    </row>
    <row r="66" spans="1:15" x14ac:dyDescent="0.15">
      <c r="A66" s="3">
        <v>35</v>
      </c>
      <c r="B66" s="3" t="s">
        <v>10</v>
      </c>
      <c r="M66" s="3" t="s">
        <v>1191</v>
      </c>
      <c r="N66" s="3" t="s">
        <v>1192</v>
      </c>
      <c r="O66" s="3" t="s">
        <v>1191</v>
      </c>
    </row>
    <row r="67" spans="1:15" x14ac:dyDescent="0.15">
      <c r="A67" s="3">
        <v>36</v>
      </c>
      <c r="B67" s="3" t="s">
        <v>141</v>
      </c>
      <c r="M67" s="3" t="s">
        <v>1193</v>
      </c>
      <c r="N67" s="3" t="s">
        <v>1194</v>
      </c>
      <c r="O67" s="3" t="s">
        <v>1193</v>
      </c>
    </row>
    <row r="68" spans="1:15" x14ac:dyDescent="0.15">
      <c r="A68" s="3">
        <v>37</v>
      </c>
      <c r="B68" s="3" t="s">
        <v>142</v>
      </c>
      <c r="M68" s="3" t="s">
        <v>1195</v>
      </c>
      <c r="N68" s="3" t="s">
        <v>1196</v>
      </c>
      <c r="O68" s="3" t="s">
        <v>1195</v>
      </c>
    </row>
    <row r="69" spans="1:15" x14ac:dyDescent="0.15">
      <c r="A69" s="3">
        <v>38</v>
      </c>
      <c r="B69" s="3" t="s">
        <v>143</v>
      </c>
      <c r="M69" s="3" t="s">
        <v>1197</v>
      </c>
      <c r="N69" s="3" t="s">
        <v>1198</v>
      </c>
      <c r="O69" s="3" t="s">
        <v>1197</v>
      </c>
    </row>
    <row r="70" spans="1:15" x14ac:dyDescent="0.15">
      <c r="A70" s="3">
        <v>39</v>
      </c>
      <c r="B70" s="3" t="s">
        <v>144</v>
      </c>
      <c r="M70" s="3" t="s">
        <v>1199</v>
      </c>
      <c r="N70" s="3" t="s">
        <v>1200</v>
      </c>
      <c r="O70" s="3" t="s">
        <v>1199</v>
      </c>
    </row>
    <row r="71" spans="1:15" x14ac:dyDescent="0.15">
      <c r="A71" s="3">
        <v>40</v>
      </c>
      <c r="B71" s="3" t="s">
        <v>145</v>
      </c>
      <c r="M71" s="3" t="s">
        <v>1201</v>
      </c>
      <c r="N71" s="3" t="s">
        <v>1202</v>
      </c>
      <c r="O71" s="3" t="s">
        <v>1201</v>
      </c>
    </row>
    <row r="72" spans="1:15" x14ac:dyDescent="0.15">
      <c r="A72" s="3">
        <v>41</v>
      </c>
      <c r="B72" s="3" t="s">
        <v>146</v>
      </c>
      <c r="M72" s="3" t="s">
        <v>1203</v>
      </c>
      <c r="N72" s="3" t="s">
        <v>1204</v>
      </c>
      <c r="O72" s="3" t="s">
        <v>1203</v>
      </c>
    </row>
    <row r="73" spans="1:15" x14ac:dyDescent="0.15">
      <c r="A73" s="3">
        <v>42</v>
      </c>
      <c r="B73" s="3" t="s">
        <v>147</v>
      </c>
      <c r="M73" s="3" t="s">
        <v>1205</v>
      </c>
      <c r="N73" s="3" t="s">
        <v>1206</v>
      </c>
      <c r="O73" s="3" t="s">
        <v>1205</v>
      </c>
    </row>
    <row r="74" spans="1:15" x14ac:dyDescent="0.15">
      <c r="A74" s="3">
        <v>43</v>
      </c>
      <c r="B74" s="3" t="s">
        <v>148</v>
      </c>
      <c r="M74" s="3" t="s">
        <v>1207</v>
      </c>
      <c r="N74" s="3" t="s">
        <v>1208</v>
      </c>
      <c r="O74" s="3" t="s">
        <v>1207</v>
      </c>
    </row>
    <row r="75" spans="1:15" x14ac:dyDescent="0.15">
      <c r="A75" s="3">
        <v>44</v>
      </c>
      <c r="B75" s="3" t="s">
        <v>149</v>
      </c>
      <c r="M75" s="3" t="s">
        <v>1209</v>
      </c>
      <c r="N75" s="3" t="s">
        <v>1210</v>
      </c>
      <c r="O75" s="3" t="s">
        <v>1211</v>
      </c>
    </row>
    <row r="76" spans="1:15" x14ac:dyDescent="0.15">
      <c r="A76" s="3">
        <v>45</v>
      </c>
      <c r="B76" s="3" t="s">
        <v>150</v>
      </c>
      <c r="M76" s="3" t="s">
        <v>1212</v>
      </c>
      <c r="N76" s="3" t="s">
        <v>1213</v>
      </c>
      <c r="O76" s="3" t="s">
        <v>1212</v>
      </c>
    </row>
    <row r="77" spans="1:15" x14ac:dyDescent="0.15">
      <c r="A77" s="3">
        <v>46</v>
      </c>
      <c r="B77" s="3" t="s">
        <v>151</v>
      </c>
      <c r="M77" s="3" t="s">
        <v>1214</v>
      </c>
      <c r="N77" s="3" t="s">
        <v>1215</v>
      </c>
      <c r="O77" s="3" t="s">
        <v>1214</v>
      </c>
    </row>
    <row r="78" spans="1:15" x14ac:dyDescent="0.15">
      <c r="A78" s="3">
        <v>47</v>
      </c>
      <c r="B78" s="3" t="s">
        <v>152</v>
      </c>
      <c r="M78" s="3" t="s">
        <v>1216</v>
      </c>
      <c r="N78" s="3" t="s">
        <v>1217</v>
      </c>
      <c r="O78" s="3" t="s">
        <v>1216</v>
      </c>
    </row>
    <row r="79" spans="1:15" x14ac:dyDescent="0.15">
      <c r="A79" s="3">
        <v>48</v>
      </c>
      <c r="B79" s="3" t="s">
        <v>153</v>
      </c>
      <c r="M79" s="3" t="s">
        <v>1218</v>
      </c>
      <c r="N79" s="3" t="s">
        <v>1219</v>
      </c>
      <c r="O79" s="3" t="s">
        <v>1218</v>
      </c>
    </row>
    <row r="80" spans="1:15" x14ac:dyDescent="0.15">
      <c r="A80" s="3">
        <v>49</v>
      </c>
      <c r="B80" s="3" t="s">
        <v>154</v>
      </c>
      <c r="M80" s="3" t="s">
        <v>1220</v>
      </c>
      <c r="N80" s="3" t="s">
        <v>1221</v>
      </c>
      <c r="O80" s="3" t="s">
        <v>1220</v>
      </c>
    </row>
    <row r="81" spans="1:15" x14ac:dyDescent="0.15">
      <c r="A81" s="3">
        <v>50</v>
      </c>
      <c r="B81" s="3" t="s">
        <v>155</v>
      </c>
      <c r="M81" s="3" t="s">
        <v>1222</v>
      </c>
      <c r="N81" s="3" t="s">
        <v>1223</v>
      </c>
      <c r="O81" s="3" t="s">
        <v>1222</v>
      </c>
    </row>
    <row r="82" spans="1:15" x14ac:dyDescent="0.15">
      <c r="A82" s="3">
        <v>51</v>
      </c>
      <c r="B82" s="3" t="s">
        <v>156</v>
      </c>
      <c r="M82" s="3" t="s">
        <v>1224</v>
      </c>
      <c r="N82" s="3" t="s">
        <v>1225</v>
      </c>
      <c r="O82" s="3" t="s">
        <v>1224</v>
      </c>
    </row>
    <row r="83" spans="1:15" x14ac:dyDescent="0.15">
      <c r="A83" s="3">
        <v>52</v>
      </c>
      <c r="B83" s="3" t="s">
        <v>11</v>
      </c>
      <c r="M83" s="3" t="s">
        <v>1226</v>
      </c>
      <c r="N83" s="3" t="s">
        <v>1227</v>
      </c>
      <c r="O83" s="3" t="s">
        <v>1226</v>
      </c>
    </row>
    <row r="84" spans="1:15" x14ac:dyDescent="0.15">
      <c r="A84" s="3">
        <v>53</v>
      </c>
      <c r="B84" s="3" t="s">
        <v>157</v>
      </c>
      <c r="M84" s="3" t="s">
        <v>1228</v>
      </c>
      <c r="N84" s="3" t="s">
        <v>1229</v>
      </c>
      <c r="O84" s="3" t="s">
        <v>1228</v>
      </c>
    </row>
    <row r="85" spans="1:15" x14ac:dyDescent="0.15">
      <c r="A85" s="3">
        <v>55</v>
      </c>
      <c r="B85" s="3" t="s">
        <v>158</v>
      </c>
      <c r="M85" s="3" t="s">
        <v>1230</v>
      </c>
      <c r="N85" s="3" t="s">
        <v>1231</v>
      </c>
      <c r="O85" s="3" t="s">
        <v>1230</v>
      </c>
    </row>
    <row r="86" spans="1:15" x14ac:dyDescent="0.15">
      <c r="A86" s="3">
        <v>56</v>
      </c>
      <c r="B86" s="3" t="s">
        <v>159</v>
      </c>
      <c r="M86" s="3" t="s">
        <v>1232</v>
      </c>
      <c r="N86" s="3" t="s">
        <v>1233</v>
      </c>
      <c r="O86" s="3" t="s">
        <v>1232</v>
      </c>
    </row>
    <row r="87" spans="1:15" x14ac:dyDescent="0.15">
      <c r="A87" s="3">
        <v>57</v>
      </c>
      <c r="B87" s="3" t="s">
        <v>160</v>
      </c>
      <c r="M87" s="3" t="s">
        <v>1234</v>
      </c>
      <c r="N87" s="3" t="s">
        <v>1235</v>
      </c>
      <c r="O87" s="3" t="s">
        <v>1234</v>
      </c>
    </row>
    <row r="88" spans="1:15" x14ac:dyDescent="0.15">
      <c r="A88" s="3">
        <v>58</v>
      </c>
      <c r="B88" s="3" t="s">
        <v>161</v>
      </c>
      <c r="M88" s="3" t="s">
        <v>1236</v>
      </c>
      <c r="N88" s="3" t="s">
        <v>1237</v>
      </c>
      <c r="O88" s="3" t="s">
        <v>1236</v>
      </c>
    </row>
    <row r="89" spans="1:15" x14ac:dyDescent="0.15">
      <c r="A89" s="3">
        <v>60</v>
      </c>
      <c r="B89" s="3" t="s">
        <v>162</v>
      </c>
      <c r="M89" s="3" t="s">
        <v>1238</v>
      </c>
      <c r="N89" s="3" t="s">
        <v>1239</v>
      </c>
      <c r="O89" s="3" t="s">
        <v>1238</v>
      </c>
    </row>
    <row r="90" spans="1:15" x14ac:dyDescent="0.15">
      <c r="A90" s="3">
        <v>61</v>
      </c>
      <c r="B90" s="3" t="s">
        <v>163</v>
      </c>
      <c r="M90" s="3" t="s">
        <v>1240</v>
      </c>
      <c r="N90" s="3" t="s">
        <v>1241</v>
      </c>
      <c r="O90" s="3" t="s">
        <v>1240</v>
      </c>
    </row>
    <row r="91" spans="1:15" x14ac:dyDescent="0.15">
      <c r="A91" s="3">
        <v>62</v>
      </c>
      <c r="B91" s="3" t="s">
        <v>164</v>
      </c>
      <c r="M91" s="3" t="s">
        <v>1242</v>
      </c>
      <c r="N91" s="3" t="s">
        <v>1243</v>
      </c>
      <c r="O91" s="3" t="s">
        <v>1242</v>
      </c>
    </row>
    <row r="92" spans="1:15" x14ac:dyDescent="0.15">
      <c r="A92" s="3">
        <v>63</v>
      </c>
      <c r="B92" s="3" t="s">
        <v>165</v>
      </c>
      <c r="M92" s="3" t="s">
        <v>1244</v>
      </c>
      <c r="N92" s="3" t="s">
        <v>1245</v>
      </c>
      <c r="O92" s="3" t="s">
        <v>1244</v>
      </c>
    </row>
    <row r="93" spans="1:15" x14ac:dyDescent="0.15">
      <c r="A93" s="3">
        <v>64</v>
      </c>
      <c r="B93" s="3" t="s">
        <v>166</v>
      </c>
      <c r="M93" s="3" t="s">
        <v>1246</v>
      </c>
      <c r="N93" s="3" t="s">
        <v>1247</v>
      </c>
      <c r="O93" s="3" t="s">
        <v>1246</v>
      </c>
    </row>
    <row r="94" spans="1:15" x14ac:dyDescent="0.15">
      <c r="A94" s="3">
        <v>65</v>
      </c>
      <c r="B94" s="3" t="s">
        <v>167</v>
      </c>
      <c r="M94" s="3" t="s">
        <v>1248</v>
      </c>
      <c r="N94" s="3" t="s">
        <v>1249</v>
      </c>
      <c r="O94" s="3" t="s">
        <v>1248</v>
      </c>
    </row>
    <row r="95" spans="1:15" x14ac:dyDescent="0.15">
      <c r="A95" s="3">
        <v>66</v>
      </c>
      <c r="B95" s="3" t="s">
        <v>168</v>
      </c>
      <c r="M95" s="3" t="s">
        <v>1250</v>
      </c>
      <c r="N95" s="3" t="s">
        <v>1251</v>
      </c>
      <c r="O95" s="3" t="s">
        <v>1250</v>
      </c>
    </row>
    <row r="96" spans="1:15" x14ac:dyDescent="0.15">
      <c r="A96" s="3">
        <v>67</v>
      </c>
      <c r="B96" s="3" t="s">
        <v>169</v>
      </c>
      <c r="M96" s="3" t="s">
        <v>1252</v>
      </c>
      <c r="N96" s="3" t="s">
        <v>1253</v>
      </c>
      <c r="O96" s="3" t="s">
        <v>1252</v>
      </c>
    </row>
    <row r="97" spans="1:15" x14ac:dyDescent="0.15">
      <c r="A97" s="3">
        <v>68</v>
      </c>
      <c r="B97" s="3" t="s">
        <v>170</v>
      </c>
      <c r="M97" s="3" t="s">
        <v>1254</v>
      </c>
      <c r="N97" s="3" t="s">
        <v>1255</v>
      </c>
      <c r="O97" s="3" t="s">
        <v>1254</v>
      </c>
    </row>
    <row r="98" spans="1:15" x14ac:dyDescent="0.15">
      <c r="A98" s="3">
        <v>69</v>
      </c>
      <c r="B98" s="3" t="s">
        <v>171</v>
      </c>
      <c r="M98" s="3" t="s">
        <v>1256</v>
      </c>
      <c r="N98" s="3" t="s">
        <v>1257</v>
      </c>
      <c r="O98" s="3" t="s">
        <v>1256</v>
      </c>
    </row>
    <row r="99" spans="1:15" x14ac:dyDescent="0.15">
      <c r="A99" s="3">
        <v>70</v>
      </c>
      <c r="B99" s="3" t="s">
        <v>172</v>
      </c>
      <c r="M99" s="3" t="s">
        <v>1258</v>
      </c>
      <c r="N99" s="3" t="s">
        <v>1259</v>
      </c>
      <c r="O99" s="3" t="s">
        <v>1258</v>
      </c>
    </row>
    <row r="100" spans="1:15" x14ac:dyDescent="0.15">
      <c r="A100" s="3">
        <v>71</v>
      </c>
      <c r="B100" s="3" t="s">
        <v>173</v>
      </c>
      <c r="M100" s="3" t="s">
        <v>1260</v>
      </c>
      <c r="N100" s="3" t="s">
        <v>1261</v>
      </c>
      <c r="O100" s="3" t="s">
        <v>1260</v>
      </c>
    </row>
    <row r="101" spans="1:15" x14ac:dyDescent="0.15">
      <c r="A101" s="3">
        <v>72</v>
      </c>
      <c r="B101" s="3" t="s">
        <v>174</v>
      </c>
      <c r="M101" s="3" t="s">
        <v>1262</v>
      </c>
      <c r="N101" s="3" t="s">
        <v>1263</v>
      </c>
      <c r="O101" s="3" t="s">
        <v>1262</v>
      </c>
    </row>
    <row r="102" spans="1:15" x14ac:dyDescent="0.15">
      <c r="A102" s="3">
        <v>73</v>
      </c>
      <c r="B102" s="3" t="s">
        <v>175</v>
      </c>
      <c r="M102" s="3" t="s">
        <v>1264</v>
      </c>
      <c r="N102" s="3" t="s">
        <v>1265</v>
      </c>
      <c r="O102" s="3" t="s">
        <v>1264</v>
      </c>
    </row>
    <row r="103" spans="1:15" x14ac:dyDescent="0.15">
      <c r="A103" s="3">
        <v>74</v>
      </c>
      <c r="B103" s="3" t="s">
        <v>176</v>
      </c>
      <c r="M103" s="3" t="s">
        <v>1266</v>
      </c>
      <c r="N103" s="3" t="s">
        <v>1267</v>
      </c>
      <c r="O103" s="3" t="s">
        <v>1266</v>
      </c>
    </row>
    <row r="104" spans="1:15" x14ac:dyDescent="0.15">
      <c r="A104" s="3">
        <v>75</v>
      </c>
      <c r="B104" s="3" t="s">
        <v>177</v>
      </c>
      <c r="M104" s="3" t="s">
        <v>1268</v>
      </c>
      <c r="N104" s="3" t="s">
        <v>1269</v>
      </c>
      <c r="O104" s="3" t="s">
        <v>1268</v>
      </c>
    </row>
    <row r="105" spans="1:15" x14ac:dyDescent="0.15">
      <c r="A105" s="3">
        <v>100</v>
      </c>
      <c r="B105" s="3" t="s">
        <v>178</v>
      </c>
      <c r="M105" s="3" t="s">
        <v>1270</v>
      </c>
      <c r="N105" s="3" t="s">
        <v>1271</v>
      </c>
      <c r="O105" s="3" t="s">
        <v>1270</v>
      </c>
    </row>
    <row r="106" spans="1:15" x14ac:dyDescent="0.15">
      <c r="A106" s="3">
        <v>101</v>
      </c>
      <c r="B106" s="3" t="s">
        <v>179</v>
      </c>
      <c r="M106" s="3" t="s">
        <v>1272</v>
      </c>
      <c r="N106" s="3" t="s">
        <v>1273</v>
      </c>
      <c r="O106" s="3" t="s">
        <v>1272</v>
      </c>
    </row>
    <row r="107" spans="1:15" x14ac:dyDescent="0.15">
      <c r="A107" s="3">
        <v>102</v>
      </c>
      <c r="B107" s="3" t="s">
        <v>180</v>
      </c>
      <c r="M107" s="3" t="s">
        <v>1274</v>
      </c>
      <c r="N107" s="3" t="s">
        <v>1275</v>
      </c>
      <c r="O107" s="3" t="s">
        <v>1274</v>
      </c>
    </row>
    <row r="108" spans="1:15" x14ac:dyDescent="0.15">
      <c r="A108" s="3">
        <v>103</v>
      </c>
      <c r="B108" s="3" t="s">
        <v>181</v>
      </c>
      <c r="M108" s="3" t="s">
        <v>1276</v>
      </c>
      <c r="N108" s="3" t="s">
        <v>1277</v>
      </c>
      <c r="O108" s="3" t="s">
        <v>1276</v>
      </c>
    </row>
    <row r="109" spans="1:15" x14ac:dyDescent="0.15">
      <c r="A109" s="3">
        <v>104</v>
      </c>
      <c r="B109" s="3" t="s">
        <v>182</v>
      </c>
      <c r="M109" s="3" t="s">
        <v>1278</v>
      </c>
      <c r="N109" s="3" t="s">
        <v>1279</v>
      </c>
      <c r="O109" s="3" t="s">
        <v>1278</v>
      </c>
    </row>
    <row r="110" spans="1:15" x14ac:dyDescent="0.15">
      <c r="A110" s="3">
        <v>105</v>
      </c>
      <c r="B110" s="3" t="s">
        <v>183</v>
      </c>
      <c r="M110" s="3" t="s">
        <v>1280</v>
      </c>
      <c r="N110" s="3" t="s">
        <v>1281</v>
      </c>
      <c r="O110" s="3" t="s">
        <v>1280</v>
      </c>
    </row>
    <row r="111" spans="1:15" x14ac:dyDescent="0.15">
      <c r="A111" s="3">
        <v>106</v>
      </c>
      <c r="B111" s="3" t="s">
        <v>184</v>
      </c>
      <c r="M111" s="3" t="s">
        <v>1282</v>
      </c>
      <c r="N111" s="3" t="s">
        <v>1283</v>
      </c>
      <c r="O111" s="3" t="s">
        <v>1282</v>
      </c>
    </row>
    <row r="112" spans="1:15" x14ac:dyDescent="0.15">
      <c r="A112" s="3">
        <v>107</v>
      </c>
      <c r="B112" s="3" t="s">
        <v>185</v>
      </c>
      <c r="M112" s="3" t="s">
        <v>1284</v>
      </c>
      <c r="N112" s="3" t="s">
        <v>1285</v>
      </c>
      <c r="O112" s="3" t="s">
        <v>1284</v>
      </c>
    </row>
    <row r="113" spans="1:15" x14ac:dyDescent="0.15">
      <c r="A113" s="3">
        <v>108</v>
      </c>
      <c r="B113" s="3" t="s">
        <v>186</v>
      </c>
      <c r="M113" s="3" t="s">
        <v>1286</v>
      </c>
      <c r="N113" s="3" t="s">
        <v>1287</v>
      </c>
      <c r="O113" s="3" t="s">
        <v>1286</v>
      </c>
    </row>
    <row r="114" spans="1:15" x14ac:dyDescent="0.15">
      <c r="A114" s="3">
        <v>109</v>
      </c>
      <c r="B114" s="3" t="s">
        <v>187</v>
      </c>
      <c r="M114" s="3" t="s">
        <v>1288</v>
      </c>
      <c r="N114" s="3" t="s">
        <v>1289</v>
      </c>
      <c r="O114" s="3" t="s">
        <v>1288</v>
      </c>
    </row>
    <row r="115" spans="1:15" x14ac:dyDescent="0.15">
      <c r="A115" s="3">
        <v>110</v>
      </c>
      <c r="B115" s="3" t="s">
        <v>188</v>
      </c>
      <c r="M115" s="3" t="s">
        <v>1290</v>
      </c>
      <c r="N115" s="3" t="s">
        <v>1291</v>
      </c>
      <c r="O115" s="3" t="s">
        <v>1290</v>
      </c>
    </row>
    <row r="116" spans="1:15" x14ac:dyDescent="0.15">
      <c r="A116" s="3">
        <v>111</v>
      </c>
      <c r="B116" s="3" t="s">
        <v>189</v>
      </c>
      <c r="M116" s="3" t="s">
        <v>1292</v>
      </c>
      <c r="N116" s="3" t="s">
        <v>1293</v>
      </c>
      <c r="O116" s="3" t="s">
        <v>1292</v>
      </c>
    </row>
    <row r="117" spans="1:15" x14ac:dyDescent="0.15">
      <c r="A117" s="3">
        <v>112</v>
      </c>
      <c r="B117" s="3" t="s">
        <v>190</v>
      </c>
      <c r="M117" s="3" t="s">
        <v>1294</v>
      </c>
      <c r="N117" s="3" t="s">
        <v>1295</v>
      </c>
      <c r="O117" s="3" t="s">
        <v>1294</v>
      </c>
    </row>
    <row r="118" spans="1:15" x14ac:dyDescent="0.15">
      <c r="A118" s="3">
        <v>113</v>
      </c>
      <c r="B118" s="3" t="s">
        <v>191</v>
      </c>
      <c r="M118" s="3" t="s">
        <v>1296</v>
      </c>
      <c r="N118" s="3" t="s">
        <v>1297</v>
      </c>
      <c r="O118" s="3" t="s">
        <v>1296</v>
      </c>
    </row>
    <row r="119" spans="1:15" x14ac:dyDescent="0.15">
      <c r="A119" s="3">
        <v>114</v>
      </c>
      <c r="B119" s="3" t="s">
        <v>192</v>
      </c>
      <c r="M119" s="3" t="s">
        <v>1298</v>
      </c>
      <c r="N119" s="3" t="s">
        <v>1299</v>
      </c>
      <c r="O119" s="3" t="s">
        <v>1298</v>
      </c>
    </row>
    <row r="120" spans="1:15" x14ac:dyDescent="0.15">
      <c r="A120" s="3">
        <v>115</v>
      </c>
      <c r="B120" s="3" t="s">
        <v>193</v>
      </c>
      <c r="M120" s="3" t="s">
        <v>1300</v>
      </c>
      <c r="N120" s="3" t="s">
        <v>1301</v>
      </c>
      <c r="O120" s="3" t="s">
        <v>1300</v>
      </c>
    </row>
    <row r="121" spans="1:15" x14ac:dyDescent="0.15">
      <c r="A121" s="3">
        <v>116</v>
      </c>
      <c r="B121" s="3" t="s">
        <v>194</v>
      </c>
      <c r="M121" s="3" t="s">
        <v>1302</v>
      </c>
      <c r="N121" s="3" t="s">
        <v>1303</v>
      </c>
      <c r="O121" s="3" t="s">
        <v>1302</v>
      </c>
    </row>
    <row r="122" spans="1:15" x14ac:dyDescent="0.15">
      <c r="A122" s="3">
        <v>117</v>
      </c>
      <c r="B122" s="3" t="s">
        <v>195</v>
      </c>
      <c r="M122" s="3" t="s">
        <v>1304</v>
      </c>
      <c r="N122" s="3" t="s">
        <v>1305</v>
      </c>
      <c r="O122" s="3" t="s">
        <v>1304</v>
      </c>
    </row>
    <row r="123" spans="1:15" x14ac:dyDescent="0.15">
      <c r="A123" s="3">
        <v>118</v>
      </c>
      <c r="B123" s="3" t="s">
        <v>196</v>
      </c>
      <c r="M123" s="3" t="s">
        <v>1306</v>
      </c>
      <c r="N123" s="3" t="s">
        <v>1307</v>
      </c>
      <c r="O123" s="3" t="s">
        <v>1306</v>
      </c>
    </row>
    <row r="124" spans="1:15" x14ac:dyDescent="0.15">
      <c r="A124" s="3">
        <v>119</v>
      </c>
      <c r="B124" s="3" t="s">
        <v>197</v>
      </c>
      <c r="M124" s="3" t="s">
        <v>1308</v>
      </c>
      <c r="N124" s="3" t="s">
        <v>1309</v>
      </c>
      <c r="O124" s="3" t="s">
        <v>1308</v>
      </c>
    </row>
    <row r="125" spans="1:15" x14ac:dyDescent="0.15">
      <c r="A125" s="3">
        <v>120</v>
      </c>
      <c r="B125" s="3" t="s">
        <v>198</v>
      </c>
      <c r="M125" s="3" t="s">
        <v>1310</v>
      </c>
      <c r="N125" s="3" t="s">
        <v>1311</v>
      </c>
      <c r="O125" s="3" t="s">
        <v>1310</v>
      </c>
    </row>
    <row r="126" spans="1:15" x14ac:dyDescent="0.15">
      <c r="A126" s="3">
        <v>121</v>
      </c>
      <c r="B126" s="3" t="s">
        <v>199</v>
      </c>
      <c r="M126" s="23" t="s">
        <v>1312</v>
      </c>
      <c r="N126" s="23" t="s">
        <v>1402</v>
      </c>
      <c r="O126" s="23" t="s">
        <v>1401</v>
      </c>
    </row>
    <row r="127" spans="1:15" x14ac:dyDescent="0.15">
      <c r="A127" s="3">
        <v>122</v>
      </c>
      <c r="B127" s="3" t="s">
        <v>12</v>
      </c>
      <c r="M127" s="3" t="s">
        <v>1313</v>
      </c>
      <c r="N127" s="3" t="s">
        <v>1314</v>
      </c>
      <c r="O127" s="3" t="s">
        <v>1313</v>
      </c>
    </row>
    <row r="128" spans="1:15" x14ac:dyDescent="0.15">
      <c r="A128" s="3">
        <v>123</v>
      </c>
      <c r="B128" s="3" t="s">
        <v>200</v>
      </c>
      <c r="M128" s="3" t="s">
        <v>1315</v>
      </c>
      <c r="N128" s="3" t="s">
        <v>1316</v>
      </c>
      <c r="O128" s="3" t="s">
        <v>1315</v>
      </c>
    </row>
    <row r="129" spans="1:15" x14ac:dyDescent="0.15">
      <c r="A129" s="3">
        <v>125</v>
      </c>
      <c r="B129" s="3" t="s">
        <v>201</v>
      </c>
      <c r="M129" s="3" t="s">
        <v>1317</v>
      </c>
      <c r="N129" s="3" t="s">
        <v>1318</v>
      </c>
      <c r="O129" s="3" t="s">
        <v>1317</v>
      </c>
    </row>
    <row r="130" spans="1:15" x14ac:dyDescent="0.15">
      <c r="A130" s="3">
        <v>126</v>
      </c>
      <c r="B130" s="3" t="s">
        <v>202</v>
      </c>
      <c r="M130" s="3" t="s">
        <v>1319</v>
      </c>
      <c r="N130" s="3" t="s">
        <v>1320</v>
      </c>
      <c r="O130" s="3" t="s">
        <v>1319</v>
      </c>
    </row>
    <row r="131" spans="1:15" x14ac:dyDescent="0.15">
      <c r="A131" s="3">
        <v>127</v>
      </c>
      <c r="B131" s="3" t="s">
        <v>203</v>
      </c>
      <c r="M131" s="3" t="s">
        <v>1321</v>
      </c>
      <c r="N131" s="3" t="s">
        <v>1322</v>
      </c>
      <c r="O131" s="3" t="s">
        <v>1321</v>
      </c>
    </row>
    <row r="132" spans="1:15" x14ac:dyDescent="0.15">
      <c r="A132" s="3">
        <v>128</v>
      </c>
      <c r="B132" s="3" t="s">
        <v>204</v>
      </c>
      <c r="M132" s="3" t="s">
        <v>1323</v>
      </c>
      <c r="N132" s="3" t="s">
        <v>1324</v>
      </c>
      <c r="O132" s="3" t="s">
        <v>1323</v>
      </c>
    </row>
    <row r="133" spans="1:15" x14ac:dyDescent="0.15">
      <c r="A133" s="3">
        <v>129</v>
      </c>
      <c r="B133" s="3" t="s">
        <v>205</v>
      </c>
      <c r="M133" s="3" t="s">
        <v>1325</v>
      </c>
      <c r="N133" s="3" t="s">
        <v>1326</v>
      </c>
      <c r="O133" s="3" t="s">
        <v>1325</v>
      </c>
    </row>
    <row r="134" spans="1:15" x14ac:dyDescent="0.15">
      <c r="A134" s="3">
        <v>130</v>
      </c>
      <c r="B134" s="3" t="s">
        <v>206</v>
      </c>
      <c r="M134" s="3" t="s">
        <v>1327</v>
      </c>
      <c r="N134" s="3" t="s">
        <v>1328</v>
      </c>
      <c r="O134" s="3" t="s">
        <v>1327</v>
      </c>
    </row>
    <row r="135" spans="1:15" x14ac:dyDescent="0.15">
      <c r="A135" s="3">
        <v>131</v>
      </c>
      <c r="B135" s="3" t="s">
        <v>207</v>
      </c>
      <c r="M135" s="3" t="s">
        <v>1329</v>
      </c>
      <c r="N135" s="3" t="s">
        <v>1330</v>
      </c>
      <c r="O135" s="3" t="s">
        <v>1329</v>
      </c>
    </row>
    <row r="136" spans="1:15" x14ac:dyDescent="0.15">
      <c r="A136" s="3">
        <v>133</v>
      </c>
      <c r="B136" s="3" t="s">
        <v>208</v>
      </c>
      <c r="M136" s="3" t="s">
        <v>1331</v>
      </c>
      <c r="N136" s="3" t="s">
        <v>1332</v>
      </c>
      <c r="O136" s="3" t="s">
        <v>1331</v>
      </c>
    </row>
    <row r="137" spans="1:15" x14ac:dyDescent="0.15">
      <c r="A137" s="3">
        <v>134</v>
      </c>
      <c r="B137" s="3" t="s">
        <v>209</v>
      </c>
      <c r="M137" s="3" t="s">
        <v>1333</v>
      </c>
      <c r="N137" s="3" t="s">
        <v>1334</v>
      </c>
      <c r="O137" s="3" t="s">
        <v>1333</v>
      </c>
    </row>
    <row r="138" spans="1:15" x14ac:dyDescent="0.15">
      <c r="A138" s="3">
        <v>135</v>
      </c>
      <c r="B138" s="3" t="s">
        <v>210</v>
      </c>
      <c r="M138" s="3" t="s">
        <v>1335</v>
      </c>
      <c r="N138" s="3" t="s">
        <v>1336</v>
      </c>
      <c r="O138" s="3" t="s">
        <v>1335</v>
      </c>
    </row>
    <row r="139" spans="1:15" x14ac:dyDescent="0.15">
      <c r="A139" s="3">
        <v>136</v>
      </c>
      <c r="B139" s="3" t="s">
        <v>211</v>
      </c>
      <c r="M139" s="3" t="s">
        <v>1337</v>
      </c>
      <c r="N139" s="3" t="s">
        <v>1338</v>
      </c>
      <c r="O139" s="3" t="s">
        <v>1337</v>
      </c>
    </row>
    <row r="140" spans="1:15" x14ac:dyDescent="0.15">
      <c r="A140" s="3">
        <v>137</v>
      </c>
      <c r="B140" s="3" t="s">
        <v>212</v>
      </c>
      <c r="M140" s="3" t="s">
        <v>1339</v>
      </c>
      <c r="N140" s="3" t="s">
        <v>1340</v>
      </c>
      <c r="O140" s="3" t="s">
        <v>1339</v>
      </c>
    </row>
    <row r="141" spans="1:15" x14ac:dyDescent="0.15">
      <c r="A141" s="3">
        <v>138</v>
      </c>
      <c r="B141" s="3" t="s">
        <v>213</v>
      </c>
      <c r="M141" s="3" t="s">
        <v>1341</v>
      </c>
      <c r="N141" s="3" t="s">
        <v>1342</v>
      </c>
      <c r="O141" s="3" t="s">
        <v>1341</v>
      </c>
    </row>
    <row r="142" spans="1:15" x14ac:dyDescent="0.15">
      <c r="A142" s="3">
        <v>139</v>
      </c>
      <c r="B142" s="3" t="s">
        <v>214</v>
      </c>
      <c r="M142" s="3" t="s">
        <v>1343</v>
      </c>
      <c r="N142" s="3" t="s">
        <v>1344</v>
      </c>
      <c r="O142" s="3" t="s">
        <v>1343</v>
      </c>
    </row>
    <row r="143" spans="1:15" x14ac:dyDescent="0.15">
      <c r="A143" s="3">
        <v>140</v>
      </c>
      <c r="B143" s="3" t="s">
        <v>215</v>
      </c>
      <c r="M143" s="3" t="s">
        <v>1345</v>
      </c>
      <c r="N143" s="3" t="s">
        <v>1346</v>
      </c>
      <c r="O143" s="3" t="s">
        <v>1345</v>
      </c>
    </row>
    <row r="144" spans="1:15" x14ac:dyDescent="0.15">
      <c r="A144" s="3">
        <v>141</v>
      </c>
      <c r="B144" s="3" t="s">
        <v>216</v>
      </c>
      <c r="M144" s="3" t="s">
        <v>1347</v>
      </c>
      <c r="N144" s="3" t="s">
        <v>1348</v>
      </c>
      <c r="O144" s="3" t="s">
        <v>1347</v>
      </c>
    </row>
    <row r="145" spans="1:15" x14ac:dyDescent="0.15">
      <c r="A145" s="3">
        <v>142</v>
      </c>
      <c r="B145" s="3" t="s">
        <v>217</v>
      </c>
      <c r="M145" s="3" t="s">
        <v>1349</v>
      </c>
      <c r="N145" s="3" t="s">
        <v>1350</v>
      </c>
      <c r="O145" s="3" t="s">
        <v>1349</v>
      </c>
    </row>
    <row r="146" spans="1:15" x14ac:dyDescent="0.15">
      <c r="A146" s="3">
        <v>143</v>
      </c>
      <c r="B146" s="3" t="s">
        <v>218</v>
      </c>
      <c r="M146" s="3" t="s">
        <v>1351</v>
      </c>
      <c r="N146" s="3" t="s">
        <v>1352</v>
      </c>
      <c r="O146" s="3" t="s">
        <v>1351</v>
      </c>
    </row>
    <row r="147" spans="1:15" x14ac:dyDescent="0.15">
      <c r="A147" s="3">
        <v>144</v>
      </c>
      <c r="B147" s="3" t="s">
        <v>218</v>
      </c>
      <c r="M147" s="3" t="s">
        <v>1353</v>
      </c>
      <c r="N147" s="3" t="s">
        <v>1354</v>
      </c>
      <c r="O147" s="3" t="s">
        <v>1353</v>
      </c>
    </row>
    <row r="148" spans="1:15" x14ac:dyDescent="0.15">
      <c r="A148" s="3">
        <v>145</v>
      </c>
      <c r="B148" s="3" t="s">
        <v>218</v>
      </c>
      <c r="M148" s="3" t="s">
        <v>1355</v>
      </c>
      <c r="N148" s="3" t="s">
        <v>1356</v>
      </c>
      <c r="O148" s="3" t="s">
        <v>1355</v>
      </c>
    </row>
    <row r="149" spans="1:15" x14ac:dyDescent="0.15">
      <c r="A149" s="3">
        <v>146</v>
      </c>
      <c r="B149" s="3" t="s">
        <v>218</v>
      </c>
      <c r="M149" s="23" t="s">
        <v>1357</v>
      </c>
      <c r="N149" s="23" t="s">
        <v>1400</v>
      </c>
      <c r="O149" s="23" t="s">
        <v>1401</v>
      </c>
    </row>
    <row r="150" spans="1:15" x14ac:dyDescent="0.15">
      <c r="A150" s="3">
        <v>147</v>
      </c>
      <c r="B150" s="3" t="s">
        <v>218</v>
      </c>
      <c r="M150" s="3" t="s">
        <v>1358</v>
      </c>
      <c r="N150" s="3" t="s">
        <v>1359</v>
      </c>
      <c r="O150" s="3" t="s">
        <v>1358</v>
      </c>
    </row>
    <row r="151" spans="1:15" x14ac:dyDescent="0.15">
      <c r="A151" s="3">
        <v>148</v>
      </c>
      <c r="B151" s="3" t="s">
        <v>219</v>
      </c>
      <c r="M151" s="3" t="s">
        <v>1360</v>
      </c>
      <c r="N151" s="3" t="s">
        <v>1361</v>
      </c>
      <c r="O151" s="3" t="s">
        <v>1360</v>
      </c>
    </row>
    <row r="152" spans="1:15" x14ac:dyDescent="0.15">
      <c r="A152" s="3">
        <v>149</v>
      </c>
      <c r="B152" s="3" t="s">
        <v>220</v>
      </c>
      <c r="M152" s="3" t="s">
        <v>1362</v>
      </c>
      <c r="N152" s="3" t="s">
        <v>1363</v>
      </c>
      <c r="O152" s="3" t="s">
        <v>1362</v>
      </c>
    </row>
    <row r="153" spans="1:15" x14ac:dyDescent="0.15">
      <c r="A153" s="3">
        <v>150</v>
      </c>
      <c r="B153" s="3" t="s">
        <v>13</v>
      </c>
      <c r="M153" s="3" t="s">
        <v>1364</v>
      </c>
      <c r="N153" s="3" t="s">
        <v>1365</v>
      </c>
      <c r="O153" s="3" t="s">
        <v>1364</v>
      </c>
    </row>
    <row r="154" spans="1:15" x14ac:dyDescent="0.15">
      <c r="A154" s="3">
        <v>151</v>
      </c>
      <c r="B154" s="3" t="s">
        <v>221</v>
      </c>
      <c r="M154" s="3" t="s">
        <v>1366</v>
      </c>
      <c r="N154" s="3" t="s">
        <v>1367</v>
      </c>
      <c r="O154" s="3" t="s">
        <v>1366</v>
      </c>
    </row>
    <row r="155" spans="1:15" x14ac:dyDescent="0.15">
      <c r="A155" s="3">
        <v>152</v>
      </c>
      <c r="B155" s="3" t="s">
        <v>222</v>
      </c>
      <c r="M155" s="3" t="s">
        <v>1368</v>
      </c>
      <c r="N155" s="3" t="s">
        <v>1369</v>
      </c>
      <c r="O155" s="3" t="s">
        <v>1368</v>
      </c>
    </row>
    <row r="156" spans="1:15" x14ac:dyDescent="0.15">
      <c r="A156" s="3">
        <v>153</v>
      </c>
      <c r="B156" s="3" t="s">
        <v>223</v>
      </c>
      <c r="M156" s="3" t="s">
        <v>1370</v>
      </c>
      <c r="N156" s="3" t="s">
        <v>1371</v>
      </c>
      <c r="O156" s="3" t="s">
        <v>1370</v>
      </c>
    </row>
    <row r="157" spans="1:15" x14ac:dyDescent="0.15">
      <c r="A157" s="3">
        <v>155</v>
      </c>
      <c r="B157" s="3" t="s">
        <v>224</v>
      </c>
      <c r="M157" s="3" t="s">
        <v>1372</v>
      </c>
      <c r="N157" s="3" t="s">
        <v>1373</v>
      </c>
      <c r="O157" s="3" t="s">
        <v>1372</v>
      </c>
    </row>
    <row r="158" spans="1:15" x14ac:dyDescent="0.15">
      <c r="A158" s="3">
        <v>156</v>
      </c>
      <c r="B158" s="3" t="s">
        <v>225</v>
      </c>
      <c r="M158" s="3" t="s">
        <v>1374</v>
      </c>
      <c r="N158" s="3" t="s">
        <v>1375</v>
      </c>
      <c r="O158" s="3" t="s">
        <v>1374</v>
      </c>
    </row>
    <row r="159" spans="1:15" x14ac:dyDescent="0.15">
      <c r="A159" s="3">
        <v>157</v>
      </c>
      <c r="B159" s="3" t="s">
        <v>226</v>
      </c>
      <c r="M159" s="3" t="s">
        <v>1376</v>
      </c>
      <c r="N159" s="3" t="s">
        <v>1377</v>
      </c>
      <c r="O159" s="3" t="s">
        <v>1376</v>
      </c>
    </row>
    <row r="160" spans="1:15" x14ac:dyDescent="0.15">
      <c r="A160" s="3">
        <v>158</v>
      </c>
      <c r="B160" s="3" t="s">
        <v>227</v>
      </c>
      <c r="M160" s="3" t="s">
        <v>1378</v>
      </c>
      <c r="N160" s="3" t="s">
        <v>1379</v>
      </c>
      <c r="O160" s="3" t="s">
        <v>1378</v>
      </c>
    </row>
    <row r="161" spans="1:15" x14ac:dyDescent="0.15">
      <c r="A161" s="3">
        <v>159</v>
      </c>
      <c r="B161" s="3" t="s">
        <v>14</v>
      </c>
      <c r="M161" s="3" t="s">
        <v>1380</v>
      </c>
      <c r="N161" s="3" t="s">
        <v>1381</v>
      </c>
      <c r="O161" s="3" t="s">
        <v>1380</v>
      </c>
    </row>
    <row r="162" spans="1:15" x14ac:dyDescent="0.15">
      <c r="A162" s="3">
        <v>160</v>
      </c>
      <c r="B162" s="3" t="s">
        <v>228</v>
      </c>
      <c r="M162" s="23" t="s">
        <v>1382</v>
      </c>
      <c r="N162" s="23" t="s">
        <v>1400</v>
      </c>
      <c r="O162" s="23" t="s">
        <v>1401</v>
      </c>
    </row>
    <row r="163" spans="1:15" x14ac:dyDescent="0.15">
      <c r="A163" s="3">
        <v>161</v>
      </c>
      <c r="B163" s="3" t="s">
        <v>229</v>
      </c>
      <c r="M163" s="3" t="s">
        <v>1383</v>
      </c>
      <c r="N163" s="3" t="s">
        <v>1384</v>
      </c>
      <c r="O163" s="3" t="s">
        <v>1383</v>
      </c>
    </row>
    <row r="164" spans="1:15" x14ac:dyDescent="0.15">
      <c r="A164" s="3">
        <v>162</v>
      </c>
      <c r="B164" s="3" t="s">
        <v>230</v>
      </c>
      <c r="M164" s="3" t="s">
        <v>1385</v>
      </c>
      <c r="N164" s="3" t="s">
        <v>1386</v>
      </c>
      <c r="O164" s="3" t="s">
        <v>1385</v>
      </c>
    </row>
    <row r="165" spans="1:15" x14ac:dyDescent="0.15">
      <c r="A165" s="3">
        <v>163</v>
      </c>
      <c r="B165" s="3" t="s">
        <v>231</v>
      </c>
      <c r="M165" s="3" t="s">
        <v>1387</v>
      </c>
      <c r="N165" s="3" t="s">
        <v>1388</v>
      </c>
      <c r="O165" s="3" t="s">
        <v>1387</v>
      </c>
    </row>
    <row r="166" spans="1:15" x14ac:dyDescent="0.15">
      <c r="A166" s="3">
        <v>164</v>
      </c>
      <c r="B166" s="3" t="s">
        <v>232</v>
      </c>
      <c r="M166" s="3" t="s">
        <v>1389</v>
      </c>
      <c r="N166" s="3" t="s">
        <v>1390</v>
      </c>
      <c r="O166" s="3" t="s">
        <v>1391</v>
      </c>
    </row>
    <row r="167" spans="1:15" x14ac:dyDescent="0.15">
      <c r="A167" s="3">
        <v>165</v>
      </c>
      <c r="B167" s="3" t="s">
        <v>233</v>
      </c>
      <c r="M167" s="3" t="s">
        <v>1392</v>
      </c>
      <c r="N167" s="3" t="s">
        <v>1393</v>
      </c>
      <c r="O167" s="3" t="s">
        <v>1394</v>
      </c>
    </row>
    <row r="168" spans="1:15" x14ac:dyDescent="0.15">
      <c r="A168" s="3">
        <v>167</v>
      </c>
      <c r="B168" s="3" t="s">
        <v>234</v>
      </c>
      <c r="M168" s="3">
        <v>666666</v>
      </c>
      <c r="N168" s="3" t="s">
        <v>1395</v>
      </c>
      <c r="O168" s="3">
        <v>666666</v>
      </c>
    </row>
    <row r="169" spans="1:15" x14ac:dyDescent="0.15">
      <c r="A169" s="3">
        <v>169</v>
      </c>
      <c r="B169" s="3" t="s">
        <v>235</v>
      </c>
      <c r="M169" s="3" t="s">
        <v>1396</v>
      </c>
      <c r="N169" s="3" t="s">
        <v>1397</v>
      </c>
      <c r="O169" s="3" t="s">
        <v>1396</v>
      </c>
    </row>
    <row r="170" spans="1:15" x14ac:dyDescent="0.15">
      <c r="A170" s="3">
        <v>170</v>
      </c>
      <c r="B170" s="3" t="s">
        <v>236</v>
      </c>
      <c r="M170" s="3" t="s">
        <v>1398</v>
      </c>
      <c r="N170" s="3" t="s">
        <v>1399</v>
      </c>
      <c r="O170" s="3" t="s">
        <v>1398</v>
      </c>
    </row>
    <row r="171" spans="1:15" x14ac:dyDescent="0.15">
      <c r="A171" s="3">
        <v>171</v>
      </c>
      <c r="B171" s="3" t="s">
        <v>237</v>
      </c>
      <c r="M171" s="3"/>
      <c r="N171" s="3"/>
      <c r="O171" s="3"/>
    </row>
    <row r="172" spans="1:15" x14ac:dyDescent="0.15">
      <c r="A172" s="3">
        <v>172</v>
      </c>
      <c r="B172" s="3" t="s">
        <v>15</v>
      </c>
      <c r="M172" s="3"/>
      <c r="N172" s="3"/>
      <c r="O172" s="3"/>
    </row>
    <row r="173" spans="1:15" x14ac:dyDescent="0.15">
      <c r="A173" s="3">
        <v>173</v>
      </c>
      <c r="B173" s="3" t="s">
        <v>238</v>
      </c>
      <c r="M173" s="3"/>
      <c r="N173" s="3"/>
      <c r="O173" s="3"/>
    </row>
    <row r="174" spans="1:15" x14ac:dyDescent="0.15">
      <c r="A174" s="3">
        <v>174</v>
      </c>
      <c r="B174" s="3" t="s">
        <v>239</v>
      </c>
      <c r="M174" s="3"/>
      <c r="N174" s="3"/>
      <c r="O174" s="3"/>
    </row>
    <row r="175" spans="1:15" x14ac:dyDescent="0.15">
      <c r="A175" s="3">
        <v>175</v>
      </c>
      <c r="B175" s="3" t="s">
        <v>44</v>
      </c>
      <c r="M175" s="3"/>
      <c r="N175" s="3"/>
      <c r="O175" s="3"/>
    </row>
    <row r="176" spans="1:15" x14ac:dyDescent="0.15">
      <c r="A176" s="3">
        <v>176</v>
      </c>
      <c r="B176" s="3" t="s">
        <v>240</v>
      </c>
      <c r="M176" s="3"/>
      <c r="N176" s="3"/>
      <c r="O176" s="3"/>
    </row>
    <row r="177" spans="1:15" x14ac:dyDescent="0.15">
      <c r="A177" s="3">
        <v>177</v>
      </c>
      <c r="B177" s="3" t="s">
        <v>241</v>
      </c>
      <c r="M177" s="3"/>
      <c r="N177" s="3"/>
      <c r="O177" s="3"/>
    </row>
    <row r="178" spans="1:15" x14ac:dyDescent="0.15">
      <c r="A178" s="3">
        <v>178</v>
      </c>
      <c r="B178" s="3" t="s">
        <v>242</v>
      </c>
      <c r="M178" s="3"/>
      <c r="N178" s="3"/>
      <c r="O178" s="3"/>
    </row>
    <row r="179" spans="1:15" x14ac:dyDescent="0.15">
      <c r="A179" s="3">
        <v>179</v>
      </c>
      <c r="B179" s="3" t="s">
        <v>243</v>
      </c>
      <c r="M179" s="3"/>
      <c r="N179" s="3"/>
      <c r="O179" s="3"/>
    </row>
    <row r="180" spans="1:15" x14ac:dyDescent="0.15">
      <c r="A180" s="3">
        <v>181</v>
      </c>
      <c r="B180" s="3" t="s">
        <v>244</v>
      </c>
      <c r="M180" s="3"/>
      <c r="N180" s="3"/>
      <c r="O180" s="3"/>
    </row>
    <row r="181" spans="1:15" x14ac:dyDescent="0.15">
      <c r="A181" s="3">
        <v>182</v>
      </c>
      <c r="B181" s="3" t="s">
        <v>245</v>
      </c>
      <c r="M181" s="3"/>
      <c r="N181" s="3"/>
      <c r="O181" s="3"/>
    </row>
    <row r="182" spans="1:15" x14ac:dyDescent="0.15">
      <c r="A182" s="3">
        <v>183</v>
      </c>
      <c r="B182" s="3" t="s">
        <v>246</v>
      </c>
      <c r="M182" s="3"/>
      <c r="N182" s="3"/>
      <c r="O182" s="3"/>
    </row>
    <row r="183" spans="1:15" x14ac:dyDescent="0.15">
      <c r="A183" s="3">
        <v>184</v>
      </c>
      <c r="B183" s="3" t="s">
        <v>247</v>
      </c>
      <c r="M183" s="3"/>
      <c r="N183" s="3"/>
      <c r="O183" s="3"/>
    </row>
    <row r="184" spans="1:15" x14ac:dyDescent="0.15">
      <c r="A184" s="3">
        <v>186</v>
      </c>
      <c r="B184" s="3" t="s">
        <v>16</v>
      </c>
      <c r="M184" s="3"/>
      <c r="N184" s="3"/>
      <c r="O184" s="3"/>
    </row>
    <row r="185" spans="1:15" x14ac:dyDescent="0.15">
      <c r="A185" s="3">
        <v>187</v>
      </c>
      <c r="B185" s="3" t="s">
        <v>248</v>
      </c>
      <c r="M185" s="3"/>
      <c r="N185" s="3"/>
      <c r="O185" s="3"/>
    </row>
    <row r="186" spans="1:15" x14ac:dyDescent="0.15">
      <c r="A186" s="3">
        <v>189</v>
      </c>
      <c r="B186" s="3" t="s">
        <v>249</v>
      </c>
      <c r="M186" s="3"/>
      <c r="N186" s="3"/>
      <c r="O186" s="3"/>
    </row>
    <row r="187" spans="1:15" x14ac:dyDescent="0.15">
      <c r="A187" s="3">
        <v>190</v>
      </c>
      <c r="B187" s="3" t="s">
        <v>250</v>
      </c>
      <c r="M187" s="3"/>
      <c r="N187" s="3"/>
      <c r="O187" s="3"/>
    </row>
    <row r="188" spans="1:15" x14ac:dyDescent="0.15">
      <c r="A188" s="3">
        <v>191</v>
      </c>
      <c r="B188" s="3" t="s">
        <v>251</v>
      </c>
      <c r="M188" s="3"/>
      <c r="N188" s="3"/>
      <c r="O188" s="3"/>
    </row>
    <row r="189" spans="1:15" x14ac:dyDescent="0.15">
      <c r="A189" s="3">
        <v>192</v>
      </c>
      <c r="B189" s="3" t="s">
        <v>252</v>
      </c>
      <c r="M189" s="3"/>
      <c r="N189" s="3"/>
      <c r="O189" s="3"/>
    </row>
    <row r="190" spans="1:15" x14ac:dyDescent="0.15">
      <c r="A190" s="3">
        <v>193</v>
      </c>
      <c r="B190" s="3" t="s">
        <v>253</v>
      </c>
      <c r="M190" s="3"/>
      <c r="N190" s="3"/>
      <c r="O190" s="3"/>
    </row>
    <row r="191" spans="1:15" x14ac:dyDescent="0.15">
      <c r="A191" s="3">
        <v>194</v>
      </c>
      <c r="B191" s="3" t="s">
        <v>254</v>
      </c>
      <c r="M191" s="3"/>
      <c r="N191" s="3"/>
      <c r="O191" s="3"/>
    </row>
    <row r="192" spans="1:15" x14ac:dyDescent="0.15">
      <c r="A192" s="3">
        <v>195</v>
      </c>
      <c r="B192" s="3" t="s">
        <v>255</v>
      </c>
      <c r="M192" s="3"/>
      <c r="N192" s="3"/>
      <c r="O192" s="3"/>
    </row>
    <row r="193" spans="1:15" x14ac:dyDescent="0.15">
      <c r="A193" s="3">
        <v>196</v>
      </c>
      <c r="B193" s="3" t="s">
        <v>256</v>
      </c>
      <c r="M193" s="3"/>
      <c r="N193" s="3"/>
      <c r="O193" s="3"/>
    </row>
    <row r="194" spans="1:15" x14ac:dyDescent="0.15">
      <c r="A194" s="3">
        <v>197</v>
      </c>
      <c r="B194" s="3" t="s">
        <v>253</v>
      </c>
      <c r="M194" s="3"/>
      <c r="N194" s="3"/>
      <c r="O194" s="3"/>
    </row>
    <row r="195" spans="1:15" x14ac:dyDescent="0.15">
      <c r="A195" s="3">
        <v>198</v>
      </c>
      <c r="B195" s="3" t="s">
        <v>257</v>
      </c>
      <c r="M195" s="3"/>
      <c r="N195" s="3"/>
      <c r="O195" s="3"/>
    </row>
    <row r="196" spans="1:15" x14ac:dyDescent="0.15">
      <c r="A196" s="3">
        <v>199</v>
      </c>
      <c r="B196" s="3" t="s">
        <v>258</v>
      </c>
      <c r="M196" s="3"/>
      <c r="N196" s="3"/>
      <c r="O196" s="3"/>
    </row>
    <row r="197" spans="1:15" x14ac:dyDescent="0.15">
      <c r="A197" s="3">
        <v>200</v>
      </c>
      <c r="B197" s="3" t="s">
        <v>259</v>
      </c>
      <c r="M197" s="3"/>
      <c r="N197" s="3"/>
      <c r="O197" s="3"/>
    </row>
    <row r="198" spans="1:15" x14ac:dyDescent="0.15">
      <c r="A198" s="3">
        <v>203</v>
      </c>
      <c r="B198" s="3" t="s">
        <v>260</v>
      </c>
      <c r="M198" s="3"/>
      <c r="N198" s="3"/>
      <c r="O198" s="3"/>
    </row>
    <row r="199" spans="1:15" x14ac:dyDescent="0.15">
      <c r="A199" s="3">
        <v>204</v>
      </c>
      <c r="B199" s="3" t="s">
        <v>261</v>
      </c>
      <c r="M199" s="3"/>
      <c r="N199" s="3"/>
      <c r="O199" s="3"/>
    </row>
    <row r="200" spans="1:15" x14ac:dyDescent="0.15">
      <c r="A200" s="3">
        <v>205</v>
      </c>
      <c r="B200" s="3" t="s">
        <v>262</v>
      </c>
      <c r="M200" s="3"/>
      <c r="N200" s="3"/>
      <c r="O200" s="3"/>
    </row>
    <row r="201" spans="1:15" x14ac:dyDescent="0.15">
      <c r="A201" s="3">
        <v>206</v>
      </c>
      <c r="B201" s="3" t="s">
        <v>263</v>
      </c>
      <c r="M201" s="3"/>
      <c r="N201" s="3"/>
      <c r="O201" s="3"/>
    </row>
    <row r="202" spans="1:15" x14ac:dyDescent="0.15">
      <c r="A202" s="3">
        <v>209</v>
      </c>
      <c r="B202" s="3" t="s">
        <v>264</v>
      </c>
      <c r="M202" s="3"/>
      <c r="N202" s="3"/>
      <c r="O202" s="3"/>
    </row>
    <row r="203" spans="1:15" x14ac:dyDescent="0.15">
      <c r="A203" s="3">
        <v>211</v>
      </c>
      <c r="B203" s="3" t="s">
        <v>265</v>
      </c>
      <c r="M203" s="3"/>
      <c r="N203" s="3"/>
      <c r="O203" s="3"/>
    </row>
    <row r="204" spans="1:15" x14ac:dyDescent="0.15">
      <c r="A204" s="3">
        <v>212</v>
      </c>
      <c r="B204" s="3" t="s">
        <v>266</v>
      </c>
      <c r="M204" s="3"/>
      <c r="N204" s="3"/>
      <c r="O204" s="3"/>
    </row>
    <row r="205" spans="1:15" x14ac:dyDescent="0.15">
      <c r="A205" s="3">
        <v>213</v>
      </c>
      <c r="B205" s="3" t="s">
        <v>267</v>
      </c>
      <c r="M205" s="3"/>
      <c r="N205" s="3"/>
      <c r="O205" s="3"/>
    </row>
    <row r="206" spans="1:15" x14ac:dyDescent="0.15">
      <c r="A206" s="3">
        <v>214</v>
      </c>
      <c r="B206" s="3" t="s">
        <v>17</v>
      </c>
      <c r="M206" s="3"/>
      <c r="N206" s="3"/>
      <c r="O206" s="3"/>
    </row>
    <row r="207" spans="1:15" x14ac:dyDescent="0.15">
      <c r="A207" s="3">
        <v>215</v>
      </c>
      <c r="B207" s="3" t="s">
        <v>268</v>
      </c>
      <c r="M207" s="3"/>
      <c r="N207" s="3"/>
      <c r="O207" s="3"/>
    </row>
    <row r="208" spans="1:15" x14ac:dyDescent="0.15">
      <c r="A208" s="3">
        <v>216</v>
      </c>
      <c r="B208" s="3" t="s">
        <v>18</v>
      </c>
      <c r="M208" s="3"/>
      <c r="N208" s="3"/>
      <c r="O208" s="3"/>
    </row>
    <row r="209" spans="1:15" x14ac:dyDescent="0.15">
      <c r="A209" s="3">
        <v>217</v>
      </c>
      <c r="B209" s="3" t="s">
        <v>19</v>
      </c>
      <c r="M209" s="3"/>
      <c r="N209" s="3"/>
      <c r="O209" s="3"/>
    </row>
    <row r="210" spans="1:15" x14ac:dyDescent="0.15">
      <c r="A210" s="3">
        <v>218</v>
      </c>
      <c r="B210" s="3" t="s">
        <v>269</v>
      </c>
      <c r="M210" s="3"/>
      <c r="N210" s="3"/>
      <c r="O210" s="3"/>
    </row>
    <row r="211" spans="1:15" x14ac:dyDescent="0.15">
      <c r="A211" s="3">
        <v>219</v>
      </c>
      <c r="B211" s="3" t="s">
        <v>270</v>
      </c>
      <c r="M211" s="3"/>
      <c r="N211" s="3"/>
      <c r="O211" s="3"/>
    </row>
    <row r="212" spans="1:15" x14ac:dyDescent="0.15">
      <c r="A212" s="3">
        <v>220</v>
      </c>
      <c r="B212" s="3" t="s">
        <v>271</v>
      </c>
      <c r="M212" s="3"/>
      <c r="N212" s="3"/>
      <c r="O212" s="3"/>
    </row>
    <row r="213" spans="1:15" x14ac:dyDescent="0.15">
      <c r="A213" s="3">
        <v>221</v>
      </c>
      <c r="B213" s="3" t="s">
        <v>272</v>
      </c>
      <c r="M213" s="3"/>
      <c r="N213" s="3"/>
      <c r="O213" s="3"/>
    </row>
    <row r="214" spans="1:15" x14ac:dyDescent="0.15">
      <c r="A214" s="3">
        <v>222</v>
      </c>
      <c r="B214" s="3" t="s">
        <v>273</v>
      </c>
      <c r="M214" s="3"/>
      <c r="N214" s="3"/>
      <c r="O214" s="3"/>
    </row>
    <row r="215" spans="1:15" x14ac:dyDescent="0.15">
      <c r="A215" s="3">
        <v>224</v>
      </c>
      <c r="B215" s="3" t="s">
        <v>274</v>
      </c>
      <c r="M215" s="3"/>
      <c r="N215" s="3"/>
      <c r="O215" s="3"/>
    </row>
    <row r="216" spans="1:15" x14ac:dyDescent="0.15">
      <c r="A216" s="3">
        <v>225</v>
      </c>
      <c r="B216" s="3" t="s">
        <v>275</v>
      </c>
      <c r="M216" s="3"/>
      <c r="N216" s="3"/>
      <c r="O216" s="3"/>
    </row>
    <row r="217" spans="1:15" x14ac:dyDescent="0.15">
      <c r="A217" s="3">
        <v>227</v>
      </c>
      <c r="B217" s="3" t="s">
        <v>276</v>
      </c>
      <c r="M217" s="3"/>
      <c r="N217" s="3"/>
      <c r="O217" s="3"/>
    </row>
    <row r="218" spans="1:15" x14ac:dyDescent="0.15">
      <c r="A218" s="3">
        <v>228</v>
      </c>
      <c r="B218" s="3" t="s">
        <v>277</v>
      </c>
      <c r="M218" s="3"/>
      <c r="N218" s="3"/>
      <c r="O218" s="3"/>
    </row>
    <row r="219" spans="1:15" x14ac:dyDescent="0.15">
      <c r="A219" s="3">
        <v>229</v>
      </c>
      <c r="B219" s="3" t="s">
        <v>278</v>
      </c>
      <c r="M219" s="3"/>
      <c r="N219" s="3"/>
      <c r="O219" s="3"/>
    </row>
    <row r="220" spans="1:15" x14ac:dyDescent="0.15">
      <c r="A220" s="3">
        <v>230</v>
      </c>
      <c r="B220" s="3" t="s">
        <v>279</v>
      </c>
      <c r="M220" s="3"/>
      <c r="N220" s="3"/>
      <c r="O220" s="3"/>
    </row>
    <row r="221" spans="1:15" x14ac:dyDescent="0.15">
      <c r="A221" s="3">
        <v>231</v>
      </c>
      <c r="B221" s="3" t="s">
        <v>280</v>
      </c>
      <c r="M221" s="3"/>
      <c r="N221" s="3"/>
      <c r="O221" s="3"/>
    </row>
    <row r="222" spans="1:15" x14ac:dyDescent="0.15">
      <c r="A222" s="3">
        <v>232</v>
      </c>
      <c r="B222" s="3" t="s">
        <v>281</v>
      </c>
      <c r="M222" s="3"/>
      <c r="N222" s="3"/>
      <c r="O222" s="3"/>
    </row>
    <row r="223" spans="1:15" x14ac:dyDescent="0.15">
      <c r="A223" s="3">
        <v>233</v>
      </c>
      <c r="B223" s="3" t="s">
        <v>282</v>
      </c>
      <c r="M223" s="3"/>
      <c r="N223" s="3"/>
      <c r="O223" s="3"/>
    </row>
    <row r="224" spans="1:15" x14ac:dyDescent="0.15">
      <c r="A224" s="3">
        <v>234</v>
      </c>
      <c r="B224" s="3" t="s">
        <v>283</v>
      </c>
      <c r="M224" s="3"/>
      <c r="N224" s="3"/>
      <c r="O224" s="3"/>
    </row>
    <row r="225" spans="1:15" x14ac:dyDescent="0.15">
      <c r="A225" s="3">
        <v>235</v>
      </c>
      <c r="B225" s="3" t="s">
        <v>284</v>
      </c>
      <c r="M225" s="3"/>
      <c r="N225" s="3"/>
      <c r="O225" s="3"/>
    </row>
    <row r="226" spans="1:15" x14ac:dyDescent="0.15">
      <c r="A226" s="3">
        <v>236</v>
      </c>
      <c r="B226" s="3" t="s">
        <v>285</v>
      </c>
      <c r="M226" s="3"/>
      <c r="N226" s="3"/>
      <c r="O226" s="3"/>
    </row>
    <row r="227" spans="1:15" x14ac:dyDescent="0.15">
      <c r="A227" s="3">
        <v>237</v>
      </c>
      <c r="B227" s="3" t="s">
        <v>286</v>
      </c>
      <c r="M227" s="3"/>
      <c r="N227" s="3"/>
      <c r="O227" s="3"/>
    </row>
    <row r="228" spans="1:15" x14ac:dyDescent="0.15">
      <c r="A228" s="3">
        <v>238</v>
      </c>
      <c r="B228" s="3" t="s">
        <v>287</v>
      </c>
      <c r="M228" s="3"/>
      <c r="N228" s="3"/>
      <c r="O228" s="3"/>
    </row>
    <row r="229" spans="1:15" x14ac:dyDescent="0.15">
      <c r="A229" s="3">
        <v>239</v>
      </c>
      <c r="B229" s="3" t="s">
        <v>20</v>
      </c>
      <c r="M229" s="3"/>
      <c r="N229" s="3"/>
      <c r="O229" s="3"/>
    </row>
    <row r="230" spans="1:15" x14ac:dyDescent="0.15">
      <c r="A230" s="3">
        <v>240</v>
      </c>
      <c r="B230" s="3" t="s">
        <v>288</v>
      </c>
      <c r="M230" s="3"/>
      <c r="N230" s="3"/>
      <c r="O230" s="3"/>
    </row>
    <row r="231" spans="1:15" x14ac:dyDescent="0.15">
      <c r="A231" s="3">
        <v>241</v>
      </c>
      <c r="B231" s="3" t="s">
        <v>289</v>
      </c>
      <c r="M231" s="3"/>
      <c r="N231" s="3"/>
      <c r="O231" s="3"/>
    </row>
    <row r="232" spans="1:15" x14ac:dyDescent="0.15">
      <c r="A232" s="3">
        <v>242</v>
      </c>
      <c r="B232" s="3" t="s">
        <v>290</v>
      </c>
      <c r="M232" s="3"/>
      <c r="N232" s="3"/>
      <c r="O232" s="3"/>
    </row>
    <row r="233" spans="1:15" x14ac:dyDescent="0.15">
      <c r="A233" s="3">
        <v>243</v>
      </c>
      <c r="B233" s="3" t="s">
        <v>21</v>
      </c>
      <c r="M233" s="3"/>
      <c r="N233" s="3"/>
      <c r="O233" s="3"/>
    </row>
    <row r="234" spans="1:15" x14ac:dyDescent="0.15">
      <c r="A234" s="3">
        <v>244</v>
      </c>
      <c r="B234" s="3" t="s">
        <v>291</v>
      </c>
      <c r="M234" s="3"/>
      <c r="N234" s="3"/>
      <c r="O234" s="3"/>
    </row>
    <row r="235" spans="1:15" x14ac:dyDescent="0.15">
      <c r="A235" s="3">
        <v>245</v>
      </c>
      <c r="B235" s="3" t="s">
        <v>292</v>
      </c>
      <c r="M235" s="3"/>
      <c r="N235" s="3"/>
      <c r="O235" s="3"/>
    </row>
    <row r="236" spans="1:15" x14ac:dyDescent="0.15">
      <c r="A236" s="3">
        <v>246</v>
      </c>
      <c r="B236" s="3" t="s">
        <v>293</v>
      </c>
      <c r="M236" s="3"/>
      <c r="N236" s="3"/>
      <c r="O236" s="3"/>
    </row>
    <row r="237" spans="1:15" x14ac:dyDescent="0.15">
      <c r="A237" s="3">
        <v>247</v>
      </c>
      <c r="B237" s="3" t="s">
        <v>294</v>
      </c>
      <c r="M237" s="3"/>
      <c r="N237" s="3"/>
      <c r="O237" s="3"/>
    </row>
    <row r="238" spans="1:15" x14ac:dyDescent="0.15">
      <c r="A238" s="3">
        <v>248</v>
      </c>
      <c r="B238" s="3" t="s">
        <v>295</v>
      </c>
      <c r="M238" s="3"/>
      <c r="N238" s="3"/>
      <c r="O238" s="3"/>
    </row>
    <row r="239" spans="1:15" x14ac:dyDescent="0.15">
      <c r="A239" s="3">
        <v>249</v>
      </c>
      <c r="B239" s="3" t="s">
        <v>296</v>
      </c>
      <c r="M239" s="3"/>
      <c r="N239" s="3"/>
      <c r="O239" s="3"/>
    </row>
    <row r="240" spans="1:15" x14ac:dyDescent="0.15">
      <c r="A240" s="3">
        <v>250</v>
      </c>
      <c r="B240" s="3" t="s">
        <v>297</v>
      </c>
      <c r="M240" s="3"/>
      <c r="N240" s="3"/>
      <c r="O240" s="3"/>
    </row>
    <row r="241" spans="1:15" x14ac:dyDescent="0.15">
      <c r="A241" s="3">
        <v>251</v>
      </c>
      <c r="B241" s="3" t="s">
        <v>298</v>
      </c>
      <c r="M241" s="3"/>
      <c r="N241" s="3"/>
      <c r="O241" s="3"/>
    </row>
    <row r="242" spans="1:15" x14ac:dyDescent="0.15">
      <c r="A242" s="3">
        <v>256</v>
      </c>
      <c r="B242" s="3" t="s">
        <v>299</v>
      </c>
      <c r="M242" s="3"/>
      <c r="N242" s="3"/>
      <c r="O242" s="3"/>
    </row>
    <row r="243" spans="1:15" x14ac:dyDescent="0.15">
      <c r="A243" s="3">
        <v>257</v>
      </c>
      <c r="B243" s="3" t="s">
        <v>300</v>
      </c>
      <c r="M243" s="3"/>
      <c r="N243" s="3"/>
      <c r="O243" s="3"/>
    </row>
    <row r="244" spans="1:15" x14ac:dyDescent="0.15">
      <c r="A244" s="3">
        <v>258</v>
      </c>
      <c r="B244" s="3" t="s">
        <v>301</v>
      </c>
      <c r="M244" s="3"/>
      <c r="N244" s="3"/>
      <c r="O244" s="3"/>
    </row>
    <row r="245" spans="1:15" x14ac:dyDescent="0.15">
      <c r="A245" s="3">
        <v>259</v>
      </c>
      <c r="B245" s="3" t="s">
        <v>302</v>
      </c>
      <c r="M245" s="3"/>
      <c r="N245" s="3"/>
      <c r="O245" s="3"/>
    </row>
    <row r="246" spans="1:15" x14ac:dyDescent="0.15">
      <c r="A246" s="3">
        <v>260</v>
      </c>
      <c r="B246" s="3" t="s">
        <v>303</v>
      </c>
      <c r="M246" s="3"/>
      <c r="N246" s="3"/>
      <c r="O246" s="3"/>
    </row>
    <row r="247" spans="1:15" x14ac:dyDescent="0.15">
      <c r="A247" s="3">
        <v>261</v>
      </c>
      <c r="B247" s="3" t="s">
        <v>304</v>
      </c>
      <c r="M247" s="3"/>
      <c r="N247" s="3"/>
      <c r="O247" s="3"/>
    </row>
    <row r="248" spans="1:15" x14ac:dyDescent="0.15">
      <c r="A248" s="3">
        <v>262</v>
      </c>
      <c r="B248" s="3" t="s">
        <v>305</v>
      </c>
      <c r="M248" s="3"/>
      <c r="N248" s="3"/>
      <c r="O248" s="3"/>
    </row>
    <row r="249" spans="1:15" x14ac:dyDescent="0.15">
      <c r="A249" s="3">
        <v>263</v>
      </c>
      <c r="B249" s="3" t="s">
        <v>306</v>
      </c>
      <c r="M249" s="3"/>
      <c r="N249" s="3"/>
      <c r="O249" s="3"/>
    </row>
    <row r="250" spans="1:15" x14ac:dyDescent="0.15">
      <c r="A250" s="3">
        <v>264</v>
      </c>
      <c r="B250" s="3" t="s">
        <v>307</v>
      </c>
      <c r="M250" s="3"/>
      <c r="N250" s="3"/>
      <c r="O250" s="3"/>
    </row>
    <row r="251" spans="1:15" x14ac:dyDescent="0.15">
      <c r="A251" s="3">
        <v>265</v>
      </c>
      <c r="B251" s="3" t="s">
        <v>308</v>
      </c>
      <c r="M251" s="3"/>
      <c r="N251" s="3"/>
      <c r="O251" s="3"/>
    </row>
    <row r="252" spans="1:15" x14ac:dyDescent="0.15">
      <c r="A252" s="3">
        <v>266</v>
      </c>
      <c r="B252" s="3" t="s">
        <v>309</v>
      </c>
      <c r="M252" s="3"/>
      <c r="N252" s="3"/>
      <c r="O252" s="3"/>
    </row>
    <row r="253" spans="1:15" x14ac:dyDescent="0.15">
      <c r="A253" s="3">
        <v>267</v>
      </c>
      <c r="B253" s="3" t="s">
        <v>310</v>
      </c>
      <c r="M253" s="3"/>
      <c r="N253" s="3"/>
      <c r="O253" s="3"/>
    </row>
    <row r="254" spans="1:15" x14ac:dyDescent="0.15">
      <c r="A254" s="3">
        <v>268</v>
      </c>
      <c r="B254" s="3" t="s">
        <v>311</v>
      </c>
      <c r="M254" s="3"/>
      <c r="N254" s="3"/>
      <c r="O254" s="3"/>
    </row>
    <row r="255" spans="1:15" x14ac:dyDescent="0.15">
      <c r="A255" s="3">
        <v>269</v>
      </c>
      <c r="B255" s="3" t="s">
        <v>312</v>
      </c>
      <c r="M255" s="3"/>
      <c r="N255" s="3"/>
      <c r="O255" s="3"/>
    </row>
    <row r="256" spans="1:15" x14ac:dyDescent="0.15">
      <c r="A256" s="3">
        <v>270</v>
      </c>
      <c r="B256" s="3" t="s">
        <v>313</v>
      </c>
      <c r="M256" s="3"/>
      <c r="N256" s="3"/>
      <c r="O256" s="3"/>
    </row>
    <row r="257" spans="1:15" x14ac:dyDescent="0.15">
      <c r="A257" s="3">
        <v>271</v>
      </c>
      <c r="B257" s="3" t="s">
        <v>314</v>
      </c>
      <c r="M257" s="3"/>
      <c r="N257" s="3"/>
      <c r="O257" s="3"/>
    </row>
    <row r="258" spans="1:15" x14ac:dyDescent="0.15">
      <c r="A258" s="3">
        <v>272</v>
      </c>
      <c r="B258" s="3" t="s">
        <v>315</v>
      </c>
      <c r="M258" s="3"/>
      <c r="N258" s="3"/>
      <c r="O258" s="3"/>
    </row>
    <row r="259" spans="1:15" x14ac:dyDescent="0.15">
      <c r="A259" s="3">
        <v>273</v>
      </c>
      <c r="B259" s="3" t="s">
        <v>316</v>
      </c>
      <c r="M259" s="3"/>
      <c r="N259" s="3"/>
      <c r="O259" s="3"/>
    </row>
    <row r="260" spans="1:15" x14ac:dyDescent="0.15">
      <c r="A260" s="3">
        <v>274</v>
      </c>
      <c r="B260" s="3" t="s">
        <v>304</v>
      </c>
      <c r="M260" s="3"/>
      <c r="N260" s="3"/>
      <c r="O260" s="3"/>
    </row>
    <row r="261" spans="1:15" x14ac:dyDescent="0.15">
      <c r="A261" s="3">
        <v>275</v>
      </c>
      <c r="B261" s="3" t="s">
        <v>317</v>
      </c>
      <c r="M261" s="3"/>
      <c r="N261" s="3"/>
      <c r="O261" s="3"/>
    </row>
    <row r="262" spans="1:15" x14ac:dyDescent="0.15">
      <c r="A262" s="3">
        <v>276</v>
      </c>
      <c r="B262" s="3" t="s">
        <v>318</v>
      </c>
      <c r="M262" s="3"/>
      <c r="N262" s="3"/>
      <c r="O262" s="3"/>
    </row>
    <row r="263" spans="1:15" x14ac:dyDescent="0.15">
      <c r="A263" s="3">
        <v>277</v>
      </c>
      <c r="B263" s="3" t="s">
        <v>319</v>
      </c>
      <c r="M263" s="3"/>
      <c r="N263" s="3"/>
      <c r="O263" s="3"/>
    </row>
    <row r="264" spans="1:15" x14ac:dyDescent="0.15">
      <c r="A264" s="3">
        <v>278</v>
      </c>
      <c r="B264" s="3" t="s">
        <v>318</v>
      </c>
      <c r="M264" s="3"/>
      <c r="N264" s="3"/>
      <c r="O264" s="3"/>
    </row>
    <row r="265" spans="1:15" x14ac:dyDescent="0.15">
      <c r="A265" s="3">
        <v>279</v>
      </c>
      <c r="B265" s="3" t="s">
        <v>318</v>
      </c>
      <c r="M265" s="3"/>
      <c r="N265" s="3"/>
      <c r="O265" s="3"/>
    </row>
    <row r="266" spans="1:15" x14ac:dyDescent="0.15">
      <c r="A266" s="3">
        <v>280</v>
      </c>
      <c r="B266" s="3" t="s">
        <v>318</v>
      </c>
      <c r="M266" s="3"/>
      <c r="N266" s="3"/>
      <c r="O266" s="3"/>
    </row>
    <row r="267" spans="1:15" x14ac:dyDescent="0.15">
      <c r="A267" s="3">
        <v>281</v>
      </c>
      <c r="B267" s="3" t="s">
        <v>318</v>
      </c>
      <c r="M267" s="3"/>
      <c r="N267" s="3"/>
      <c r="O267" s="3"/>
    </row>
    <row r="268" spans="1:15" x14ac:dyDescent="0.15">
      <c r="A268" s="3">
        <v>282</v>
      </c>
      <c r="B268" s="3">
        <v>1024</v>
      </c>
      <c r="M268" s="3"/>
      <c r="N268" s="3"/>
      <c r="O268" s="3"/>
    </row>
    <row r="269" spans="1:15" x14ac:dyDescent="0.15">
      <c r="A269" s="3">
        <v>283</v>
      </c>
      <c r="B269" s="3" t="s">
        <v>320</v>
      </c>
      <c r="M269" s="3"/>
      <c r="N269" s="3"/>
      <c r="O269" s="3"/>
    </row>
    <row r="270" spans="1:15" x14ac:dyDescent="0.15">
      <c r="A270" s="3">
        <v>284</v>
      </c>
      <c r="B270" s="3" t="s">
        <v>321</v>
      </c>
      <c r="M270" s="3"/>
      <c r="N270" s="3"/>
      <c r="O270" s="3"/>
    </row>
    <row r="271" spans="1:15" x14ac:dyDescent="0.15">
      <c r="A271" s="3">
        <v>285</v>
      </c>
      <c r="B271" s="3" t="s">
        <v>322</v>
      </c>
      <c r="M271" s="3"/>
      <c r="N271" s="3"/>
      <c r="O271" s="3"/>
    </row>
    <row r="272" spans="1:15" x14ac:dyDescent="0.15">
      <c r="A272" s="3">
        <v>286</v>
      </c>
      <c r="B272" s="3" t="s">
        <v>323</v>
      </c>
      <c r="M272" s="3"/>
      <c r="N272" s="3"/>
      <c r="O272" s="3"/>
    </row>
    <row r="273" spans="1:15" x14ac:dyDescent="0.15">
      <c r="A273" s="3">
        <v>287</v>
      </c>
      <c r="B273" s="3" t="s">
        <v>324</v>
      </c>
      <c r="M273" s="3"/>
      <c r="N273" s="3"/>
      <c r="O273" s="3"/>
    </row>
    <row r="274" spans="1:15" x14ac:dyDescent="0.15">
      <c r="A274" s="3">
        <v>288</v>
      </c>
      <c r="B274" s="3" t="s">
        <v>325</v>
      </c>
      <c r="M274" s="3"/>
      <c r="N274" s="3"/>
      <c r="O274" s="3"/>
    </row>
    <row r="275" spans="1:15" x14ac:dyDescent="0.15">
      <c r="A275" s="3">
        <v>289</v>
      </c>
      <c r="B275" s="3" t="s">
        <v>326</v>
      </c>
      <c r="M275" s="3"/>
      <c r="N275" s="3"/>
      <c r="O275" s="3"/>
    </row>
    <row r="276" spans="1:15" x14ac:dyDescent="0.15">
      <c r="A276" s="3">
        <v>290</v>
      </c>
      <c r="B276" s="3" t="s">
        <v>327</v>
      </c>
      <c r="M276" s="3"/>
      <c r="N276" s="3"/>
      <c r="O276" s="3"/>
    </row>
    <row r="277" spans="1:15" x14ac:dyDescent="0.15">
      <c r="A277" s="3">
        <v>291</v>
      </c>
      <c r="B277" s="3" t="s">
        <v>328</v>
      </c>
      <c r="M277" s="3"/>
      <c r="N277" s="3"/>
      <c r="O277" s="3"/>
    </row>
    <row r="278" spans="1:15" x14ac:dyDescent="0.15">
      <c r="A278" s="3">
        <v>292</v>
      </c>
      <c r="B278" s="3" t="s">
        <v>329</v>
      </c>
      <c r="M278" s="3"/>
      <c r="N278" s="3"/>
      <c r="O278" s="3"/>
    </row>
    <row r="279" spans="1:15" x14ac:dyDescent="0.15">
      <c r="A279" s="3">
        <v>293</v>
      </c>
      <c r="B279" s="3" t="s">
        <v>330</v>
      </c>
      <c r="M279" s="3"/>
      <c r="N279" s="3"/>
      <c r="O279" s="3"/>
    </row>
    <row r="280" spans="1:15" x14ac:dyDescent="0.15">
      <c r="A280" s="3">
        <v>294</v>
      </c>
      <c r="B280" s="3" t="s">
        <v>331</v>
      </c>
      <c r="M280" s="3"/>
      <c r="N280" s="3"/>
      <c r="O280" s="3"/>
    </row>
    <row r="281" spans="1:15" x14ac:dyDescent="0.15">
      <c r="A281" s="3">
        <v>295</v>
      </c>
      <c r="B281" s="3" t="s">
        <v>332</v>
      </c>
      <c r="M281" s="3"/>
      <c r="N281" s="3"/>
      <c r="O281" s="3"/>
    </row>
    <row r="282" spans="1:15" x14ac:dyDescent="0.15">
      <c r="A282" s="3">
        <v>296</v>
      </c>
      <c r="B282" s="3" t="s">
        <v>333</v>
      </c>
      <c r="M282" s="3"/>
      <c r="N282" s="3"/>
      <c r="O282" s="3"/>
    </row>
    <row r="283" spans="1:15" x14ac:dyDescent="0.15">
      <c r="A283" s="3">
        <v>297</v>
      </c>
      <c r="B283" s="3" t="s">
        <v>334</v>
      </c>
      <c r="M283" s="3"/>
      <c r="N283" s="3"/>
      <c r="O283" s="3"/>
    </row>
    <row r="284" spans="1:15" x14ac:dyDescent="0.15">
      <c r="A284" s="3">
        <v>298</v>
      </c>
      <c r="B284" s="3" t="s">
        <v>335</v>
      </c>
      <c r="M284" s="3"/>
      <c r="N284" s="3"/>
      <c r="O284" s="3"/>
    </row>
    <row r="285" spans="1:15" x14ac:dyDescent="0.15">
      <c r="A285" s="3">
        <v>299</v>
      </c>
      <c r="B285" s="3" t="s">
        <v>336</v>
      </c>
      <c r="M285" s="3"/>
      <c r="N285" s="3"/>
      <c r="O285" s="3"/>
    </row>
    <row r="286" spans="1:15" x14ac:dyDescent="0.15">
      <c r="A286" s="3">
        <v>300</v>
      </c>
      <c r="B286" s="3" t="s">
        <v>337</v>
      </c>
      <c r="M286" s="3"/>
      <c r="N286" s="3"/>
      <c r="O286" s="3"/>
    </row>
    <row r="287" spans="1:15" x14ac:dyDescent="0.15">
      <c r="A287" s="3">
        <v>301</v>
      </c>
      <c r="B287" s="3" t="s">
        <v>338</v>
      </c>
      <c r="M287" s="3"/>
      <c r="N287" s="3"/>
      <c r="O287" s="3"/>
    </row>
    <row r="288" spans="1:15" x14ac:dyDescent="0.15">
      <c r="A288" s="3">
        <v>302</v>
      </c>
      <c r="B288" s="3" t="s">
        <v>22</v>
      </c>
      <c r="M288" s="3"/>
      <c r="N288" s="3"/>
      <c r="O288" s="3"/>
    </row>
    <row r="289" spans="1:15" x14ac:dyDescent="0.15">
      <c r="A289" s="3">
        <v>303</v>
      </c>
      <c r="B289" s="3" t="s">
        <v>339</v>
      </c>
      <c r="M289" s="3"/>
      <c r="N289" s="3"/>
      <c r="O289" s="3"/>
    </row>
    <row r="290" spans="1:15" x14ac:dyDescent="0.15">
      <c r="A290" s="3">
        <v>304</v>
      </c>
      <c r="B290" s="3" t="s">
        <v>340</v>
      </c>
      <c r="M290" s="3"/>
      <c r="N290" s="3"/>
      <c r="O290" s="3"/>
    </row>
    <row r="291" spans="1:15" x14ac:dyDescent="0.15">
      <c r="A291" s="3">
        <v>305</v>
      </c>
      <c r="B291" s="3" t="s">
        <v>341</v>
      </c>
      <c r="M291" s="3"/>
      <c r="N291" s="3"/>
      <c r="O291" s="3"/>
    </row>
    <row r="292" spans="1:15" x14ac:dyDescent="0.15">
      <c r="A292" s="3">
        <v>306</v>
      </c>
      <c r="B292" s="3" t="s">
        <v>342</v>
      </c>
      <c r="M292" s="3"/>
      <c r="N292" s="3"/>
      <c r="O292" s="3"/>
    </row>
    <row r="293" spans="1:15" x14ac:dyDescent="0.15">
      <c r="A293" s="3">
        <v>307</v>
      </c>
      <c r="B293" s="3" t="s">
        <v>343</v>
      </c>
      <c r="M293" s="3"/>
      <c r="N293" s="3"/>
      <c r="O293" s="3"/>
    </row>
    <row r="294" spans="1:15" x14ac:dyDescent="0.15">
      <c r="A294" s="3">
        <v>308</v>
      </c>
      <c r="B294" s="3" t="s">
        <v>344</v>
      </c>
      <c r="M294" s="3"/>
      <c r="N294" s="3"/>
      <c r="O294" s="3"/>
    </row>
    <row r="295" spans="1:15" x14ac:dyDescent="0.15">
      <c r="A295" s="3">
        <v>309</v>
      </c>
      <c r="B295" s="3" t="s">
        <v>345</v>
      </c>
      <c r="M295" s="3"/>
      <c r="N295" s="3"/>
      <c r="O295" s="3"/>
    </row>
    <row r="296" spans="1:15" x14ac:dyDescent="0.15">
      <c r="A296" s="3">
        <v>310</v>
      </c>
      <c r="B296" s="3" t="s">
        <v>346</v>
      </c>
      <c r="M296" s="3"/>
      <c r="N296" s="3"/>
      <c r="O296" s="3"/>
    </row>
    <row r="297" spans="1:15" x14ac:dyDescent="0.15">
      <c r="A297" s="3">
        <v>311</v>
      </c>
      <c r="B297" s="3" t="s">
        <v>347</v>
      </c>
      <c r="M297" s="3"/>
      <c r="N297" s="3"/>
      <c r="O297" s="3"/>
    </row>
    <row r="298" spans="1:15" x14ac:dyDescent="0.15">
      <c r="A298" s="3">
        <v>312</v>
      </c>
      <c r="B298" s="3" t="s">
        <v>348</v>
      </c>
      <c r="M298" s="3"/>
      <c r="N298" s="3"/>
      <c r="O298" s="3"/>
    </row>
    <row r="299" spans="1:15" x14ac:dyDescent="0.15">
      <c r="A299" s="3">
        <v>313</v>
      </c>
      <c r="B299" s="3" t="s">
        <v>349</v>
      </c>
      <c r="M299" s="3"/>
      <c r="N299" s="3"/>
      <c r="O299" s="3"/>
    </row>
    <row r="300" spans="1:15" x14ac:dyDescent="0.15">
      <c r="A300" s="3">
        <v>314</v>
      </c>
      <c r="B300" s="3" t="s">
        <v>350</v>
      </c>
      <c r="M300" s="3"/>
      <c r="N300" s="3"/>
      <c r="O300" s="3"/>
    </row>
    <row r="301" spans="1:15" x14ac:dyDescent="0.15">
      <c r="A301" s="3">
        <v>315</v>
      </c>
      <c r="B301" s="3" t="s">
        <v>351</v>
      </c>
      <c r="M301" s="3"/>
      <c r="N301" s="3"/>
      <c r="O301" s="3"/>
    </row>
    <row r="302" spans="1:15" x14ac:dyDescent="0.15">
      <c r="A302" s="3">
        <v>316</v>
      </c>
      <c r="B302" s="3" t="s">
        <v>352</v>
      </c>
      <c r="M302" s="3"/>
      <c r="N302" s="3"/>
      <c r="O302" s="3"/>
    </row>
    <row r="303" spans="1:15" x14ac:dyDescent="0.15">
      <c r="A303" s="3">
        <v>317</v>
      </c>
      <c r="B303" s="3" t="s">
        <v>353</v>
      </c>
      <c r="M303" s="3"/>
      <c r="N303" s="3"/>
      <c r="O303" s="3"/>
    </row>
    <row r="304" spans="1:15" x14ac:dyDescent="0.15">
      <c r="A304" s="3">
        <v>318</v>
      </c>
      <c r="B304" s="3" t="s">
        <v>354</v>
      </c>
      <c r="M304" s="3"/>
      <c r="N304" s="3"/>
      <c r="O304" s="3"/>
    </row>
    <row r="305" spans="1:15" x14ac:dyDescent="0.15">
      <c r="A305" s="3">
        <v>321</v>
      </c>
      <c r="B305" s="3" t="s">
        <v>355</v>
      </c>
      <c r="M305" s="3"/>
      <c r="N305" s="3"/>
      <c r="O305" s="3"/>
    </row>
    <row r="306" spans="1:15" x14ac:dyDescent="0.15">
      <c r="A306" s="3">
        <v>322</v>
      </c>
      <c r="B306" s="3" t="s">
        <v>356</v>
      </c>
      <c r="M306" s="3"/>
      <c r="N306" s="3"/>
      <c r="O306" s="3"/>
    </row>
    <row r="307" spans="1:15" x14ac:dyDescent="0.15">
      <c r="A307" s="3">
        <v>323</v>
      </c>
      <c r="B307" s="3" t="s">
        <v>357</v>
      </c>
      <c r="M307" s="3"/>
      <c r="N307" s="3"/>
      <c r="O307" s="3"/>
    </row>
    <row r="308" spans="1:15" x14ac:dyDescent="0.15">
      <c r="A308" s="3">
        <v>324</v>
      </c>
      <c r="B308" s="3" t="s">
        <v>358</v>
      </c>
      <c r="M308" s="3"/>
      <c r="N308" s="3"/>
      <c r="O308" s="3"/>
    </row>
    <row r="309" spans="1:15" x14ac:dyDescent="0.15">
      <c r="A309" s="3">
        <v>325</v>
      </c>
      <c r="B309" s="3" t="s">
        <v>359</v>
      </c>
      <c r="M309" s="3"/>
      <c r="N309" s="3"/>
      <c r="O309" s="3"/>
    </row>
    <row r="310" spans="1:15" x14ac:dyDescent="0.15">
      <c r="A310" s="3">
        <v>330</v>
      </c>
      <c r="B310" s="3" t="s">
        <v>23</v>
      </c>
      <c r="M310" s="3"/>
      <c r="N310" s="3"/>
      <c r="O310" s="3"/>
    </row>
    <row r="311" spans="1:15" x14ac:dyDescent="0.15">
      <c r="A311" s="3">
        <v>331</v>
      </c>
      <c r="B311" s="3" t="s">
        <v>360</v>
      </c>
      <c r="M311" s="3"/>
      <c r="N311" s="3"/>
      <c r="O311" s="3"/>
    </row>
    <row r="312" spans="1:15" x14ac:dyDescent="0.15">
      <c r="A312" s="3">
        <v>332</v>
      </c>
      <c r="B312" s="3" t="s">
        <v>361</v>
      </c>
      <c r="M312" s="3"/>
      <c r="N312" s="3"/>
      <c r="O312" s="3"/>
    </row>
    <row r="313" spans="1:15" x14ac:dyDescent="0.15">
      <c r="A313" s="3">
        <v>333</v>
      </c>
      <c r="B313" s="3" t="s">
        <v>362</v>
      </c>
      <c r="M313" s="3"/>
      <c r="N313" s="3"/>
      <c r="O313" s="3"/>
    </row>
    <row r="314" spans="1:15" x14ac:dyDescent="0.15">
      <c r="A314" s="3">
        <v>334</v>
      </c>
      <c r="B314" s="3" t="s">
        <v>24</v>
      </c>
      <c r="M314" s="3"/>
      <c r="N314" s="3"/>
      <c r="O314" s="3"/>
    </row>
    <row r="315" spans="1:15" x14ac:dyDescent="0.15">
      <c r="A315" s="3">
        <v>337</v>
      </c>
      <c r="B315" s="3" t="s">
        <v>363</v>
      </c>
      <c r="M315" s="3"/>
      <c r="N315" s="3"/>
      <c r="O315" s="3"/>
    </row>
    <row r="316" spans="1:15" x14ac:dyDescent="0.15">
      <c r="A316" s="3">
        <v>338</v>
      </c>
      <c r="B316" s="3" t="s">
        <v>364</v>
      </c>
      <c r="M316" s="3"/>
      <c r="N316" s="3"/>
      <c r="O316" s="3"/>
    </row>
    <row r="317" spans="1:15" x14ac:dyDescent="0.15">
      <c r="A317" s="3">
        <v>339</v>
      </c>
      <c r="B317" s="3" t="s">
        <v>365</v>
      </c>
      <c r="M317" s="3"/>
      <c r="N317" s="3"/>
      <c r="O317" s="3"/>
    </row>
    <row r="318" spans="1:15" x14ac:dyDescent="0.15">
      <c r="A318" s="3">
        <v>340</v>
      </c>
      <c r="B318" s="3" t="s">
        <v>366</v>
      </c>
      <c r="M318" s="3"/>
      <c r="N318" s="3"/>
      <c r="O318" s="3"/>
    </row>
    <row r="319" spans="1:15" x14ac:dyDescent="0.15">
      <c r="A319" s="3">
        <v>341</v>
      </c>
      <c r="B319" s="3" t="s">
        <v>367</v>
      </c>
      <c r="M319" s="3"/>
      <c r="N319" s="3"/>
      <c r="O319" s="3"/>
    </row>
    <row r="320" spans="1:15" x14ac:dyDescent="0.15">
      <c r="A320" s="3">
        <v>342</v>
      </c>
      <c r="B320" s="3" t="s">
        <v>368</v>
      </c>
      <c r="M320" s="3"/>
      <c r="N320" s="3"/>
      <c r="O320" s="3"/>
    </row>
    <row r="321" spans="1:15" x14ac:dyDescent="0.15">
      <c r="A321" s="3">
        <v>343</v>
      </c>
      <c r="B321" s="3" t="s">
        <v>369</v>
      </c>
      <c r="M321" s="3"/>
      <c r="N321" s="3"/>
      <c r="O321" s="3"/>
    </row>
    <row r="322" spans="1:15" x14ac:dyDescent="0.15">
      <c r="A322" s="3">
        <v>344</v>
      </c>
      <c r="B322" s="3" t="s">
        <v>370</v>
      </c>
      <c r="M322" s="3"/>
      <c r="N322" s="3"/>
      <c r="O322" s="3"/>
    </row>
    <row r="323" spans="1:15" x14ac:dyDescent="0.15">
      <c r="A323" s="3">
        <v>347</v>
      </c>
      <c r="B323" s="3" t="s">
        <v>371</v>
      </c>
      <c r="M323" s="3"/>
      <c r="N323" s="3"/>
      <c r="O323" s="3"/>
    </row>
    <row r="324" spans="1:15" x14ac:dyDescent="0.15">
      <c r="A324" s="3">
        <v>348</v>
      </c>
      <c r="B324" s="3" t="s">
        <v>372</v>
      </c>
      <c r="M324" s="3"/>
      <c r="N324" s="3"/>
      <c r="O324" s="3"/>
    </row>
    <row r="325" spans="1:15" x14ac:dyDescent="0.15">
      <c r="A325" s="3">
        <v>349</v>
      </c>
      <c r="B325" s="3" t="s">
        <v>373</v>
      </c>
      <c r="M325" s="3"/>
      <c r="N325" s="3"/>
      <c r="O325" s="3"/>
    </row>
    <row r="326" spans="1:15" x14ac:dyDescent="0.15">
      <c r="A326" s="3">
        <v>350</v>
      </c>
      <c r="B326" s="3" t="s">
        <v>374</v>
      </c>
      <c r="M326" s="3"/>
      <c r="N326" s="3"/>
      <c r="O326" s="3"/>
    </row>
    <row r="327" spans="1:15" x14ac:dyDescent="0.15">
      <c r="A327" s="3">
        <v>354</v>
      </c>
      <c r="B327" s="3" t="s">
        <v>375</v>
      </c>
      <c r="M327" s="3"/>
      <c r="N327" s="3"/>
      <c r="O327" s="3"/>
    </row>
    <row r="328" spans="1:15" x14ac:dyDescent="0.15">
      <c r="A328" s="3">
        <v>355</v>
      </c>
      <c r="B328" s="3" t="s">
        <v>376</v>
      </c>
      <c r="M328" s="3"/>
      <c r="N328" s="3"/>
      <c r="O328" s="3"/>
    </row>
    <row r="329" spans="1:15" x14ac:dyDescent="0.15">
      <c r="A329" s="3">
        <v>356</v>
      </c>
      <c r="B329" s="3" t="s">
        <v>377</v>
      </c>
      <c r="M329" s="3"/>
      <c r="N329" s="3"/>
      <c r="O329" s="3"/>
    </row>
    <row r="330" spans="1:15" x14ac:dyDescent="0.15">
      <c r="A330" s="3">
        <v>357</v>
      </c>
      <c r="B330" s="3" t="s">
        <v>378</v>
      </c>
      <c r="M330" s="3"/>
      <c r="N330" s="3"/>
      <c r="O330" s="3"/>
    </row>
    <row r="331" spans="1:15" x14ac:dyDescent="0.15">
      <c r="A331" s="3">
        <v>358</v>
      </c>
      <c r="B331" s="3" t="s">
        <v>379</v>
      </c>
      <c r="M331" s="3"/>
      <c r="N331" s="3"/>
      <c r="O331" s="3"/>
    </row>
    <row r="332" spans="1:15" x14ac:dyDescent="0.15">
      <c r="A332" s="3">
        <v>359</v>
      </c>
      <c r="B332" s="3" t="s">
        <v>380</v>
      </c>
      <c r="M332" s="3"/>
      <c r="N332" s="3"/>
      <c r="O332" s="3"/>
    </row>
    <row r="333" spans="1:15" x14ac:dyDescent="0.15">
      <c r="A333" s="3">
        <v>360</v>
      </c>
      <c r="B333" s="3" t="s">
        <v>381</v>
      </c>
      <c r="M333" s="3"/>
      <c r="N333" s="3"/>
      <c r="O333" s="3"/>
    </row>
    <row r="334" spans="1:15" x14ac:dyDescent="0.15">
      <c r="A334" s="3">
        <v>361</v>
      </c>
      <c r="B334" s="3" t="s">
        <v>382</v>
      </c>
      <c r="M334" s="3"/>
      <c r="N334" s="3"/>
      <c r="O334" s="3"/>
    </row>
    <row r="335" spans="1:15" x14ac:dyDescent="0.15">
      <c r="A335" s="3">
        <v>362</v>
      </c>
      <c r="B335" s="3" t="s">
        <v>383</v>
      </c>
    </row>
    <row r="336" spans="1:15" x14ac:dyDescent="0.15">
      <c r="A336" s="3">
        <v>364</v>
      </c>
      <c r="B336" s="3" t="s">
        <v>384</v>
      </c>
    </row>
    <row r="337" spans="1:2" x14ac:dyDescent="0.15">
      <c r="A337" s="3">
        <v>365</v>
      </c>
      <c r="B337" s="3" t="s">
        <v>385</v>
      </c>
    </row>
    <row r="338" spans="1:2" x14ac:dyDescent="0.15">
      <c r="A338" s="3">
        <v>366</v>
      </c>
      <c r="B338" s="3" t="s">
        <v>386</v>
      </c>
    </row>
    <row r="339" spans="1:2" x14ac:dyDescent="0.15">
      <c r="A339" s="3">
        <v>368</v>
      </c>
      <c r="B339" s="3" t="s">
        <v>387</v>
      </c>
    </row>
    <row r="340" spans="1:2" x14ac:dyDescent="0.15">
      <c r="A340" s="3">
        <v>369</v>
      </c>
      <c r="B340" s="3" t="s">
        <v>388</v>
      </c>
    </row>
    <row r="341" spans="1:2" x14ac:dyDescent="0.15">
      <c r="A341" s="3">
        <v>370</v>
      </c>
      <c r="B341" s="3" t="s">
        <v>389</v>
      </c>
    </row>
    <row r="342" spans="1:2" x14ac:dyDescent="0.15">
      <c r="A342" s="3">
        <v>406</v>
      </c>
      <c r="B342" s="3" t="s">
        <v>390</v>
      </c>
    </row>
    <row r="343" spans="1:2" x14ac:dyDescent="0.15">
      <c r="A343" s="3">
        <v>407</v>
      </c>
      <c r="B343" s="3" t="s">
        <v>391</v>
      </c>
    </row>
    <row r="344" spans="1:2" x14ac:dyDescent="0.15">
      <c r="A344" s="3">
        <v>410</v>
      </c>
      <c r="B344" s="3" t="s">
        <v>392</v>
      </c>
    </row>
    <row r="345" spans="1:2" x14ac:dyDescent="0.15">
      <c r="A345" s="3">
        <v>411</v>
      </c>
      <c r="B345" s="3" t="s">
        <v>25</v>
      </c>
    </row>
    <row r="346" spans="1:2" x14ac:dyDescent="0.15">
      <c r="A346" s="3">
        <v>412</v>
      </c>
      <c r="B346" s="3" t="s">
        <v>393</v>
      </c>
    </row>
    <row r="347" spans="1:2" x14ac:dyDescent="0.15">
      <c r="A347" s="3">
        <v>413</v>
      </c>
      <c r="B347" s="3" t="s">
        <v>394</v>
      </c>
    </row>
    <row r="348" spans="1:2" x14ac:dyDescent="0.15">
      <c r="A348" s="3">
        <v>414</v>
      </c>
      <c r="B348" s="3" t="s">
        <v>395</v>
      </c>
    </row>
    <row r="349" spans="1:2" x14ac:dyDescent="0.15">
      <c r="A349" s="3">
        <v>415</v>
      </c>
      <c r="B349" s="3" t="s">
        <v>396</v>
      </c>
    </row>
    <row r="350" spans="1:2" x14ac:dyDescent="0.15">
      <c r="A350" s="3">
        <v>417</v>
      </c>
      <c r="B350" s="3" t="s">
        <v>397</v>
      </c>
    </row>
    <row r="351" spans="1:2" x14ac:dyDescent="0.15">
      <c r="A351" s="3">
        <v>418</v>
      </c>
      <c r="B351" s="3" t="s">
        <v>398</v>
      </c>
    </row>
    <row r="352" spans="1:2" x14ac:dyDescent="0.15">
      <c r="A352" s="3">
        <v>419</v>
      </c>
      <c r="B352" s="3" t="s">
        <v>399</v>
      </c>
    </row>
    <row r="353" spans="1:2" x14ac:dyDescent="0.15">
      <c r="A353" s="3">
        <v>420</v>
      </c>
      <c r="B353" s="3" t="s">
        <v>400</v>
      </c>
    </row>
    <row r="354" spans="1:2" x14ac:dyDescent="0.15">
      <c r="A354" s="3">
        <v>421</v>
      </c>
      <c r="B354" s="3" t="s">
        <v>401</v>
      </c>
    </row>
    <row r="355" spans="1:2" x14ac:dyDescent="0.15">
      <c r="A355" s="3">
        <v>422</v>
      </c>
      <c r="B355" s="3" t="s">
        <v>402</v>
      </c>
    </row>
    <row r="356" spans="1:2" x14ac:dyDescent="0.15">
      <c r="A356" s="3">
        <v>423</v>
      </c>
      <c r="B356" s="3" t="s">
        <v>403</v>
      </c>
    </row>
    <row r="357" spans="1:2" x14ac:dyDescent="0.15">
      <c r="A357" s="3">
        <v>424</v>
      </c>
      <c r="B357" s="3" t="s">
        <v>404</v>
      </c>
    </row>
    <row r="358" spans="1:2" x14ac:dyDescent="0.15">
      <c r="A358" s="3">
        <v>425</v>
      </c>
      <c r="B358" s="3" t="s">
        <v>405</v>
      </c>
    </row>
    <row r="359" spans="1:2" x14ac:dyDescent="0.15">
      <c r="A359" s="3">
        <v>426</v>
      </c>
      <c r="B359" s="3" t="s">
        <v>406</v>
      </c>
    </row>
    <row r="360" spans="1:2" x14ac:dyDescent="0.15">
      <c r="A360" s="3">
        <v>427</v>
      </c>
      <c r="B360" s="3" t="s">
        <v>407</v>
      </c>
    </row>
    <row r="361" spans="1:2" x14ac:dyDescent="0.15">
      <c r="A361" s="3">
        <v>428</v>
      </c>
      <c r="B361" s="3" t="s">
        <v>408</v>
      </c>
    </row>
    <row r="362" spans="1:2" x14ac:dyDescent="0.15">
      <c r="A362" s="3">
        <v>431</v>
      </c>
      <c r="B362" s="3" t="s">
        <v>409</v>
      </c>
    </row>
    <row r="363" spans="1:2" x14ac:dyDescent="0.15">
      <c r="A363" s="3">
        <v>432</v>
      </c>
      <c r="B363" s="3" t="s">
        <v>410</v>
      </c>
    </row>
    <row r="364" spans="1:2" x14ac:dyDescent="0.15">
      <c r="A364" s="3">
        <v>433</v>
      </c>
      <c r="B364" s="3" t="s">
        <v>411</v>
      </c>
    </row>
    <row r="365" spans="1:2" x14ac:dyDescent="0.15">
      <c r="A365" s="3">
        <v>434</v>
      </c>
      <c r="B365" s="3" t="s">
        <v>412</v>
      </c>
    </row>
    <row r="366" spans="1:2" x14ac:dyDescent="0.15">
      <c r="A366" s="3">
        <v>435</v>
      </c>
      <c r="B366" s="3" t="s">
        <v>413</v>
      </c>
    </row>
    <row r="367" spans="1:2" x14ac:dyDescent="0.15">
      <c r="A367" s="3">
        <v>436</v>
      </c>
      <c r="B367" s="3" t="s">
        <v>414</v>
      </c>
    </row>
    <row r="368" spans="1:2" x14ac:dyDescent="0.15">
      <c r="A368" s="3">
        <v>437</v>
      </c>
      <c r="B368" s="3" t="s">
        <v>415</v>
      </c>
    </row>
    <row r="369" spans="1:2" x14ac:dyDescent="0.15">
      <c r="A369" s="3">
        <v>438</v>
      </c>
      <c r="B369" s="3" t="s">
        <v>416</v>
      </c>
    </row>
    <row r="370" spans="1:2" x14ac:dyDescent="0.15">
      <c r="A370" s="3">
        <v>439</v>
      </c>
      <c r="B370" s="3" t="s">
        <v>417</v>
      </c>
    </row>
    <row r="371" spans="1:2" x14ac:dyDescent="0.15">
      <c r="A371" s="3">
        <v>440</v>
      </c>
      <c r="B371" s="3" t="s">
        <v>418</v>
      </c>
    </row>
    <row r="372" spans="1:2" x14ac:dyDescent="0.15">
      <c r="A372" s="3">
        <v>441</v>
      </c>
      <c r="B372" s="3" t="s">
        <v>419</v>
      </c>
    </row>
    <row r="373" spans="1:2" x14ac:dyDescent="0.15">
      <c r="A373" s="3">
        <v>442</v>
      </c>
      <c r="B373" s="3" t="s">
        <v>420</v>
      </c>
    </row>
    <row r="374" spans="1:2" x14ac:dyDescent="0.15">
      <c r="A374" s="3">
        <v>443</v>
      </c>
      <c r="B374" s="3" t="s">
        <v>421</v>
      </c>
    </row>
    <row r="375" spans="1:2" x14ac:dyDescent="0.15">
      <c r="A375" s="3">
        <v>444</v>
      </c>
      <c r="B375" s="3" t="s">
        <v>422</v>
      </c>
    </row>
    <row r="376" spans="1:2" x14ac:dyDescent="0.15">
      <c r="A376" s="3">
        <v>445</v>
      </c>
      <c r="B376" s="3" t="s">
        <v>423</v>
      </c>
    </row>
    <row r="377" spans="1:2" x14ac:dyDescent="0.15">
      <c r="A377" s="3">
        <v>446</v>
      </c>
      <c r="B377" s="3" t="s">
        <v>218</v>
      </c>
    </row>
    <row r="378" spans="1:2" x14ac:dyDescent="0.15">
      <c r="A378" s="3">
        <v>447</v>
      </c>
      <c r="B378" s="3" t="s">
        <v>424</v>
      </c>
    </row>
    <row r="379" spans="1:2" x14ac:dyDescent="0.15">
      <c r="A379" s="3">
        <v>448</v>
      </c>
      <c r="B379" s="3" t="s">
        <v>425</v>
      </c>
    </row>
    <row r="380" spans="1:2" x14ac:dyDescent="0.15">
      <c r="A380" s="3">
        <v>450</v>
      </c>
      <c r="B380" s="3" t="s">
        <v>426</v>
      </c>
    </row>
    <row r="381" spans="1:2" x14ac:dyDescent="0.15">
      <c r="A381" s="3">
        <v>451</v>
      </c>
      <c r="B381" s="3" t="s">
        <v>26</v>
      </c>
    </row>
    <row r="382" spans="1:2" x14ac:dyDescent="0.15">
      <c r="A382" s="3">
        <v>452</v>
      </c>
      <c r="B382" s="3" t="s">
        <v>427</v>
      </c>
    </row>
    <row r="383" spans="1:2" x14ac:dyDescent="0.15">
      <c r="A383" s="3">
        <v>453</v>
      </c>
      <c r="B383" s="3" t="s">
        <v>428</v>
      </c>
    </row>
    <row r="384" spans="1:2" x14ac:dyDescent="0.15">
      <c r="A384" s="3">
        <v>454</v>
      </c>
      <c r="B384" s="3" t="s">
        <v>429</v>
      </c>
    </row>
    <row r="385" spans="1:2" x14ac:dyDescent="0.15">
      <c r="A385" s="3">
        <v>455</v>
      </c>
      <c r="B385" s="3" t="s">
        <v>430</v>
      </c>
    </row>
    <row r="386" spans="1:2" x14ac:dyDescent="0.15">
      <c r="A386" s="3">
        <v>457</v>
      </c>
      <c r="B386" s="3" t="s">
        <v>431</v>
      </c>
    </row>
    <row r="387" spans="1:2" x14ac:dyDescent="0.15">
      <c r="A387" s="3">
        <v>458</v>
      </c>
      <c r="B387" s="3" t="s">
        <v>432</v>
      </c>
    </row>
    <row r="388" spans="1:2" x14ac:dyDescent="0.15">
      <c r="A388" s="3">
        <v>459</v>
      </c>
      <c r="B388" s="3" t="s">
        <v>433</v>
      </c>
    </row>
    <row r="389" spans="1:2" x14ac:dyDescent="0.15">
      <c r="A389" s="3">
        <v>460</v>
      </c>
      <c r="B389" s="3" t="s">
        <v>434</v>
      </c>
    </row>
    <row r="390" spans="1:2" x14ac:dyDescent="0.15">
      <c r="A390" s="3">
        <v>461</v>
      </c>
      <c r="B390" s="3" t="s">
        <v>435</v>
      </c>
    </row>
    <row r="391" spans="1:2" x14ac:dyDescent="0.15">
      <c r="A391" s="3">
        <v>462</v>
      </c>
      <c r="B391" s="3" t="s">
        <v>436</v>
      </c>
    </row>
    <row r="392" spans="1:2" x14ac:dyDescent="0.15">
      <c r="A392" s="3">
        <v>463</v>
      </c>
      <c r="B392" s="3" t="s">
        <v>437</v>
      </c>
    </row>
    <row r="393" spans="1:2" x14ac:dyDescent="0.15">
      <c r="A393" s="3">
        <v>464</v>
      </c>
      <c r="B393" s="3" t="s">
        <v>438</v>
      </c>
    </row>
    <row r="394" spans="1:2" x14ac:dyDescent="0.15">
      <c r="A394" s="3">
        <v>465</v>
      </c>
      <c r="B394" s="3" t="s">
        <v>439</v>
      </c>
    </row>
    <row r="395" spans="1:2" x14ac:dyDescent="0.15">
      <c r="A395" s="3">
        <v>466</v>
      </c>
      <c r="B395" s="3" t="s">
        <v>440</v>
      </c>
    </row>
    <row r="396" spans="1:2" x14ac:dyDescent="0.15">
      <c r="A396" s="3">
        <v>467</v>
      </c>
      <c r="B396" s="3" t="s">
        <v>441</v>
      </c>
    </row>
    <row r="397" spans="1:2" x14ac:dyDescent="0.15">
      <c r="A397" s="3">
        <v>468</v>
      </c>
      <c r="B397" s="3" t="s">
        <v>442</v>
      </c>
    </row>
    <row r="398" spans="1:2" x14ac:dyDescent="0.15">
      <c r="A398" s="3">
        <v>469</v>
      </c>
      <c r="B398" s="3" t="s">
        <v>443</v>
      </c>
    </row>
    <row r="399" spans="1:2" x14ac:dyDescent="0.15">
      <c r="A399" s="3">
        <v>470</v>
      </c>
      <c r="B399" s="3" t="s">
        <v>444</v>
      </c>
    </row>
    <row r="400" spans="1:2" x14ac:dyDescent="0.15">
      <c r="A400" s="3">
        <v>471</v>
      </c>
      <c r="B400" s="3" t="s">
        <v>445</v>
      </c>
    </row>
    <row r="401" spans="1:2" x14ac:dyDescent="0.15">
      <c r="A401" s="3">
        <v>473</v>
      </c>
      <c r="B401" s="3" t="s">
        <v>446</v>
      </c>
    </row>
    <row r="402" spans="1:2" x14ac:dyDescent="0.15">
      <c r="A402" s="3">
        <v>474</v>
      </c>
      <c r="B402" s="3" t="s">
        <v>447</v>
      </c>
    </row>
    <row r="403" spans="1:2" x14ac:dyDescent="0.15">
      <c r="A403" s="3">
        <v>475</v>
      </c>
      <c r="B403" s="3" t="s">
        <v>448</v>
      </c>
    </row>
    <row r="404" spans="1:2" x14ac:dyDescent="0.15">
      <c r="A404" s="3">
        <v>476</v>
      </c>
      <c r="B404" s="3" t="s">
        <v>449</v>
      </c>
    </row>
    <row r="405" spans="1:2" x14ac:dyDescent="0.15">
      <c r="A405" s="3">
        <v>477</v>
      </c>
      <c r="B405" s="3" t="s">
        <v>450</v>
      </c>
    </row>
    <row r="406" spans="1:2" x14ac:dyDescent="0.15">
      <c r="A406" s="3">
        <v>478</v>
      </c>
      <c r="B406" s="3" t="s">
        <v>451</v>
      </c>
    </row>
    <row r="407" spans="1:2" x14ac:dyDescent="0.15">
      <c r="A407" s="3">
        <v>479</v>
      </c>
      <c r="B407" s="3" t="s">
        <v>452</v>
      </c>
    </row>
    <row r="408" spans="1:2" x14ac:dyDescent="0.15">
      <c r="A408" s="3">
        <v>480</v>
      </c>
      <c r="B408" s="3" t="s">
        <v>453</v>
      </c>
    </row>
    <row r="409" spans="1:2" x14ac:dyDescent="0.15">
      <c r="A409" s="3">
        <v>481</v>
      </c>
      <c r="B409" s="3" t="s">
        <v>454</v>
      </c>
    </row>
    <row r="410" spans="1:2" x14ac:dyDescent="0.15">
      <c r="A410" s="3">
        <v>482</v>
      </c>
      <c r="B410" s="3" t="s">
        <v>455</v>
      </c>
    </row>
    <row r="411" spans="1:2" x14ac:dyDescent="0.15">
      <c r="A411" s="3">
        <v>483</v>
      </c>
      <c r="B411" s="3" t="s">
        <v>456</v>
      </c>
    </row>
    <row r="412" spans="1:2" x14ac:dyDescent="0.15">
      <c r="A412" s="3">
        <v>484</v>
      </c>
      <c r="B412" s="3" t="s">
        <v>457</v>
      </c>
    </row>
    <row r="413" spans="1:2" x14ac:dyDescent="0.15">
      <c r="A413" s="3">
        <v>486</v>
      </c>
      <c r="B413" s="3" t="s">
        <v>458</v>
      </c>
    </row>
    <row r="414" spans="1:2" x14ac:dyDescent="0.15">
      <c r="A414" s="3">
        <v>487</v>
      </c>
      <c r="B414" s="3" t="s">
        <v>459</v>
      </c>
    </row>
    <row r="415" spans="1:2" x14ac:dyDescent="0.15">
      <c r="A415" s="3">
        <v>488</v>
      </c>
      <c r="B415" s="3" t="s">
        <v>460</v>
      </c>
    </row>
    <row r="416" spans="1:2" x14ac:dyDescent="0.15">
      <c r="A416" s="3">
        <v>489</v>
      </c>
      <c r="B416" s="3" t="s">
        <v>461</v>
      </c>
    </row>
    <row r="417" spans="1:2" x14ac:dyDescent="0.15">
      <c r="A417" s="3">
        <v>490</v>
      </c>
      <c r="B417" s="3" t="s">
        <v>462</v>
      </c>
    </row>
    <row r="418" spans="1:2" x14ac:dyDescent="0.15">
      <c r="A418" s="3">
        <v>491</v>
      </c>
      <c r="B418" s="3" t="s">
        <v>463</v>
      </c>
    </row>
    <row r="419" spans="1:2" x14ac:dyDescent="0.15">
      <c r="A419" s="3">
        <v>492</v>
      </c>
      <c r="B419" s="3" t="s">
        <v>464</v>
      </c>
    </row>
    <row r="420" spans="1:2" x14ac:dyDescent="0.15">
      <c r="A420" s="3">
        <v>493</v>
      </c>
      <c r="B420" s="3" t="s">
        <v>465</v>
      </c>
    </row>
    <row r="421" spans="1:2" x14ac:dyDescent="0.15">
      <c r="A421" s="3">
        <v>494</v>
      </c>
      <c r="B421" s="3" t="s">
        <v>466</v>
      </c>
    </row>
    <row r="422" spans="1:2" x14ac:dyDescent="0.15">
      <c r="A422" s="3">
        <v>495</v>
      </c>
      <c r="B422" s="3" t="s">
        <v>467</v>
      </c>
    </row>
    <row r="423" spans="1:2" x14ac:dyDescent="0.15">
      <c r="A423" s="3">
        <v>496</v>
      </c>
      <c r="B423" s="3" t="s">
        <v>468</v>
      </c>
    </row>
    <row r="424" spans="1:2" x14ac:dyDescent="0.15">
      <c r="A424" s="3">
        <v>497</v>
      </c>
      <c r="B424" s="3" t="s">
        <v>469</v>
      </c>
    </row>
    <row r="425" spans="1:2" x14ac:dyDescent="0.15">
      <c r="A425" s="3">
        <v>498</v>
      </c>
      <c r="B425" s="3" t="s">
        <v>470</v>
      </c>
    </row>
    <row r="426" spans="1:2" x14ac:dyDescent="0.15">
      <c r="A426" s="3">
        <v>499</v>
      </c>
      <c r="B426" s="3" t="s">
        <v>471</v>
      </c>
    </row>
    <row r="427" spans="1:2" x14ac:dyDescent="0.15">
      <c r="A427" s="3">
        <v>500</v>
      </c>
      <c r="B427" s="3" t="s">
        <v>472</v>
      </c>
    </row>
    <row r="428" spans="1:2" x14ac:dyDescent="0.15">
      <c r="A428" s="3">
        <v>501</v>
      </c>
      <c r="B428" s="3" t="s">
        <v>473</v>
      </c>
    </row>
    <row r="429" spans="1:2" x14ac:dyDescent="0.15">
      <c r="A429" s="3">
        <v>502</v>
      </c>
      <c r="B429" s="3" t="s">
        <v>474</v>
      </c>
    </row>
    <row r="430" spans="1:2" x14ac:dyDescent="0.15">
      <c r="A430" s="3">
        <v>503</v>
      </c>
      <c r="B430" s="3" t="s">
        <v>475</v>
      </c>
    </row>
    <row r="431" spans="1:2" x14ac:dyDescent="0.15">
      <c r="A431" s="3">
        <v>504</v>
      </c>
      <c r="B431" s="3" t="s">
        <v>476</v>
      </c>
    </row>
    <row r="432" spans="1:2" x14ac:dyDescent="0.15">
      <c r="A432" s="3">
        <v>505</v>
      </c>
      <c r="B432" s="3" t="s">
        <v>477</v>
      </c>
    </row>
    <row r="433" spans="1:2" x14ac:dyDescent="0.15">
      <c r="A433" s="3">
        <v>506</v>
      </c>
      <c r="B433" s="3" t="s">
        <v>478</v>
      </c>
    </row>
    <row r="434" spans="1:2" x14ac:dyDescent="0.15">
      <c r="A434" s="3">
        <v>507</v>
      </c>
      <c r="B434" s="3" t="s">
        <v>479</v>
      </c>
    </row>
    <row r="435" spans="1:2" x14ac:dyDescent="0.15">
      <c r="A435" s="3">
        <v>508</v>
      </c>
      <c r="B435" s="3" t="s">
        <v>480</v>
      </c>
    </row>
    <row r="436" spans="1:2" x14ac:dyDescent="0.15">
      <c r="A436" s="3">
        <v>509</v>
      </c>
      <c r="B436" s="3" t="s">
        <v>481</v>
      </c>
    </row>
    <row r="437" spans="1:2" x14ac:dyDescent="0.15">
      <c r="A437" s="3">
        <v>510</v>
      </c>
      <c r="B437" s="3" t="s">
        <v>482</v>
      </c>
    </row>
    <row r="438" spans="1:2" x14ac:dyDescent="0.15">
      <c r="A438" s="3">
        <v>511</v>
      </c>
      <c r="B438" s="3" t="s">
        <v>483</v>
      </c>
    </row>
    <row r="439" spans="1:2" x14ac:dyDescent="0.15">
      <c r="A439" s="3">
        <v>512</v>
      </c>
      <c r="B439" s="3" t="s">
        <v>484</v>
      </c>
    </row>
    <row r="440" spans="1:2" x14ac:dyDescent="0.15">
      <c r="A440" s="3">
        <v>513</v>
      </c>
      <c r="B440" s="3" t="s">
        <v>441</v>
      </c>
    </row>
    <row r="441" spans="1:2" x14ac:dyDescent="0.15">
      <c r="A441" s="3">
        <v>514</v>
      </c>
      <c r="B441" s="3" t="s">
        <v>485</v>
      </c>
    </row>
    <row r="442" spans="1:2" x14ac:dyDescent="0.15">
      <c r="A442" s="3">
        <v>515</v>
      </c>
      <c r="B442" s="3" t="s">
        <v>486</v>
      </c>
    </row>
    <row r="443" spans="1:2" x14ac:dyDescent="0.15">
      <c r="A443" s="3">
        <v>516</v>
      </c>
      <c r="B443" s="3" t="s">
        <v>487</v>
      </c>
    </row>
    <row r="444" spans="1:2" x14ac:dyDescent="0.15">
      <c r="A444" s="3">
        <v>517</v>
      </c>
      <c r="B444" s="3" t="s">
        <v>488</v>
      </c>
    </row>
    <row r="445" spans="1:2" x14ac:dyDescent="0.15">
      <c r="A445" s="3">
        <v>518</v>
      </c>
      <c r="B445" s="3" t="s">
        <v>489</v>
      </c>
    </row>
    <row r="446" spans="1:2" x14ac:dyDescent="0.15">
      <c r="A446" s="3">
        <v>519</v>
      </c>
      <c r="B446" s="3" t="s">
        <v>490</v>
      </c>
    </row>
    <row r="447" spans="1:2" x14ac:dyDescent="0.15">
      <c r="A447" s="3">
        <v>520</v>
      </c>
      <c r="B447" s="3" t="s">
        <v>491</v>
      </c>
    </row>
    <row r="448" spans="1:2" x14ac:dyDescent="0.15">
      <c r="A448" s="3">
        <v>521</v>
      </c>
      <c r="B448" s="3" t="s">
        <v>492</v>
      </c>
    </row>
    <row r="449" spans="1:2" x14ac:dyDescent="0.15">
      <c r="A449" s="3">
        <v>522</v>
      </c>
      <c r="B449" s="3" t="s">
        <v>493</v>
      </c>
    </row>
    <row r="450" spans="1:2" x14ac:dyDescent="0.15">
      <c r="A450" s="3">
        <v>523</v>
      </c>
      <c r="B450" s="3" t="s">
        <v>494</v>
      </c>
    </row>
    <row r="451" spans="1:2" x14ac:dyDescent="0.15">
      <c r="A451" s="3">
        <v>524</v>
      </c>
      <c r="B451" s="3" t="s">
        <v>495</v>
      </c>
    </row>
    <row r="452" spans="1:2" x14ac:dyDescent="0.15">
      <c r="A452" s="3">
        <v>525</v>
      </c>
      <c r="B452" s="3" t="s">
        <v>496</v>
      </c>
    </row>
    <row r="453" spans="1:2" x14ac:dyDescent="0.15">
      <c r="A453" s="3">
        <v>526</v>
      </c>
      <c r="B453" s="3" t="s">
        <v>497</v>
      </c>
    </row>
    <row r="454" spans="1:2" x14ac:dyDescent="0.15">
      <c r="A454" s="3">
        <v>527</v>
      </c>
      <c r="B454" s="3" t="s">
        <v>498</v>
      </c>
    </row>
    <row r="455" spans="1:2" x14ac:dyDescent="0.15">
      <c r="A455" s="3">
        <v>528</v>
      </c>
      <c r="B455" s="3" t="s">
        <v>499</v>
      </c>
    </row>
    <row r="456" spans="1:2" x14ac:dyDescent="0.15">
      <c r="A456" s="3">
        <v>529</v>
      </c>
      <c r="B456" s="3" t="s">
        <v>500</v>
      </c>
    </row>
    <row r="457" spans="1:2" x14ac:dyDescent="0.15">
      <c r="A457" s="3">
        <v>530</v>
      </c>
      <c r="B457" s="3" t="s">
        <v>501</v>
      </c>
    </row>
    <row r="458" spans="1:2" x14ac:dyDescent="0.15">
      <c r="A458" s="3">
        <v>531</v>
      </c>
      <c r="B458" s="3" t="s">
        <v>502</v>
      </c>
    </row>
    <row r="459" spans="1:2" x14ac:dyDescent="0.15">
      <c r="A459" s="3">
        <v>532</v>
      </c>
      <c r="B459" s="3" t="s">
        <v>27</v>
      </c>
    </row>
    <row r="460" spans="1:2" x14ac:dyDescent="0.15">
      <c r="A460" s="3">
        <v>533</v>
      </c>
      <c r="B460" s="3" t="s">
        <v>503</v>
      </c>
    </row>
    <row r="461" spans="1:2" x14ac:dyDescent="0.15">
      <c r="A461" s="3">
        <v>534</v>
      </c>
      <c r="B461" s="3" t="s">
        <v>504</v>
      </c>
    </row>
    <row r="462" spans="1:2" x14ac:dyDescent="0.15">
      <c r="A462" s="3">
        <v>535</v>
      </c>
      <c r="B462" s="3" t="s">
        <v>505</v>
      </c>
    </row>
    <row r="463" spans="1:2" x14ac:dyDescent="0.15">
      <c r="A463" s="3">
        <v>536</v>
      </c>
      <c r="B463" s="3" t="s">
        <v>506</v>
      </c>
    </row>
    <row r="464" spans="1:2" x14ac:dyDescent="0.15">
      <c r="A464" s="3">
        <v>537</v>
      </c>
      <c r="B464" s="3" t="s">
        <v>507</v>
      </c>
    </row>
    <row r="465" spans="1:2" x14ac:dyDescent="0.15">
      <c r="A465" s="3">
        <v>538</v>
      </c>
      <c r="B465" s="3" t="s">
        <v>508</v>
      </c>
    </row>
    <row r="466" spans="1:2" x14ac:dyDescent="0.15">
      <c r="A466" s="3">
        <v>539</v>
      </c>
      <c r="B466" s="3" t="s">
        <v>509</v>
      </c>
    </row>
    <row r="467" spans="1:2" x14ac:dyDescent="0.15">
      <c r="A467" s="3">
        <v>540</v>
      </c>
      <c r="B467" s="3" t="s">
        <v>510</v>
      </c>
    </row>
    <row r="468" spans="1:2" x14ac:dyDescent="0.15">
      <c r="A468" s="3">
        <v>541</v>
      </c>
      <c r="B468" s="3" t="s">
        <v>511</v>
      </c>
    </row>
    <row r="469" spans="1:2" x14ac:dyDescent="0.15">
      <c r="A469" s="3">
        <v>542</v>
      </c>
      <c r="B469" s="3" t="s">
        <v>512</v>
      </c>
    </row>
    <row r="470" spans="1:2" x14ac:dyDescent="0.15">
      <c r="A470" s="3">
        <v>543</v>
      </c>
      <c r="B470" s="3" t="s">
        <v>513</v>
      </c>
    </row>
    <row r="471" spans="1:2" x14ac:dyDescent="0.15">
      <c r="A471" s="3">
        <v>544</v>
      </c>
      <c r="B471" s="3" t="s">
        <v>514</v>
      </c>
    </row>
    <row r="472" spans="1:2" x14ac:dyDescent="0.15">
      <c r="A472" s="3">
        <v>545</v>
      </c>
      <c r="B472" s="3" t="s">
        <v>515</v>
      </c>
    </row>
    <row r="473" spans="1:2" x14ac:dyDescent="0.15">
      <c r="A473" s="3">
        <v>546</v>
      </c>
      <c r="B473" s="3" t="s">
        <v>516</v>
      </c>
    </row>
    <row r="474" spans="1:2" x14ac:dyDescent="0.15">
      <c r="A474" s="3">
        <v>547</v>
      </c>
      <c r="B474" s="3" t="s">
        <v>517</v>
      </c>
    </row>
    <row r="475" spans="1:2" x14ac:dyDescent="0.15">
      <c r="A475" s="3">
        <v>548</v>
      </c>
      <c r="B475" s="3" t="s">
        <v>518</v>
      </c>
    </row>
    <row r="476" spans="1:2" x14ac:dyDescent="0.15">
      <c r="A476" s="3">
        <v>549</v>
      </c>
      <c r="B476" s="3" t="s">
        <v>519</v>
      </c>
    </row>
    <row r="477" spans="1:2" x14ac:dyDescent="0.15">
      <c r="A477" s="3">
        <v>550</v>
      </c>
      <c r="B477" s="3" t="s">
        <v>520</v>
      </c>
    </row>
    <row r="478" spans="1:2" x14ac:dyDescent="0.15">
      <c r="A478" s="3">
        <v>551</v>
      </c>
      <c r="B478" s="3" t="s">
        <v>521</v>
      </c>
    </row>
    <row r="479" spans="1:2" x14ac:dyDescent="0.15">
      <c r="A479" s="3">
        <v>552</v>
      </c>
      <c r="B479" s="3" t="s">
        <v>522</v>
      </c>
    </row>
    <row r="480" spans="1:2" x14ac:dyDescent="0.15">
      <c r="A480" s="3">
        <v>559</v>
      </c>
      <c r="B480" s="3" t="s">
        <v>523</v>
      </c>
    </row>
    <row r="481" spans="1:2" x14ac:dyDescent="0.15">
      <c r="A481" s="3">
        <v>560</v>
      </c>
      <c r="B481" s="3" t="s">
        <v>524</v>
      </c>
    </row>
    <row r="482" spans="1:2" x14ac:dyDescent="0.15">
      <c r="A482" s="3">
        <v>561</v>
      </c>
      <c r="B482" s="3" t="s">
        <v>525</v>
      </c>
    </row>
    <row r="483" spans="1:2" x14ac:dyDescent="0.15">
      <c r="A483" s="3">
        <v>562</v>
      </c>
      <c r="B483" s="3" t="s">
        <v>526</v>
      </c>
    </row>
    <row r="484" spans="1:2" x14ac:dyDescent="0.15">
      <c r="A484" s="3">
        <v>563</v>
      </c>
      <c r="B484" s="3" t="s">
        <v>527</v>
      </c>
    </row>
    <row r="485" spans="1:2" x14ac:dyDescent="0.15">
      <c r="A485" s="3">
        <v>564</v>
      </c>
      <c r="B485" s="3" t="s">
        <v>528</v>
      </c>
    </row>
    <row r="486" spans="1:2" x14ac:dyDescent="0.15">
      <c r="A486" s="3">
        <v>565</v>
      </c>
      <c r="B486" s="3" t="s">
        <v>529</v>
      </c>
    </row>
    <row r="487" spans="1:2" x14ac:dyDescent="0.15">
      <c r="A487" s="3">
        <v>566</v>
      </c>
      <c r="B487" s="3" t="s">
        <v>530</v>
      </c>
    </row>
    <row r="488" spans="1:2" x14ac:dyDescent="0.15">
      <c r="A488" s="3">
        <v>567</v>
      </c>
      <c r="B488" s="3" t="s">
        <v>531</v>
      </c>
    </row>
    <row r="489" spans="1:2" x14ac:dyDescent="0.15">
      <c r="A489" s="3">
        <v>568</v>
      </c>
      <c r="B489" s="3" t="s">
        <v>532</v>
      </c>
    </row>
    <row r="490" spans="1:2" x14ac:dyDescent="0.15">
      <c r="A490" s="3">
        <v>569</v>
      </c>
      <c r="B490" s="3" t="s">
        <v>533</v>
      </c>
    </row>
    <row r="491" spans="1:2" x14ac:dyDescent="0.15">
      <c r="A491" s="3">
        <v>570</v>
      </c>
      <c r="B491" s="3" t="s">
        <v>534</v>
      </c>
    </row>
    <row r="492" spans="1:2" x14ac:dyDescent="0.15">
      <c r="A492" s="3">
        <v>571</v>
      </c>
      <c r="B492" s="3" t="s">
        <v>535</v>
      </c>
    </row>
    <row r="493" spans="1:2" x14ac:dyDescent="0.15">
      <c r="A493" s="3">
        <v>572</v>
      </c>
      <c r="B493" s="3" t="s">
        <v>536</v>
      </c>
    </row>
    <row r="494" spans="1:2" x14ac:dyDescent="0.15">
      <c r="A494" s="3">
        <v>573</v>
      </c>
      <c r="B494" s="3" t="s">
        <v>537</v>
      </c>
    </row>
    <row r="495" spans="1:2" x14ac:dyDescent="0.15">
      <c r="A495" s="3">
        <v>574</v>
      </c>
      <c r="B495" s="3" t="s">
        <v>538</v>
      </c>
    </row>
    <row r="496" spans="1:2" x14ac:dyDescent="0.15">
      <c r="A496" s="3">
        <v>575</v>
      </c>
      <c r="B496" s="3" t="s">
        <v>539</v>
      </c>
    </row>
    <row r="497" spans="1:2" x14ac:dyDescent="0.15">
      <c r="A497" s="3">
        <v>576</v>
      </c>
      <c r="B497" s="3" t="s">
        <v>540</v>
      </c>
    </row>
    <row r="498" spans="1:2" x14ac:dyDescent="0.15">
      <c r="A498" s="3">
        <v>577</v>
      </c>
      <c r="B498" s="3" t="s">
        <v>541</v>
      </c>
    </row>
    <row r="499" spans="1:2" x14ac:dyDescent="0.15">
      <c r="A499" s="3">
        <v>578</v>
      </c>
      <c r="B499" s="3" t="s">
        <v>542</v>
      </c>
    </row>
    <row r="500" spans="1:2" x14ac:dyDescent="0.15">
      <c r="A500" s="3">
        <v>579</v>
      </c>
      <c r="B500" s="3" t="s">
        <v>543</v>
      </c>
    </row>
    <row r="501" spans="1:2" x14ac:dyDescent="0.15">
      <c r="A501" s="3">
        <v>580</v>
      </c>
      <c r="B501" s="3" t="s">
        <v>544</v>
      </c>
    </row>
    <row r="502" spans="1:2" x14ac:dyDescent="0.15">
      <c r="A502" s="3">
        <v>581</v>
      </c>
      <c r="B502" s="3" t="s">
        <v>545</v>
      </c>
    </row>
    <row r="503" spans="1:2" x14ac:dyDescent="0.15">
      <c r="A503" s="3">
        <v>582</v>
      </c>
      <c r="B503" s="3" t="s">
        <v>28</v>
      </c>
    </row>
    <row r="504" spans="1:2" x14ac:dyDescent="0.15">
      <c r="A504" s="3">
        <v>583</v>
      </c>
      <c r="B504" s="3" t="s">
        <v>546</v>
      </c>
    </row>
    <row r="505" spans="1:2" x14ac:dyDescent="0.15">
      <c r="A505" s="3">
        <v>584</v>
      </c>
      <c r="B505" s="3" t="s">
        <v>547</v>
      </c>
    </row>
    <row r="506" spans="1:2" x14ac:dyDescent="0.15">
      <c r="A506" s="3">
        <v>585</v>
      </c>
      <c r="B506" s="3" t="s">
        <v>548</v>
      </c>
    </row>
    <row r="507" spans="1:2" x14ac:dyDescent="0.15">
      <c r="A507" s="3">
        <v>586</v>
      </c>
      <c r="B507" s="3" t="s">
        <v>549</v>
      </c>
    </row>
    <row r="508" spans="1:2" x14ac:dyDescent="0.15">
      <c r="A508" s="3">
        <v>587</v>
      </c>
      <c r="B508" s="3" t="s">
        <v>550</v>
      </c>
    </row>
    <row r="509" spans="1:2" x14ac:dyDescent="0.15">
      <c r="A509" s="3">
        <v>588</v>
      </c>
      <c r="B509" s="3" t="s">
        <v>551</v>
      </c>
    </row>
    <row r="510" spans="1:2" x14ac:dyDescent="0.15">
      <c r="A510" s="3">
        <v>589</v>
      </c>
      <c r="B510" s="3" t="s">
        <v>552</v>
      </c>
    </row>
    <row r="511" spans="1:2" x14ac:dyDescent="0.15">
      <c r="A511" s="3">
        <v>590</v>
      </c>
      <c r="B511" s="3" t="s">
        <v>553</v>
      </c>
    </row>
    <row r="512" spans="1:2" x14ac:dyDescent="0.15">
      <c r="A512" s="3">
        <v>591</v>
      </c>
      <c r="B512" s="3" t="s">
        <v>554</v>
      </c>
    </row>
    <row r="513" spans="1:2" x14ac:dyDescent="0.15">
      <c r="A513" s="3">
        <v>593</v>
      </c>
      <c r="B513" s="3" t="s">
        <v>555</v>
      </c>
    </row>
    <row r="514" spans="1:2" x14ac:dyDescent="0.15">
      <c r="A514" s="3">
        <v>594</v>
      </c>
      <c r="B514" s="3" t="s">
        <v>556</v>
      </c>
    </row>
    <row r="515" spans="1:2" x14ac:dyDescent="0.15">
      <c r="A515" s="3">
        <v>596</v>
      </c>
      <c r="B515" s="3" t="s">
        <v>557</v>
      </c>
    </row>
    <row r="516" spans="1:2" x14ac:dyDescent="0.15">
      <c r="A516" s="3">
        <v>597</v>
      </c>
      <c r="B516" s="3" t="s">
        <v>558</v>
      </c>
    </row>
    <row r="517" spans="1:2" x14ac:dyDescent="0.15">
      <c r="A517" s="3">
        <v>598</v>
      </c>
      <c r="B517" s="3" t="s">
        <v>559</v>
      </c>
    </row>
    <row r="518" spans="1:2" x14ac:dyDescent="0.15">
      <c r="A518" s="3">
        <v>599</v>
      </c>
      <c r="B518" s="3" t="s">
        <v>560</v>
      </c>
    </row>
    <row r="519" spans="1:2" x14ac:dyDescent="0.15">
      <c r="A519" s="3">
        <v>600</v>
      </c>
      <c r="B519" s="3" t="s">
        <v>561</v>
      </c>
    </row>
    <row r="520" spans="1:2" x14ac:dyDescent="0.15">
      <c r="A520" s="3">
        <v>601</v>
      </c>
      <c r="B520" s="3" t="s">
        <v>562</v>
      </c>
    </row>
    <row r="521" spans="1:2" x14ac:dyDescent="0.15">
      <c r="A521" s="3">
        <v>602</v>
      </c>
      <c r="B521" s="3" t="s">
        <v>563</v>
      </c>
    </row>
    <row r="522" spans="1:2" x14ac:dyDescent="0.15">
      <c r="A522" s="3">
        <v>603</v>
      </c>
      <c r="B522" s="3" t="s">
        <v>564</v>
      </c>
    </row>
    <row r="523" spans="1:2" x14ac:dyDescent="0.15">
      <c r="A523" s="3">
        <v>604</v>
      </c>
      <c r="B523" s="3" t="s">
        <v>565</v>
      </c>
    </row>
    <row r="524" spans="1:2" x14ac:dyDescent="0.15">
      <c r="A524" s="3">
        <v>605</v>
      </c>
      <c r="B524" s="3" t="s">
        <v>566</v>
      </c>
    </row>
    <row r="525" spans="1:2" x14ac:dyDescent="0.15">
      <c r="A525" s="3">
        <v>606</v>
      </c>
      <c r="B525" s="3" t="s">
        <v>567</v>
      </c>
    </row>
    <row r="526" spans="1:2" x14ac:dyDescent="0.15">
      <c r="A526" s="3">
        <v>607</v>
      </c>
      <c r="B526" s="3" t="s">
        <v>568</v>
      </c>
    </row>
    <row r="527" spans="1:2" x14ac:dyDescent="0.15">
      <c r="A527" s="3">
        <v>608</v>
      </c>
      <c r="B527" s="3" t="s">
        <v>569</v>
      </c>
    </row>
    <row r="528" spans="1:2" x14ac:dyDescent="0.15">
      <c r="A528" s="3">
        <v>609</v>
      </c>
      <c r="B528" s="3" t="s">
        <v>570</v>
      </c>
    </row>
    <row r="529" spans="1:2" x14ac:dyDescent="0.15">
      <c r="A529" s="3">
        <v>610</v>
      </c>
      <c r="B529" s="3" t="s">
        <v>571</v>
      </c>
    </row>
    <row r="530" spans="1:2" x14ac:dyDescent="0.15">
      <c r="A530" s="3">
        <v>611</v>
      </c>
      <c r="B530" s="3" t="s">
        <v>572</v>
      </c>
    </row>
    <row r="531" spans="1:2" x14ac:dyDescent="0.15">
      <c r="A531" s="3">
        <v>612</v>
      </c>
      <c r="B531" s="3" t="s">
        <v>573</v>
      </c>
    </row>
    <row r="532" spans="1:2" x14ac:dyDescent="0.15">
      <c r="A532" s="3">
        <v>613</v>
      </c>
      <c r="B532" s="3" t="s">
        <v>574</v>
      </c>
    </row>
    <row r="533" spans="1:2" x14ac:dyDescent="0.15">
      <c r="A533" s="3">
        <v>614</v>
      </c>
      <c r="B533" s="3" t="s">
        <v>575</v>
      </c>
    </row>
    <row r="534" spans="1:2" x14ac:dyDescent="0.15">
      <c r="A534" s="3">
        <v>615</v>
      </c>
      <c r="B534" s="3" t="s">
        <v>576</v>
      </c>
    </row>
    <row r="535" spans="1:2" x14ac:dyDescent="0.15">
      <c r="A535" s="3">
        <v>616</v>
      </c>
      <c r="B535" s="3" t="s">
        <v>577</v>
      </c>
    </row>
    <row r="536" spans="1:2" x14ac:dyDescent="0.15">
      <c r="A536" s="3">
        <v>617</v>
      </c>
      <c r="B536" s="3" t="s">
        <v>578</v>
      </c>
    </row>
    <row r="537" spans="1:2" x14ac:dyDescent="0.15">
      <c r="A537" s="3">
        <v>618</v>
      </c>
      <c r="B537" s="3" t="s">
        <v>579</v>
      </c>
    </row>
    <row r="538" spans="1:2" x14ac:dyDescent="0.15">
      <c r="A538" s="3">
        <v>620</v>
      </c>
      <c r="B538" s="3" t="s">
        <v>580</v>
      </c>
    </row>
    <row r="539" spans="1:2" x14ac:dyDescent="0.15">
      <c r="A539" s="3">
        <v>621</v>
      </c>
      <c r="B539" s="3" t="s">
        <v>581</v>
      </c>
    </row>
    <row r="540" spans="1:2" x14ac:dyDescent="0.15">
      <c r="A540" s="3">
        <v>622</v>
      </c>
      <c r="B540" s="3" t="s">
        <v>582</v>
      </c>
    </row>
    <row r="541" spans="1:2" x14ac:dyDescent="0.15">
      <c r="A541" s="3">
        <v>623</v>
      </c>
      <c r="B541" s="3" t="s">
        <v>583</v>
      </c>
    </row>
    <row r="542" spans="1:2" x14ac:dyDescent="0.15">
      <c r="A542" s="3">
        <v>624</v>
      </c>
      <c r="B542" s="3" t="s">
        <v>584</v>
      </c>
    </row>
    <row r="543" spans="1:2" x14ac:dyDescent="0.15">
      <c r="A543" s="3">
        <v>625</v>
      </c>
      <c r="B543" s="3" t="s">
        <v>585</v>
      </c>
    </row>
    <row r="544" spans="1:2" x14ac:dyDescent="0.15">
      <c r="A544" s="3">
        <v>626</v>
      </c>
      <c r="B544" s="3" t="s">
        <v>586</v>
      </c>
    </row>
    <row r="545" spans="1:2" x14ac:dyDescent="0.15">
      <c r="A545" s="3">
        <v>627</v>
      </c>
      <c r="B545" s="3" t="s">
        <v>587</v>
      </c>
    </row>
    <row r="546" spans="1:2" x14ac:dyDescent="0.15">
      <c r="A546" s="3">
        <v>628</v>
      </c>
      <c r="B546" s="3" t="s">
        <v>588</v>
      </c>
    </row>
    <row r="547" spans="1:2" x14ac:dyDescent="0.15">
      <c r="A547" s="3">
        <v>629</v>
      </c>
      <c r="B547" s="3" t="s">
        <v>589</v>
      </c>
    </row>
    <row r="548" spans="1:2" x14ac:dyDescent="0.15">
      <c r="A548" s="3">
        <v>630</v>
      </c>
      <c r="B548" s="3" t="s">
        <v>590</v>
      </c>
    </row>
    <row r="549" spans="1:2" x14ac:dyDescent="0.15">
      <c r="A549" s="3">
        <v>631</v>
      </c>
      <c r="B549" s="3" t="s">
        <v>591</v>
      </c>
    </row>
    <row r="550" spans="1:2" x14ac:dyDescent="0.15">
      <c r="A550" s="3">
        <v>632</v>
      </c>
      <c r="B550" s="3" t="s">
        <v>592</v>
      </c>
    </row>
    <row r="551" spans="1:2" x14ac:dyDescent="0.15">
      <c r="A551" s="3">
        <v>633</v>
      </c>
      <c r="B551" s="3" t="s">
        <v>593</v>
      </c>
    </row>
    <row r="552" spans="1:2" x14ac:dyDescent="0.15">
      <c r="A552" s="3">
        <v>634</v>
      </c>
      <c r="B552" s="3" t="s">
        <v>594</v>
      </c>
    </row>
    <row r="553" spans="1:2" x14ac:dyDescent="0.15">
      <c r="A553" s="3">
        <v>636</v>
      </c>
      <c r="B553" s="3" t="s">
        <v>595</v>
      </c>
    </row>
    <row r="554" spans="1:2" x14ac:dyDescent="0.15">
      <c r="A554" s="3">
        <v>637</v>
      </c>
      <c r="B554" s="3" t="s">
        <v>596</v>
      </c>
    </row>
    <row r="555" spans="1:2" x14ac:dyDescent="0.15">
      <c r="A555" s="3">
        <v>638</v>
      </c>
      <c r="B555" s="3" t="s">
        <v>597</v>
      </c>
    </row>
    <row r="556" spans="1:2" x14ac:dyDescent="0.15">
      <c r="A556" s="3">
        <v>639</v>
      </c>
      <c r="B556" s="3" t="s">
        <v>598</v>
      </c>
    </row>
    <row r="557" spans="1:2" x14ac:dyDescent="0.15">
      <c r="A557" s="3">
        <v>640</v>
      </c>
      <c r="B557" s="3" t="s">
        <v>599</v>
      </c>
    </row>
    <row r="558" spans="1:2" x14ac:dyDescent="0.15">
      <c r="A558" s="3">
        <v>642</v>
      </c>
      <c r="B558" s="3" t="s">
        <v>29</v>
      </c>
    </row>
    <row r="559" spans="1:2" x14ac:dyDescent="0.15">
      <c r="A559" s="3">
        <v>643</v>
      </c>
      <c r="B559" s="3" t="s">
        <v>600</v>
      </c>
    </row>
    <row r="560" spans="1:2" x14ac:dyDescent="0.15">
      <c r="A560" s="3">
        <v>644</v>
      </c>
      <c r="B560" s="3" t="s">
        <v>601</v>
      </c>
    </row>
    <row r="561" spans="1:2" x14ac:dyDescent="0.15">
      <c r="A561" s="3">
        <v>645</v>
      </c>
      <c r="B561" s="3" t="s">
        <v>602</v>
      </c>
    </row>
    <row r="562" spans="1:2" x14ac:dyDescent="0.15">
      <c r="A562" s="3">
        <v>646</v>
      </c>
      <c r="B562" s="3" t="s">
        <v>603</v>
      </c>
    </row>
    <row r="563" spans="1:2" x14ac:dyDescent="0.15">
      <c r="A563" s="3">
        <v>647</v>
      </c>
      <c r="B563" s="3" t="s">
        <v>604</v>
      </c>
    </row>
    <row r="564" spans="1:2" x14ac:dyDescent="0.15">
      <c r="A564" s="3">
        <v>648</v>
      </c>
      <c r="B564" s="3" t="s">
        <v>605</v>
      </c>
    </row>
    <row r="565" spans="1:2" x14ac:dyDescent="0.15">
      <c r="A565" s="3">
        <v>649</v>
      </c>
      <c r="B565" s="3" t="s">
        <v>606</v>
      </c>
    </row>
    <row r="566" spans="1:2" x14ac:dyDescent="0.15">
      <c r="A566" s="3">
        <v>650</v>
      </c>
      <c r="B566" s="3" t="s">
        <v>607</v>
      </c>
    </row>
    <row r="567" spans="1:2" x14ac:dyDescent="0.15">
      <c r="A567" s="3">
        <v>651</v>
      </c>
      <c r="B567" s="3" t="s">
        <v>608</v>
      </c>
    </row>
    <row r="568" spans="1:2" x14ac:dyDescent="0.15">
      <c r="A568" s="3">
        <v>652</v>
      </c>
      <c r="B568" s="3" t="s">
        <v>609</v>
      </c>
    </row>
    <row r="569" spans="1:2" x14ac:dyDescent="0.15">
      <c r="A569" s="3">
        <v>653</v>
      </c>
      <c r="B569" s="3" t="s">
        <v>610</v>
      </c>
    </row>
    <row r="570" spans="1:2" x14ac:dyDescent="0.15">
      <c r="A570" s="3">
        <v>654</v>
      </c>
      <c r="B570" s="3" t="s">
        <v>611</v>
      </c>
    </row>
    <row r="571" spans="1:2" x14ac:dyDescent="0.15">
      <c r="A571" s="3">
        <v>655</v>
      </c>
      <c r="B571" s="3" t="s">
        <v>612</v>
      </c>
    </row>
    <row r="572" spans="1:2" x14ac:dyDescent="0.15">
      <c r="A572" s="3">
        <v>656</v>
      </c>
      <c r="B572" s="3" t="s">
        <v>613</v>
      </c>
    </row>
    <row r="573" spans="1:2" x14ac:dyDescent="0.15">
      <c r="A573" s="3">
        <v>658</v>
      </c>
      <c r="B573" s="3" t="s">
        <v>46</v>
      </c>
    </row>
    <row r="574" spans="1:2" x14ac:dyDescent="0.15">
      <c r="A574" s="3">
        <v>659</v>
      </c>
      <c r="B574" s="3" t="s">
        <v>614</v>
      </c>
    </row>
    <row r="575" spans="1:2" x14ac:dyDescent="0.15">
      <c r="A575" s="3">
        <v>660</v>
      </c>
      <c r="B575" s="3" t="s">
        <v>615</v>
      </c>
    </row>
    <row r="576" spans="1:2" x14ac:dyDescent="0.15">
      <c r="A576" s="3">
        <v>661</v>
      </c>
      <c r="B576" s="3" t="s">
        <v>616</v>
      </c>
    </row>
    <row r="577" spans="1:2" x14ac:dyDescent="0.15">
      <c r="A577" s="3">
        <v>662</v>
      </c>
      <c r="B577" s="3" t="s">
        <v>30</v>
      </c>
    </row>
    <row r="578" spans="1:2" x14ac:dyDescent="0.15">
      <c r="A578" s="3">
        <v>663</v>
      </c>
      <c r="B578" s="3" t="s">
        <v>617</v>
      </c>
    </row>
    <row r="579" spans="1:2" x14ac:dyDescent="0.15">
      <c r="A579" s="3">
        <v>995</v>
      </c>
      <c r="B579" s="3" t="s">
        <v>618</v>
      </c>
    </row>
  </sheetData>
  <mergeCells count="6">
    <mergeCell ref="V1:W1"/>
    <mergeCell ref="X1:Y1"/>
    <mergeCell ref="Z1:AA1"/>
    <mergeCell ref="P1:Q1"/>
    <mergeCell ref="T1:U1"/>
    <mergeCell ref="R1:S1"/>
  </mergeCells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BAC9-EDC6-4C51-AA88-6C0F8A94F7D5}">
  <dimension ref="A1:AR11"/>
  <sheetViews>
    <sheetView workbookViewId="0"/>
  </sheetViews>
  <sheetFormatPr defaultRowHeight="13.5" x14ac:dyDescent="0.15"/>
  <cols>
    <col min="11" max="11" width="15.375" customWidth="1"/>
  </cols>
  <sheetData>
    <row r="1" spans="1:44" s="32" customFormat="1" x14ac:dyDescent="0.15">
      <c r="A1" s="33" t="s">
        <v>0</v>
      </c>
      <c r="B1" s="33" t="s">
        <v>1421</v>
      </c>
      <c r="C1" s="33" t="s">
        <v>1</v>
      </c>
      <c r="D1" s="33" t="s">
        <v>2</v>
      </c>
      <c r="E1" s="33" t="s">
        <v>1897</v>
      </c>
      <c r="F1" s="33" t="s">
        <v>1638</v>
      </c>
      <c r="G1" s="33" t="s">
        <v>1641</v>
      </c>
      <c r="H1" s="33" t="s">
        <v>1898</v>
      </c>
      <c r="I1" s="33" t="s">
        <v>1899</v>
      </c>
      <c r="J1" s="33" t="s">
        <v>1642</v>
      </c>
      <c r="K1" s="33" t="s">
        <v>3</v>
      </c>
      <c r="L1" s="33" t="s">
        <v>1422</v>
      </c>
      <c r="M1" s="33" t="s">
        <v>1900</v>
      </c>
      <c r="N1" s="33" t="s">
        <v>1901</v>
      </c>
      <c r="O1" s="33" t="s">
        <v>1902</v>
      </c>
      <c r="P1" s="33" t="s">
        <v>1903</v>
      </c>
      <c r="Q1" s="33" t="s">
        <v>1904</v>
      </c>
      <c r="R1" s="33" t="s">
        <v>1905</v>
      </c>
      <c r="S1" s="33" t="s">
        <v>1906</v>
      </c>
      <c r="T1" s="33" t="s">
        <v>1907</v>
      </c>
      <c r="U1" s="33" t="s">
        <v>1908</v>
      </c>
      <c r="V1" s="33" t="s">
        <v>1909</v>
      </c>
      <c r="W1" s="33" t="s">
        <v>1910</v>
      </c>
      <c r="X1" s="33" t="s">
        <v>1911</v>
      </c>
      <c r="Y1" s="33" t="s">
        <v>1912</v>
      </c>
      <c r="Z1" s="33" t="s">
        <v>1913</v>
      </c>
      <c r="AA1" s="33" t="s">
        <v>1914</v>
      </c>
      <c r="AB1" s="33" t="s">
        <v>1915</v>
      </c>
      <c r="AC1" s="33" t="s">
        <v>1916</v>
      </c>
      <c r="AD1" s="33" t="s">
        <v>1917</v>
      </c>
      <c r="AE1" s="33" t="s">
        <v>1918</v>
      </c>
      <c r="AF1" s="33" t="s">
        <v>1919</v>
      </c>
      <c r="AG1" s="33" t="s">
        <v>1920</v>
      </c>
      <c r="AH1" s="33" t="s">
        <v>1921</v>
      </c>
      <c r="AI1" s="33" t="s">
        <v>1922</v>
      </c>
      <c r="AJ1" s="33" t="s">
        <v>1923</v>
      </c>
      <c r="AK1" s="33" t="s">
        <v>1924</v>
      </c>
      <c r="AL1" s="33" t="s">
        <v>1925</v>
      </c>
      <c r="AM1" s="33" t="s">
        <v>1926</v>
      </c>
      <c r="AN1" s="33" t="s">
        <v>1423</v>
      </c>
      <c r="AO1" s="33"/>
    </row>
    <row r="2" spans="1:44" x14ac:dyDescent="0.15">
      <c r="A2" s="35" t="s">
        <v>2145</v>
      </c>
      <c r="B2" s="35">
        <v>-19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6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CheckLevel=true,","")&amp;IF(P2&gt;0,"bWhisperChannel=true,","")&amp;IF(Q2&gt;0,"bCenterAlarm=true,","")&amp;IF(R2&gt;0,"bScreenHead=true,","")&amp;IF(S2&gt;0,"bPartyBuffList=true,","")&amp;IF(T2&gt;0,"bBuffList=true,","")&amp;IF(U2&gt;0,"bTeamPanel=true,","")&amp;IF(V2&gt;0,"bOnlySelfSrc=true,","")&amp;"},"&amp;"[2]={"&amp;IF(W2&gt;0,"bCheckLevel=true,","")&amp;IF(X2&gt;0,"bWhisperChannel=true,","")&amp;IF(Y2&gt;0,"bCenterAlarm=true,","")&amp;"},"&amp;IF(OR(Z2&gt;0,AD2&lt;&gt;"",AE2&gt;0,AF2&lt;&gt;"",AG2&lt;&gt;"",AH2&gt;0,AI2&gt;0,AJ2&gt;0,AK2&gt;0),"aCataclysmBuff={{"&amp;IF(Z2&gt;0,"nStackNum="&amp;Z2&amp;",","")&amp;IF(AA2&lt;&gt;"","szStackOp="""&amp;AA2&amp;""",","")&amp;IF(AB2&gt;0,"bOnlyMine=true,","")&amp;IF(AC2&gt;0,"bOnlyMe=true,","")&amp;IF(AD2&lt;&gt;"","szReminder="""&amp;K2&amp;""",","")&amp;IF(AE2&gt;0,"nPriority="&amp;AE2&amp;",","")&amp;IF(AF2&lt;&gt;"","col="""&amp;AF2&amp;""",","")&amp;IF(AG2&lt;&gt;"","colScreenHead="""&amp;AG2&amp;""",","")&amp;IF(AH2&gt;0,"nColAlpha="&amp;AH2&amp;",","")&amp;IF(AI2&gt;0,"bAttention=true,","")&amp;IF(AJ2&gt;0,"bCaution=true,","")&amp;IF(AK2&gt;0,"bScreenHead=true,","")&amp;"},"&amp;AL2&amp;"},","")&amp;IF(AN2&lt;&gt;"","tCountdown={"&amp;_xlfn.TEXTJOIN("",TRUE,AN2:ZY2)&amp;"},","")&amp;"},",IF(C1&gt;0,"},","")&amp;IF(AND(B2="",C2="",OR(B1&lt;&gt;"",C1&lt;&gt;"")),"},}","")))</f>
        <v>[-19]={</v>
      </c>
      <c r="AN2" s="35"/>
      <c r="AO2" s="35"/>
      <c r="AP2" s="35"/>
      <c r="AQ2" s="35"/>
      <c r="AR2" s="35"/>
    </row>
    <row r="3" spans="1:44" x14ac:dyDescent="0.15">
      <c r="A3" s="35"/>
      <c r="B3" s="35"/>
      <c r="C3" s="35">
        <v>244</v>
      </c>
      <c r="D3" s="35">
        <v>1</v>
      </c>
      <c r="E3" s="35"/>
      <c r="F3" s="35"/>
      <c r="G3" s="35"/>
      <c r="H3" s="35">
        <v>1</v>
      </c>
      <c r="I3" s="35">
        <v>1</v>
      </c>
      <c r="J3" s="35"/>
      <c r="K3" s="36" t="s">
        <v>1942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6" t="str">
        <f t="shared" ref="AM3:AM9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CheckLevel=true,","")&amp;IF(P3&gt;0,"bWhisperChannel=true,","")&amp;IF(Q3&gt;0,"bCenterAlarm=true,","")&amp;IF(R3&gt;0,"bScreenHead=true,","")&amp;IF(S3&gt;0,"bPartyBuffList=true,","")&amp;IF(T3&gt;0,"bBuffList=true,","")&amp;IF(U3&gt;0,"bTeamPanel=true,","")&amp;IF(V3&gt;0,"bOnlySelfSrc=true,","")&amp;"},"&amp;"[2]={"&amp;IF(W3&gt;0,"bCheckLevel=true,","")&amp;IF(X3&gt;0,"bWhisperChannel=true,","")&amp;IF(Y3&gt;0,"bCenterAlarm=true,","")&amp;"},"&amp;IF(OR(Z3&gt;0,AD3&lt;&gt;"",AE3&gt;0,AF3&lt;&gt;"",AG3&lt;&gt;"",AH3&gt;0,AI3&gt;0,AJ3&gt;0,AK3&gt;0),"aCataclysmBuff={{"&amp;IF(Z3&gt;0,"nStackNum="&amp;Z3&amp;",","")&amp;IF(AA3&lt;&gt;"","szStackOp="""&amp;AA3&amp;""",","")&amp;IF(AB3&gt;0,"bOnlyMine=true,","")&amp;IF(AC3&gt;0,"bOnlyMe=true,","")&amp;IF(AD3&lt;&gt;"","szReminder="""&amp;K3&amp;""",","")&amp;IF(AE3&gt;0,"nPriority="&amp;AE3&amp;",","")&amp;IF(AF3&lt;&gt;"","col="""&amp;AF3&amp;""",","")&amp;IF(AG3&lt;&gt;"","colScreenHead="""&amp;AG3&amp;""",","")&amp;IF(AH3&gt;0,"nColAlpha="&amp;AH3&amp;",","")&amp;IF(AI3&gt;0,"bAttention=true,","")&amp;IF(AJ3&gt;0,"bCaution=true,","")&amp;IF(AK3&gt;0,"bScreenHead=true,","")&amp;"},"&amp;AL3&amp;"},","")&amp;IF(AN3&lt;&gt;"","tCountdown={"&amp;_xlfn.TEXTJOIN("",TRUE,AN3:ZY3)&amp;"},","")&amp;"},",IF(C2&gt;0,"},","")&amp;IF(AND(B3="",C3="",OR(B2&lt;&gt;"",C2&lt;&gt;"")),"},}","")))</f>
        <v>{dwID=244,nLevel=1,bCheckLevel=true,nScrutinyType=1,szNote="骑御",[1]={},[2]={},tCountdown={{nClass=2,nIcon=6678,nFrame=6,szName="骑御·调息",nTime=-1,key="骑御·调息",},{nClass=2,nIcon=6491,nFrame=-1,szName="",nTime=0.01,nRefresh=300,key="骑御·劲足",},{nClass=2,nIcon=6491,nFrame=0,szName="骑御·劲足",nTime=-1,key="骑御·劲足",},{nClass=1,nIcon=6678,nFrame=6,szName="调息7级·buff触发倒计时",nTime="18.8,调息·7级·触发剩余;22.8,调息·5级·触发剩余",nRefresh=1,key="骑御·调息",},},},</v>
      </c>
      <c r="AN3" s="35" t="s">
        <v>1929</v>
      </c>
      <c r="AO3" s="35" t="s">
        <v>1930</v>
      </c>
      <c r="AP3" s="35" t="s">
        <v>1931</v>
      </c>
      <c r="AQ3" s="35" t="s">
        <v>1932</v>
      </c>
      <c r="AR3" s="35"/>
    </row>
    <row r="4" spans="1:44" x14ac:dyDescent="0.15">
      <c r="A4" s="35"/>
      <c r="B4" s="35"/>
      <c r="C4" s="35">
        <v>8477</v>
      </c>
      <c r="D4" s="35">
        <v>1</v>
      </c>
      <c r="E4" s="35"/>
      <c r="F4" s="35">
        <v>6491</v>
      </c>
      <c r="G4" s="35" t="s">
        <v>1933</v>
      </c>
      <c r="H4" s="35"/>
      <c r="I4" s="35">
        <v>1</v>
      </c>
      <c r="J4" s="35"/>
      <c r="K4" s="36" t="s">
        <v>1941</v>
      </c>
      <c r="L4" s="35"/>
      <c r="M4" s="35"/>
      <c r="N4" s="35"/>
      <c r="O4" s="35"/>
      <c r="P4" s="35"/>
      <c r="Q4" s="35"/>
      <c r="R4" s="35"/>
      <c r="S4" s="35"/>
      <c r="T4" s="35">
        <v>1</v>
      </c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6" t="str">
        <f t="shared" si="0"/>
        <v>{dwID=8477,nLevel=1,nIcon=6491,szName="劲足",nScrutinyType=1,szNote="速度·劲足",[1]={bBuffList=true,},[2]={},tCountdown={{nClass=1,nIcon=6678,nFrame=0,szName="骑御·调息",nTime=0,key="骑御·调息",},{nClass=1,nIcon=6678,nFrame=-1,szName="骑御·调息",nTime=0.01,nRefresh=300,key="骑御·调息",},{nClass=1,nIcon=6678,nFrame=-1,szName="骑御·调息",nTime=-1,nRefresh=300,key="骑御·调息",},{nClass=1,nIcon=6491,nFrame=6,szName="骑御·劲足",nTime=0.5,nRefresh=300,key="骑御·劲足",},{nClass=2,nIcon=6491,nFrame=4,szName="劲足·消失",nTime=2,nRefresh=3000,key="骑御·劲足",},},},</v>
      </c>
      <c r="AN4" s="35" t="s">
        <v>1934</v>
      </c>
      <c r="AO4" s="35" t="s">
        <v>1935</v>
      </c>
      <c r="AP4" s="35" t="s">
        <v>1936</v>
      </c>
      <c r="AQ4" s="35" t="s">
        <v>1937</v>
      </c>
      <c r="AR4" s="35" t="s">
        <v>1945</v>
      </c>
    </row>
    <row r="5" spans="1:44" x14ac:dyDescent="0.15">
      <c r="A5" s="35"/>
      <c r="B5" s="35"/>
      <c r="C5" s="35">
        <v>8607</v>
      </c>
      <c r="D5" s="35">
        <v>1</v>
      </c>
      <c r="E5" s="35"/>
      <c r="F5" s="35"/>
      <c r="G5" s="35"/>
      <c r="H5" s="35"/>
      <c r="I5" s="35"/>
      <c r="J5" s="35"/>
      <c r="K5" s="36" t="s">
        <v>1940</v>
      </c>
      <c r="L5" s="35"/>
      <c r="M5" s="35"/>
      <c r="N5" s="35"/>
      <c r="O5" s="35"/>
      <c r="P5" s="35"/>
      <c r="Q5" s="35"/>
      <c r="R5" s="35"/>
      <c r="S5" s="35"/>
      <c r="T5" s="35">
        <v>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6" t="str">
        <f t="shared" si="0"/>
        <v>{dwID=8607,nLevel=1,szNote="气力·调息",[1]={bBuffList=true,},[2]={},tCountdown={{nClass=1,nIcon=6678,nFrame=6,szName="骑御·调息",nTime=0,key="骑御·调息",},},},</v>
      </c>
      <c r="AN5" s="35" t="s">
        <v>1938</v>
      </c>
      <c r="AO5" s="35"/>
      <c r="AP5" s="35"/>
      <c r="AQ5" s="35"/>
      <c r="AR5" s="35"/>
    </row>
    <row r="6" spans="1:44" x14ac:dyDescent="0.15">
      <c r="A6" s="31" t="s">
        <v>1657</v>
      </c>
      <c r="B6" s="31">
        <v>-7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6" t="str">
        <f t="shared" si="0"/>
        <v>},[-7]={</v>
      </c>
      <c r="AN6" s="31"/>
      <c r="AO6" s="31"/>
      <c r="AP6" s="31"/>
      <c r="AQ6" s="31"/>
      <c r="AR6" s="31"/>
    </row>
    <row r="7" spans="1:44" x14ac:dyDescent="0.15">
      <c r="A7" s="31"/>
      <c r="B7" s="31"/>
      <c r="C7" s="31">
        <v>7561</v>
      </c>
      <c r="D7" s="31">
        <v>1</v>
      </c>
      <c r="E7" s="31"/>
      <c r="F7" s="31"/>
      <c r="G7" s="31"/>
      <c r="H7" s="31"/>
      <c r="I7" s="31"/>
      <c r="J7" s="31"/>
      <c r="K7" s="31" t="s">
        <v>1944</v>
      </c>
      <c r="L7" s="31" t="s">
        <v>1655</v>
      </c>
      <c r="M7" s="31"/>
      <c r="N7" s="31"/>
      <c r="O7" s="31"/>
      <c r="P7" s="31"/>
      <c r="Q7" s="31"/>
      <c r="R7" s="31">
        <v>1</v>
      </c>
      <c r="S7" s="31">
        <v>1</v>
      </c>
      <c r="T7" s="31">
        <v>1</v>
      </c>
      <c r="U7" s="31">
        <v>1</v>
      </c>
      <c r="V7" s="31"/>
      <c r="W7" s="31"/>
      <c r="X7" s="31"/>
      <c r="Y7" s="31"/>
      <c r="Z7" s="31"/>
      <c r="AA7" s="31"/>
      <c r="AB7" s="31"/>
      <c r="AC7" s="31"/>
      <c r="AD7" s="31" t="s">
        <v>2133</v>
      </c>
      <c r="AE7" s="31">
        <v>4</v>
      </c>
      <c r="AF7" s="31" t="s">
        <v>1927</v>
      </c>
      <c r="AG7" s="31" t="s">
        <v>1928</v>
      </c>
      <c r="AH7" s="31">
        <v>255</v>
      </c>
      <c r="AI7" s="31"/>
      <c r="AJ7" s="31"/>
      <c r="AK7" s="31">
        <v>1</v>
      </c>
      <c r="AL7" s="31"/>
      <c r="AM7" s="36" t="str">
        <f t="shared" si="0"/>
        <v>{dwID=7561,nLevel=1,szNote="守卫据点",col={0,255,0,},[1]={bScreenHead=true,bPartyBuffList=true,bBuffList=true,bTeamPanel=true,},[2]={},aCataclysmBuff={{szReminder="守卫据点",nPriority=4,col="#00FF00FF",colScreenHead="#00FF00",nColAlpha=255,bScreenHead=true,},},},</v>
      </c>
      <c r="AN7" s="31"/>
      <c r="AO7" s="31"/>
      <c r="AP7" s="31"/>
      <c r="AQ7" s="31"/>
      <c r="AR7" s="31"/>
    </row>
    <row r="8" spans="1:44" x14ac:dyDescent="0.15">
      <c r="A8" s="31"/>
      <c r="B8" s="31"/>
      <c r="C8" s="31">
        <v>7525</v>
      </c>
      <c r="D8" s="31">
        <v>1</v>
      </c>
      <c r="E8" s="31"/>
      <c r="F8" s="31"/>
      <c r="G8" s="31"/>
      <c r="H8" s="31"/>
      <c r="I8" s="31"/>
      <c r="J8" s="31"/>
      <c r="K8" s="31" t="s">
        <v>1943</v>
      </c>
      <c r="L8" s="31" t="s">
        <v>1655</v>
      </c>
      <c r="M8" s="31"/>
      <c r="N8" s="31"/>
      <c r="O8" s="31"/>
      <c r="P8" s="31"/>
      <c r="Q8" s="31"/>
      <c r="R8" s="31">
        <v>1</v>
      </c>
      <c r="S8" s="31">
        <v>1</v>
      </c>
      <c r="T8" s="31">
        <v>1</v>
      </c>
      <c r="U8" s="31">
        <v>1</v>
      </c>
      <c r="V8" s="31"/>
      <c r="W8" s="31"/>
      <c r="X8" s="31"/>
      <c r="Y8" s="31"/>
      <c r="Z8" s="31"/>
      <c r="AA8" s="31"/>
      <c r="AB8" s="31"/>
      <c r="AC8" s="31"/>
      <c r="AD8" s="31" t="s">
        <v>2132</v>
      </c>
      <c r="AE8" s="31">
        <v>4</v>
      </c>
      <c r="AF8" s="31" t="s">
        <v>1927</v>
      </c>
      <c r="AG8" s="31" t="s">
        <v>1928</v>
      </c>
      <c r="AH8" s="31">
        <v>255</v>
      </c>
      <c r="AI8" s="31"/>
      <c r="AJ8" s="31"/>
      <c r="AK8" s="31">
        <v>1</v>
      </c>
      <c r="AL8" s="31"/>
      <c r="AM8" s="36" t="str">
        <f t="shared" si="0"/>
        <v>{dwID=7525,nLevel=1,szNote="据点大旗",col={0,255,0,},[1]={bScreenHead=true,bPartyBuffList=true,bBuffList=true,bTeamPanel=true,},[2]={},aCataclysmBuff={{szReminder="据点大旗",nPriority=4,col="#00FF00FF",colScreenHead="#00FF00",nColAlpha=255,bScreenHead=true,},},tCountdown={{nClass=1,key="占领据点",nTime=600,szName="【{$receiver}】·占领据点",nFrame=8,nIcon=592,},{nClass=2,key="占领据点",nTime=0,szName="占领据点",nFrame=8,nIcon=592,},},},</v>
      </c>
      <c r="AN8" s="31" t="s">
        <v>2216</v>
      </c>
      <c r="AO8" s="31" t="s">
        <v>2215</v>
      </c>
      <c r="AP8" s="31"/>
      <c r="AQ8" s="31"/>
      <c r="AR8" s="31"/>
    </row>
    <row r="9" spans="1:44" x14ac:dyDescent="0.15">
      <c r="AM9" s="36" t="str">
        <f t="shared" si="0"/>
        <v>},},}</v>
      </c>
    </row>
    <row r="10" spans="1:44" x14ac:dyDescent="0.15">
      <c r="AM10" s="36"/>
    </row>
    <row r="11" spans="1:44" x14ac:dyDescent="0.15">
      <c r="AM11" s="36"/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C877-1799-48AF-987C-71E994537D5C}">
  <dimension ref="A1:BU9"/>
  <sheetViews>
    <sheetView tabSelected="1" topLeftCell="AI1" workbookViewId="0">
      <selection activeCell="AO3" sqref="AO3"/>
    </sheetView>
  </sheetViews>
  <sheetFormatPr defaultRowHeight="13.5" x14ac:dyDescent="0.15"/>
  <cols>
    <col min="39" max="39" width="9.25" customWidth="1"/>
    <col min="41" max="41" width="37.625" customWidth="1"/>
  </cols>
  <sheetData>
    <row r="1" spans="1:73" x14ac:dyDescent="0.15">
      <c r="A1" s="34" t="s">
        <v>0</v>
      </c>
      <c r="B1" s="34" t="s">
        <v>1421</v>
      </c>
      <c r="C1" s="34" t="s">
        <v>1</v>
      </c>
      <c r="D1" s="34" t="s">
        <v>2</v>
      </c>
      <c r="E1" s="34" t="s">
        <v>1897</v>
      </c>
      <c r="F1" s="34" t="s">
        <v>1638</v>
      </c>
      <c r="G1" s="34" t="s">
        <v>1641</v>
      </c>
      <c r="H1" s="34" t="s">
        <v>1898</v>
      </c>
      <c r="I1" s="34" t="s">
        <v>1899</v>
      </c>
      <c r="J1" s="34" t="s">
        <v>1642</v>
      </c>
      <c r="K1" s="34" t="s">
        <v>3</v>
      </c>
      <c r="L1" s="34" t="s">
        <v>1422</v>
      </c>
      <c r="M1" s="34" t="s">
        <v>1900</v>
      </c>
      <c r="N1" s="34" t="s">
        <v>1901</v>
      </c>
      <c r="O1" s="34" t="s">
        <v>1902</v>
      </c>
      <c r="P1" s="34" t="s">
        <v>1903</v>
      </c>
      <c r="Q1" s="34" t="s">
        <v>1904</v>
      </c>
      <c r="R1" s="34" t="s">
        <v>1905</v>
      </c>
      <c r="S1" s="34" t="s">
        <v>1906</v>
      </c>
      <c r="T1" s="34" t="s">
        <v>1907</v>
      </c>
      <c r="U1" s="34" t="s">
        <v>1908</v>
      </c>
      <c r="V1" s="34" t="s">
        <v>1909</v>
      </c>
      <c r="W1" s="34" t="s">
        <v>1910</v>
      </c>
      <c r="X1" s="34" t="s">
        <v>1911</v>
      </c>
      <c r="Y1" s="34" t="s">
        <v>1912</v>
      </c>
      <c r="Z1" s="34" t="s">
        <v>1913</v>
      </c>
      <c r="AA1" s="34" t="s">
        <v>1914</v>
      </c>
      <c r="AB1" s="34" t="s">
        <v>1915</v>
      </c>
      <c r="AC1" s="34" t="s">
        <v>1916</v>
      </c>
      <c r="AD1" s="34" t="s">
        <v>1917</v>
      </c>
      <c r="AE1" s="34" t="s">
        <v>1918</v>
      </c>
      <c r="AF1" s="34" t="s">
        <v>1919</v>
      </c>
      <c r="AG1" s="34" t="s">
        <v>1920</v>
      </c>
      <c r="AH1" s="34" t="s">
        <v>1921</v>
      </c>
      <c r="AI1" s="34" t="s">
        <v>1922</v>
      </c>
      <c r="AJ1" s="34" t="s">
        <v>1923</v>
      </c>
      <c r="AK1" s="34" t="s">
        <v>1924</v>
      </c>
      <c r="AL1" s="34" t="s">
        <v>1925</v>
      </c>
      <c r="AM1" s="34" t="s">
        <v>1939</v>
      </c>
      <c r="AN1" s="34" t="s">
        <v>1423</v>
      </c>
    </row>
    <row r="2" spans="1:73" x14ac:dyDescent="0.15">
      <c r="A2" s="36" t="s">
        <v>2145</v>
      </c>
      <c r="B2" s="36">
        <v>-19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CheckLevel=true,","")&amp;IF(P2&gt;0,"bWhisperChannel=true,","")&amp;IF(Q2&gt;0,"bCenterAlarm=true,","")&amp;IF(R2&gt;0,"bScreenHead=true,","")&amp;IF(S2&gt;0,"bPartyBuffList=true,","")&amp;IF(T2&gt;0,"bBuffList=true,","")&amp;IF(U2&gt;0,"bTeamPanel=true,","")&amp;IF(V2&gt;0,"bOnlySelfSrc=true,","")&amp;"},"&amp;"[2]={"&amp;IF(W2&gt;0,"bCheckLevel=true,","")&amp;IF(X2&gt;0,"bWhisperChannel=true,","")&amp;IF(Y2&gt;0,"bCenterAlarm=true,","")&amp;"},"&amp;IF(OR(Z2&gt;0,AD2&lt;&gt;"",AE2&gt;0,AF2&lt;&gt;"",AG2&lt;&gt;"",AH2&gt;0,AI2&gt;0,AJ2&gt;0,AK2&gt;0),"aCataclysmBuff={{"&amp;IF(Z2&gt;0,"nStackNum="&amp;Z2&amp;",","")&amp;IF(AA2&lt;&gt;"","szStackOp="""&amp;AA2&amp;""",","")&amp;IF(AB2&gt;0,"bOnlyMine=true,","")&amp;IF(AC2&gt;0,"bOnlyMe=true,","")&amp;IF(AD2&lt;&gt;"","szReminder="""&amp;K2&amp;""",","")&amp;IF(AE2&gt;0,"nPriority="&amp;AE2&amp;",","")&amp;IF(AF2&lt;&gt;"","col="""&amp;AF2&amp;""",","")&amp;IF(AG2&lt;&gt;"","colScreenHead="""&amp;AG2&amp;""",","")&amp;IF(AH2&gt;0,"nColAlpha="&amp;AH2&amp;",","")&amp;IF(AI2&gt;0,"bAttention=true,","")&amp;IF(AJ2&gt;0,"bCaution=true,","")&amp;IF(AK2&gt;0,"bScreenHead=true,","")&amp;"},"&amp;AL2&amp;"},","")&amp;IF(AN2&lt;&gt;"","tCountdown={"&amp;_xlfn.TEXTJOIN("",TRUE,AN2:ZY2)&amp;"},","")&amp;"},",IF(C1&gt;0,"},","")&amp;IF(AND(B2="",C2="",OR(B1&lt;&gt;"",C1&lt;&gt;"")),"},}","")))</f>
        <v>[-19]={</v>
      </c>
      <c r="AN2" s="36"/>
      <c r="AO2" s="36"/>
      <c r="AP2" s="36"/>
      <c r="AQ2" s="36"/>
      <c r="AR2" s="36"/>
      <c r="AS2" s="36"/>
    </row>
    <row r="3" spans="1:73" x14ac:dyDescent="0.15">
      <c r="A3" s="36"/>
      <c r="B3" s="36"/>
      <c r="C3" s="36">
        <v>2104</v>
      </c>
      <c r="D3" s="36">
        <v>1</v>
      </c>
      <c r="E3" s="36"/>
      <c r="F3" s="36"/>
      <c r="G3" s="36"/>
      <c r="H3" s="36"/>
      <c r="I3" s="36"/>
      <c r="J3" s="36"/>
      <c r="K3" s="36" t="s">
        <v>2190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 t="str">
        <f t="shared" ref="AM3:AM5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CheckLevel=true,","")&amp;IF(P3&gt;0,"bWhisperChannel=true,","")&amp;IF(Q3&gt;0,"bCenterAlarm=true,","")&amp;IF(R3&gt;0,"bScreenHead=true,","")&amp;IF(S3&gt;0,"bPartyBuffList=true,","")&amp;IF(T3&gt;0,"bBuffList=true,","")&amp;IF(U3&gt;0,"bTeamPanel=true,","")&amp;IF(V3&gt;0,"bOnlySelfSrc=true,","")&amp;"},"&amp;"[2]={"&amp;IF(W3&gt;0,"bCheckLevel=true,","")&amp;IF(X3&gt;0,"bWhisperChannel=true,","")&amp;IF(Y3&gt;0,"bCenterAlarm=true,","")&amp;"},"&amp;IF(OR(Z3&gt;0,AD3&lt;&gt;"",AE3&gt;0,AF3&lt;&gt;"",AG3&lt;&gt;"",AH3&gt;0,AI3&gt;0,AJ3&gt;0,AK3&gt;0),"aCataclysmBuff={{"&amp;IF(Z3&gt;0,"nStackNum="&amp;Z3&amp;",","")&amp;IF(AA3&lt;&gt;"","szStackOp="""&amp;AA3&amp;""",","")&amp;IF(AB3&gt;0,"bOnlyMine=true,","")&amp;IF(AC3&gt;0,"bOnlyMe=true,","")&amp;IF(AD3&lt;&gt;"","szReminder="""&amp;K3&amp;""",","")&amp;IF(AE3&gt;0,"nPriority="&amp;AE3&amp;",","")&amp;IF(AF3&lt;&gt;"","col="""&amp;AF3&amp;""",","")&amp;IF(AG3&lt;&gt;"","colScreenHead="""&amp;AG3&amp;""",","")&amp;IF(AH3&gt;0,"nColAlpha="&amp;AH3&amp;",","")&amp;IF(AI3&gt;0,"bAttention=true,","")&amp;IF(AJ3&gt;0,"bCaution=true,","")&amp;IF(AK3&gt;0,"bScreenHead=true,","")&amp;"},"&amp;AL3&amp;"},","")&amp;IF(AN3&lt;&gt;"","tCountdown={"&amp;_xlfn.TEXTJOIN("",TRUE,AN3:ZY3)&amp;"},","")&amp;"},",IF(C2&gt;0,"},","")&amp;IF(AND(B3="",C3="",OR(B2&lt;&gt;"",C2&lt;&gt;"")),"},}","")))</f>
        <v>{dwID=2104,nLevel=1,szNote="一触即发·开启事件",[1]={},[2]={},tCountdown={{nClass=1,nIcon=13,nFrame=0,szName="拾取间隔",nTime=0,key="拾取间隔",},{nClass=1,nIcon=2399,nFrame=2,szName="召请CD·王遗风",nTime=-1,key="召请CD·王遗风",},{nClass=1,nIcon=2399,nFrame=2,szName="召请CD·肖药儿",nTime=-1,key="召请CD·肖药儿",},{nClass=1,nIcon=2399,nFrame=2,szName="召请CD·司徒一一",nTime=-1,key="召请CD·司徒一一",},{nClass=1,nIcon=2399,nFrame=2,szName="召请CD·陶寒亭",nTime=-1,key="召请CD·陶寒亭",},{nClass=1,nIcon=2399,nFrame=2,szName="召请CD·米丽古丽",nTime=-1,key="召请CD·米丽古丽",},{nClass=1,nIcon=2399,nFrame=2,szName="召请CD·白某",nTime=-1,key="召请CD·白某",},{nClass=1,nIcon=2399,nFrame=2,szName="召请CD·谢渊",nTime=-1,key="召请CD·谢渊",},{nClass=1,nIcon=2399,nFrame=2,szName="召请CD·月弄痕",nTime=-1,key="召请CD·月弄痕",},{nClass=1,nIcon=2399,nFrame=2,szName="召请CD·游驹",nTime=-1,key="召请CD·游驹",},{nClass=1,nIcon=2399,nFrame=2,szName="召请CD·小七",nTime=-1,key="召请CD·小七",},{nClass=1,nIcon=2399,nFrame=2,szName="召请CD·张桎辕",nTime=-1,key="召请CD·张桎辕",},{nClass=1,nIcon=2399,nFrame=2,szName="召请CD·司空仲平",nTime=-1,key="召请CD·司空仲平",},},},</v>
      </c>
      <c r="AN3" s="36" t="s">
        <v>2192</v>
      </c>
      <c r="AO3" s="36" t="s">
        <v>2217</v>
      </c>
      <c r="AP3" s="36" t="s">
        <v>2218</v>
      </c>
      <c r="AQ3" s="36" t="s">
        <v>2219</v>
      </c>
      <c r="AR3" s="36" t="s">
        <v>2220</v>
      </c>
      <c r="AS3" s="36" t="s">
        <v>2221</v>
      </c>
      <c r="AT3" t="s">
        <v>2222</v>
      </c>
      <c r="AU3" t="s">
        <v>2223</v>
      </c>
      <c r="AV3" t="s">
        <v>2224</v>
      </c>
      <c r="AW3" t="s">
        <v>2225</v>
      </c>
      <c r="AX3" t="s">
        <v>2226</v>
      </c>
      <c r="AY3" t="s">
        <v>2227</v>
      </c>
      <c r="AZ3" t="s">
        <v>2228</v>
      </c>
    </row>
    <row r="4" spans="1:73" x14ac:dyDescent="0.15">
      <c r="A4" s="36"/>
      <c r="B4" s="36"/>
      <c r="C4" s="36">
        <v>2105</v>
      </c>
      <c r="D4" s="36">
        <v>1</v>
      </c>
      <c r="E4" s="36"/>
      <c r="F4" s="36"/>
      <c r="G4" s="36"/>
      <c r="H4" s="36"/>
      <c r="I4" s="36"/>
      <c r="J4" s="36"/>
      <c r="K4" s="36" t="s">
        <v>2189</v>
      </c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 t="str">
        <f t="shared" si="0"/>
        <v>{dwID=2105,nLevel=1,szNote="偃旗息鼓·结束时间",[1]={},[2]={},tCountdown={{nClass=2,nIcon=13,nFrame=0,szName="拾取间隔",nTime=0,key="拾取间隔",},{nClass=2,nIcon=13,nFrame=-1,szName="谢渊·月弄痕·减伤",nTime=-1,key="谢渊·月弄痕·减伤",},{nClass=2,nIcon=13,nFrame=-1,szName="谢渊·游驹·减伤",nTime=-1,key="谢渊·游驹·减伤",},{nClass=2,nIcon=13,nFrame=-1,szName="谢渊·小七·减伤",nTime=-1,key="谢渊·小七·减伤",},{nClass=2,nIcon=13,nFrame=-1,szName="谢渊·张桎辕·减伤",nTime=-1,key="谢渊·张桎辕·减伤",},{nClass=2,nIcon=13,nFrame=-1,szName="谢渊·司空仲平·减伤",nTime=-1,key="谢渊·司空仲平·减伤",},{nClass=2,nIcon=13,nFrame=-1,szName="王遗风·司徒一一·减伤",nTime=-1,key="王遗风·司徒一一·减伤",},{nClass=2,nIcon=13,nFrame=-1,szName="王遗风·白某·减伤",nTime=-1,key="王遗风·白某·减伤",},{nClass=2,nIcon=13,nFrame=-1,szName="王遗风·米丽古丽·减伤",nTime=-1,key="王遗风·米丽古丽·减伤",},{nClass=2,nIcon=13,nFrame=-1,szName="王遗风·陶寒亭·减伤",nTime=-1,key="王遗风·陶寒亭·减伤",},{nClass=2,nIcon=13,nFrame=-1,szName="王遗风·肖药儿·减伤",nTime=-1,key="王遗风·肖药儿·减伤",},{nClass=2,nIcon=13,nFrame=-1,szName="王遗风·伊夜·减伤",nTime=-1,key="王遗风·伊夜·减伤",},{nClass=2,nIcon=13,nFrame=-1,szName="王遗风·丁丁·减伤",nTime=-1,key="王遗风·丁丁·减伤",},{nClass=2,nIcon=13,nFrame=-1,szName="王遗风·岳琅·减伤",nTime=-1,key="王遗风·岳琅·减伤",},{nClass=2,nIcon=13,nFrame=-1,szName="王遗风·毕罗巴·减伤",nTime=-1,key="王遗风·毕罗巴·减伤",},{nClass=2,nIcon=13,nFrame=-1,szName="王遗风·烟·减伤",nTime=-1,key="王遗风·烟·减伤",},{nClass=2,nIcon=13,nFrame=-1,szName="王遗风·独孤修·减伤",nTime=-1,key="王遗风·独孤修·减伤",},{nClass=2,nIcon=13,nFrame=-1,szName="谢渊·韩非池·减伤",nTime=-1,key="谢渊·韩非池·减伤",},{nClass=2,nIcon=13,nFrame=-1,szName="谢渊·赵紫儿·减伤",nTime=-1,key="谢渊·赵紫儿·减伤",},{nClass=2,nIcon=13,nFrame=-1,szName="谢渊·叶镜池·减伤",nTime=-1,key="谢渊·叶镜池·减伤",},{nClass=2,nIcon=13,nFrame=-1,szName="谢渊·郭珠·减伤",nTime=-1,key="谢渊·郭珠·减伤",},{nClass=2,nIcon=13,nFrame=-1,szName="谢渊·穆玄英·减伤",nTime=-1,key="谢渊·穆玄英·减伤",},{nClass=2,nIcon=13,nFrame=-1,szName="谢渊·影·减伤",nTime=-1,key="谢渊·影·减伤",},},},</v>
      </c>
      <c r="AN4" s="36" t="s">
        <v>2191</v>
      </c>
      <c r="AO4" s="36" t="s">
        <v>2193</v>
      </c>
      <c r="AP4" s="36" t="s">
        <v>2194</v>
      </c>
      <c r="AQ4" s="36" t="s">
        <v>2195</v>
      </c>
      <c r="AR4" s="36" t="s">
        <v>2214</v>
      </c>
      <c r="AS4" s="36" t="s">
        <v>2196</v>
      </c>
      <c r="AT4" s="36" t="s">
        <v>2197</v>
      </c>
      <c r="AU4" s="36" t="s">
        <v>2198</v>
      </c>
      <c r="AV4" s="36" t="s">
        <v>2199</v>
      </c>
      <c r="AW4" s="36" t="s">
        <v>2200</v>
      </c>
      <c r="AX4" s="36" t="s">
        <v>2201</v>
      </c>
      <c r="AY4" s="36" t="s">
        <v>2202</v>
      </c>
      <c r="AZ4" s="36" t="s">
        <v>2203</v>
      </c>
      <c r="BA4" s="36" t="s">
        <v>2204</v>
      </c>
      <c r="BB4" s="36" t="s">
        <v>2205</v>
      </c>
      <c r="BC4" s="36" t="s">
        <v>2206</v>
      </c>
      <c r="BD4" s="36" t="s">
        <v>2207</v>
      </c>
      <c r="BE4" s="36" t="s">
        <v>2208</v>
      </c>
      <c r="BF4" s="36" t="s">
        <v>2209</v>
      </c>
      <c r="BG4" s="36" t="s">
        <v>2210</v>
      </c>
      <c r="BH4" s="36" t="s">
        <v>2211</v>
      </c>
      <c r="BI4" s="36" t="s">
        <v>2212</v>
      </c>
      <c r="BJ4" s="36" t="s">
        <v>2213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</row>
    <row r="5" spans="1:73" x14ac:dyDescent="0.15">
      <c r="AM5" s="36" t="str">
        <f t="shared" si="0"/>
        <v>},},}</v>
      </c>
    </row>
    <row r="6" spans="1:73" x14ac:dyDescent="0.15">
      <c r="AM6" s="36"/>
    </row>
    <row r="7" spans="1:73" x14ac:dyDescent="0.15">
      <c r="BL7" s="36"/>
      <c r="BM7" s="36"/>
      <c r="BN7" s="36"/>
      <c r="BO7" s="36"/>
      <c r="BP7" s="36"/>
      <c r="BQ7" s="36"/>
      <c r="BR7" s="36"/>
      <c r="BS7" s="36"/>
      <c r="BT7" s="36"/>
      <c r="BU7" s="36"/>
    </row>
    <row r="9" spans="1:73" x14ac:dyDescent="0.15">
      <c r="BH9" s="36"/>
      <c r="BI9" s="36"/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3522-3835-4C9C-9EE8-73D49C8C2672}">
  <dimension ref="A1:W322"/>
  <sheetViews>
    <sheetView workbookViewId="0">
      <selection activeCell="X16" sqref="X16"/>
    </sheetView>
  </sheetViews>
  <sheetFormatPr defaultRowHeight="13.5" x14ac:dyDescent="0.15"/>
  <cols>
    <col min="1" max="1" width="11" customWidth="1"/>
    <col min="3" max="3" width="10.75" customWidth="1"/>
    <col min="6" max="8" width="0" hidden="1" customWidth="1"/>
    <col min="9" max="9" width="18.125" customWidth="1"/>
    <col min="11" max="15" width="0" hidden="1" customWidth="1"/>
    <col min="16" max="16" width="10.625" customWidth="1"/>
    <col min="17" max="19" width="0" hidden="1" customWidth="1"/>
    <col min="20" max="20" width="14.5" hidden="1" customWidth="1"/>
  </cols>
  <sheetData>
    <row r="1" spans="1:23" x14ac:dyDescent="0.15">
      <c r="A1" t="s">
        <v>0</v>
      </c>
      <c r="B1" t="s">
        <v>1421</v>
      </c>
      <c r="C1" t="s">
        <v>1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3</v>
      </c>
      <c r="J1" t="s">
        <v>1422</v>
      </c>
      <c r="K1" t="s">
        <v>1643</v>
      </c>
      <c r="L1" t="s">
        <v>1644</v>
      </c>
      <c r="M1" t="s">
        <v>1645</v>
      </c>
      <c r="N1" t="s">
        <v>1646</v>
      </c>
      <c r="O1" t="s">
        <v>1647</v>
      </c>
      <c r="P1" t="s">
        <v>1648</v>
      </c>
      <c r="Q1" t="s">
        <v>1649</v>
      </c>
      <c r="R1" t="s">
        <v>1650</v>
      </c>
      <c r="S1" t="s">
        <v>1651</v>
      </c>
      <c r="T1" t="s">
        <v>1652</v>
      </c>
      <c r="U1" t="s">
        <v>1653</v>
      </c>
      <c r="V1" t="s">
        <v>1654</v>
      </c>
      <c r="W1" t="s">
        <v>1423</v>
      </c>
    </row>
    <row r="2" spans="1:23" x14ac:dyDescent="0.15">
      <c r="A2" t="s">
        <v>1657</v>
      </c>
      <c r="B2">
        <v>-7</v>
      </c>
      <c r="V2" t="str">
        <f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"},"&amp;"[4]={"&amp;IF(Q2&lt;&gt;"","szVoice="""&amp;Q2&amp;""",","")&amp;IF(R2&gt;0,"bTeamChannel=true,","")&amp;IF(S2&gt;0,"bWhisperChannel=true,","")&amp;IF(T2&gt;0,"bCenterAlarm=true,","")&amp;"},"&amp;IF(U2&lt;&gt;"","aFocus={"&amp;U2&amp;"},","")&amp;IF(W2&lt;&gt;"","tCountdown={"&amp;_xlfn.TEXTJOIN("",TRUE,W2:ZZ2)&amp;"},","")&amp;"},")))</f>
        <v>[-7]={</v>
      </c>
    </row>
    <row r="3" spans="1:23" x14ac:dyDescent="0.15">
      <c r="C3">
        <v>30221</v>
      </c>
      <c r="D3">
        <v>52</v>
      </c>
      <c r="I3" t="s">
        <v>1862</v>
      </c>
      <c r="U3" t="s">
        <v>1825</v>
      </c>
      <c r="V3" s="36" t="str">
        <f t="shared" ref="V3:V66" si="0">IF(ISBLANK(B3)=FALSE,IF(ISBLANK(B2),"},["&amp;B3&amp;"]={","["&amp;B3&amp;"]={"),IF(AND(ISBLANK(B3),ISBLANK(D3),ISBLANK(C3),OR(ISBLANK(B2)=FALSE,ISBLANK(D2)=FALSE,ISBLANK(C2)=FALSE)),"},},}",IF(ISBLANK(C3),"","{dwID="&amp;C3&amp;","&amp;"nFrame="&amp;D3&amp;","&amp;IF(E3&gt;0,"nCount="&amp;E3&amp;",","")&amp;IF(F3&gt;0,"bAllLeave=true,","")&amp;IF(G3&lt;&gt;"","szName="""&amp;G3&amp;""",","")&amp;IF(H3&lt;&gt;"","tKungFu={"&amp;H3&amp;"},","")&amp;IF(I3&lt;&gt;"","szNote="""&amp;I3&amp;""",","")&amp;IF(J3&lt;&gt;"","col={"&amp;J3&amp;"},","")&amp;"[3]={"&amp;IF(K3&lt;&gt;"","tMark={"&amp;K3&amp;"},","")&amp;IF(L3&lt;&gt;"","szVoice="""&amp;L3&amp;""",","")&amp;IF(M3&gt;0,"bTeamChannel=true,","")&amp;IF(N3&gt;0,"bWhisperChannel=true,","")&amp;IF(O3&gt;0,"bCenterAlarm=true,","")&amp;IF(P3&gt;0,"bScreenHead=true,","")&amp;"},"&amp;"[4]={"&amp;IF(Q3&lt;&gt;"","szVoice="""&amp;Q3&amp;""",","")&amp;IF(R3&gt;0,"bTeamChannel=true,","")&amp;IF(S3&gt;0,"bWhisperChannel=true,","")&amp;IF(T3&gt;0,"bCenterAlarm=true,","")&amp;"},"&amp;IF(U3&lt;&gt;"","aFocus={"&amp;U3&amp;"},","")&amp;IF(W3&lt;&gt;"","tCountdown={"&amp;_xlfn.TEXTJOIN("",TRUE,W3:ZZ3)&amp;"},","")&amp;"},")))</f>
        <v>{dwID=30221,nFrame=52,szNote="通用箭塔·龙门荒漠",[3]={},[4]={},aFocus={{dwMapID=-1,nMaxDistance=0,tRelation={bAll=false,bEnemy=true,bAlly=false,},tLife={bEnable=true,szOperator="&gt;=",nValue=10,},},},},</v>
      </c>
    </row>
    <row r="4" spans="1:23" x14ac:dyDescent="0.15">
      <c r="C4">
        <v>30222</v>
      </c>
      <c r="D4">
        <v>52</v>
      </c>
      <c r="I4" t="s">
        <v>1862</v>
      </c>
      <c r="U4" t="s">
        <v>1825</v>
      </c>
      <c r="V4" s="36" t="str">
        <f t="shared" si="0"/>
        <v>{dwID=30222,nFrame=52,szNote="通用箭塔·龙门荒漠",[3]={},[4]={},aFocus={{dwMapID=-1,nMaxDistance=0,tRelation={bAll=false,bEnemy=true,bAlly=false,},tLife={bEnable=true,szOperator="&gt;=",nValue=10,},},},},</v>
      </c>
    </row>
    <row r="5" spans="1:23" x14ac:dyDescent="0.15">
      <c r="C5">
        <v>30231</v>
      </c>
      <c r="D5">
        <v>52</v>
      </c>
      <c r="I5" t="s">
        <v>1862</v>
      </c>
      <c r="U5" t="s">
        <v>1825</v>
      </c>
      <c r="V5" s="36" t="str">
        <f t="shared" si="0"/>
        <v>{dwID=30231,nFrame=52,szNote="通用箭塔·龙门荒漠",[3]={},[4]={},aFocus={{dwMapID=-1,nMaxDistance=0,tRelation={bAll=false,bEnemy=true,bAlly=false,},tLife={bEnable=true,szOperator="&gt;=",nValue=10,},},},},</v>
      </c>
    </row>
    <row r="6" spans="1:23" x14ac:dyDescent="0.15">
      <c r="C6">
        <v>30232</v>
      </c>
      <c r="D6">
        <v>52</v>
      </c>
      <c r="I6" t="s">
        <v>1862</v>
      </c>
      <c r="U6" t="s">
        <v>1825</v>
      </c>
      <c r="V6" s="36" t="str">
        <f t="shared" si="0"/>
        <v>{dwID=30232,nFrame=52,szNote="通用箭塔·龙门荒漠",[3]={},[4]={},aFocus={{dwMapID=-1,nMaxDistance=0,tRelation={bAll=false,bEnemy=true,bAlly=false,},tLife={bEnable=true,szOperator="&gt;=",nValue=10,},},},},</v>
      </c>
    </row>
    <row r="7" spans="1:23" x14ac:dyDescent="0.15">
      <c r="C7">
        <v>29301</v>
      </c>
      <c r="D7">
        <v>52</v>
      </c>
      <c r="I7" t="s">
        <v>1862</v>
      </c>
      <c r="U7" t="s">
        <v>1825</v>
      </c>
      <c r="V7" s="36" t="str">
        <f t="shared" si="0"/>
        <v>{dwID=29301,nFrame=52,szNote="通用箭塔·龙门荒漠",[3]={},[4]={},aFocus={{dwMapID=-1,nMaxDistance=0,tRelation={bAll=false,bEnemy=true,bAlly=false,},tLife={bEnable=true,szOperator="&gt;=",nValue=10,},},},},</v>
      </c>
    </row>
    <row r="8" spans="1:23" x14ac:dyDescent="0.15">
      <c r="C8">
        <v>29302</v>
      </c>
      <c r="D8">
        <v>52</v>
      </c>
      <c r="I8" t="s">
        <v>1862</v>
      </c>
      <c r="U8" t="s">
        <v>1825</v>
      </c>
      <c r="V8" s="36" t="str">
        <f t="shared" si="0"/>
        <v>{dwID=29302,nFrame=52,szNote="通用箭塔·龙门荒漠",[3]={},[4]={},aFocus={{dwMapID=-1,nMaxDistance=0,tRelation={bAll=false,bEnemy=true,bAlly=false,},tLife={bEnable=true,szOperator="&gt;=",nValue=10,},},},},</v>
      </c>
    </row>
    <row r="9" spans="1:23" x14ac:dyDescent="0.15">
      <c r="C9">
        <v>29303</v>
      </c>
      <c r="D9">
        <v>52</v>
      </c>
      <c r="I9" t="s">
        <v>1862</v>
      </c>
      <c r="U9" t="s">
        <v>1825</v>
      </c>
      <c r="V9" s="36" t="str">
        <f t="shared" si="0"/>
        <v>{dwID=29303,nFrame=52,szNote="通用箭塔·龙门荒漠",[3]={},[4]={},aFocus={{dwMapID=-1,nMaxDistance=0,tRelation={bAll=false,bEnemy=true,bAlly=false,},tLife={bEnable=true,szOperator="&gt;=",nValue=10,},},},},</v>
      </c>
    </row>
    <row r="10" spans="1:23" x14ac:dyDescent="0.15">
      <c r="C10">
        <v>29304</v>
      </c>
      <c r="D10">
        <v>52</v>
      </c>
      <c r="I10" t="s">
        <v>1862</v>
      </c>
      <c r="U10" t="s">
        <v>1825</v>
      </c>
      <c r="V10" s="36" t="str">
        <f t="shared" si="0"/>
        <v>{dwID=29304,nFrame=52,szNote="通用箭塔·龙门荒漠",[3]={},[4]={},aFocus={{dwMapID=-1,nMaxDistance=0,tRelation={bAll=false,bEnemy=true,bAlly=false,},tLife={bEnable=true,szOperator="&gt;=",nValue=10,},},},},</v>
      </c>
    </row>
    <row r="11" spans="1:23" x14ac:dyDescent="0.15">
      <c r="C11">
        <v>29305</v>
      </c>
      <c r="D11">
        <v>52</v>
      </c>
      <c r="I11" t="s">
        <v>1862</v>
      </c>
      <c r="U11" t="s">
        <v>1825</v>
      </c>
      <c r="V11" s="36" t="str">
        <f t="shared" si="0"/>
        <v>{dwID=29305,nFrame=52,szNote="通用箭塔·龙门荒漠",[3]={},[4]={},aFocus={{dwMapID=-1,nMaxDistance=0,tRelation={bAll=false,bEnemy=true,bAlly=false,},tLife={bEnable=true,szOperator="&gt;=",nValue=10,},},},},</v>
      </c>
    </row>
    <row r="12" spans="1:23" x14ac:dyDescent="0.15">
      <c r="C12">
        <v>29306</v>
      </c>
      <c r="D12">
        <v>52</v>
      </c>
      <c r="I12" t="s">
        <v>1862</v>
      </c>
      <c r="U12" t="s">
        <v>1825</v>
      </c>
      <c r="V12" s="36" t="str">
        <f t="shared" si="0"/>
        <v>{dwID=29306,nFrame=52,szNote="通用箭塔·龙门荒漠",[3]={},[4]={},aFocus={{dwMapID=-1,nMaxDistance=0,tRelation={bAll=false,bEnemy=true,bAlly=false,},tLife={bEnable=true,szOperator="&gt;=",nValue=10,},},},},</v>
      </c>
    </row>
    <row r="13" spans="1:23" x14ac:dyDescent="0.15">
      <c r="C13">
        <v>29307</v>
      </c>
      <c r="D13">
        <v>52</v>
      </c>
      <c r="I13" t="s">
        <v>1862</v>
      </c>
      <c r="U13" t="s">
        <v>1825</v>
      </c>
      <c r="V13" s="36" t="str">
        <f t="shared" si="0"/>
        <v>{dwID=29307,nFrame=52,szNote="通用箭塔·龙门荒漠",[3]={},[4]={},aFocus={{dwMapID=-1,nMaxDistance=0,tRelation={bAll=false,bEnemy=true,bAlly=false,},tLife={bEnable=true,szOperator="&gt;=",nValue=10,},},},},</v>
      </c>
    </row>
    <row r="14" spans="1:23" x14ac:dyDescent="0.15">
      <c r="C14">
        <v>29308</v>
      </c>
      <c r="D14">
        <v>52</v>
      </c>
      <c r="I14" t="s">
        <v>1862</v>
      </c>
      <c r="U14" t="s">
        <v>1825</v>
      </c>
      <c r="V14" s="36" t="str">
        <f t="shared" si="0"/>
        <v>{dwID=29308,nFrame=52,szNote="通用箭塔·龙门荒漠",[3]={},[4]={},aFocus={{dwMapID=-1,nMaxDistance=0,tRelation={bAll=false,bEnemy=true,bAlly=false,},tLife={bEnable=true,szOperator="&gt;=",nValue=10,},},},},</v>
      </c>
    </row>
    <row r="15" spans="1:23" x14ac:dyDescent="0.15">
      <c r="C15">
        <v>29309</v>
      </c>
      <c r="D15">
        <v>52</v>
      </c>
      <c r="I15" t="s">
        <v>1862</v>
      </c>
      <c r="U15" t="s">
        <v>1825</v>
      </c>
      <c r="V15" s="36" t="str">
        <f t="shared" si="0"/>
        <v>{dwID=29309,nFrame=52,szNote="通用箭塔·龙门荒漠",[3]={},[4]={},aFocus={{dwMapID=-1,nMaxDistance=0,tRelation={bAll=false,bEnemy=true,bAlly=false,},tLife={bEnable=true,szOperator="&gt;=",nValue=10,},},},},</v>
      </c>
    </row>
    <row r="16" spans="1:23" x14ac:dyDescent="0.15">
      <c r="C16">
        <v>30122</v>
      </c>
      <c r="D16">
        <v>52</v>
      </c>
      <c r="I16" t="s">
        <v>1862</v>
      </c>
      <c r="U16" t="s">
        <v>1825</v>
      </c>
      <c r="V16" s="36" t="str">
        <f t="shared" si="0"/>
        <v>{dwID=30122,nFrame=52,szNote="通用箭塔·龙门荒漠",[3]={},[4]={},aFocus={{dwMapID=-1,nMaxDistance=0,tRelation={bAll=false,bEnemy=true,bAlly=false,},tLife={bEnable=true,szOperator="&gt;=",nValue=10,},},},},</v>
      </c>
    </row>
    <row r="17" spans="3:22" x14ac:dyDescent="0.15">
      <c r="C17">
        <v>30123</v>
      </c>
      <c r="D17">
        <v>52</v>
      </c>
      <c r="I17" t="s">
        <v>1862</v>
      </c>
      <c r="U17" t="s">
        <v>1825</v>
      </c>
      <c r="V17" s="36" t="str">
        <f t="shared" si="0"/>
        <v>{dwID=30123,nFrame=52,szNote="通用箭塔·龙门荒漠",[3]={},[4]={},aFocus={{dwMapID=-1,nMaxDistance=0,tRelation={bAll=false,bEnemy=true,bAlly=false,},tLife={bEnable=true,szOperator="&gt;=",nValue=10,},},},},</v>
      </c>
    </row>
    <row r="18" spans="3:22" x14ac:dyDescent="0.15">
      <c r="C18">
        <v>30131</v>
      </c>
      <c r="D18">
        <v>52</v>
      </c>
      <c r="I18" t="s">
        <v>1862</v>
      </c>
      <c r="U18" t="s">
        <v>1825</v>
      </c>
      <c r="V18" s="36" t="str">
        <f t="shared" si="0"/>
        <v>{dwID=30131,nFrame=52,szNote="通用箭塔·龙门荒漠",[3]={},[4]={},aFocus={{dwMapID=-1,nMaxDistance=0,tRelation={bAll=false,bEnemy=true,bAlly=false,},tLife={bEnable=true,szOperator="&gt;=",nValue=10,},},},},</v>
      </c>
    </row>
    <row r="19" spans="3:22" x14ac:dyDescent="0.15">
      <c r="C19">
        <v>29801</v>
      </c>
      <c r="D19">
        <v>52</v>
      </c>
      <c r="I19" t="s">
        <v>1863</v>
      </c>
      <c r="U19" t="s">
        <v>1825</v>
      </c>
      <c r="V19" s="36" t="str">
        <f t="shared" si="0"/>
        <v>{dwID=29801,nFrame=52,szNote="通用箭塔·昆仑",[3]={},[4]={},aFocus={{dwMapID=-1,nMaxDistance=0,tRelation={bAll=false,bEnemy=true,bAlly=false,},tLife={bEnable=true,szOperator="&gt;=",nValue=10,},},},},</v>
      </c>
    </row>
    <row r="20" spans="3:22" x14ac:dyDescent="0.15">
      <c r="C20">
        <v>29802</v>
      </c>
      <c r="D20">
        <v>52</v>
      </c>
      <c r="I20" t="s">
        <v>1863</v>
      </c>
      <c r="U20" t="s">
        <v>1825</v>
      </c>
      <c r="V20" s="36" t="str">
        <f t="shared" si="0"/>
        <v>{dwID=29802,nFrame=52,szNote="通用箭塔·昆仑",[3]={},[4]={},aFocus={{dwMapID=-1,nMaxDistance=0,tRelation={bAll=false,bEnemy=true,bAlly=false,},tLife={bEnable=true,szOperator="&gt;=",nValue=10,},},},},</v>
      </c>
    </row>
    <row r="21" spans="3:22" x14ac:dyDescent="0.15">
      <c r="C21">
        <v>29803</v>
      </c>
      <c r="D21">
        <v>52</v>
      </c>
      <c r="I21" t="s">
        <v>1863</v>
      </c>
      <c r="U21" t="s">
        <v>1825</v>
      </c>
      <c r="V21" s="36" t="str">
        <f t="shared" si="0"/>
        <v>{dwID=29803,nFrame=52,szNote="通用箭塔·昆仑",[3]={},[4]={},aFocus={{dwMapID=-1,nMaxDistance=0,tRelation={bAll=false,bEnemy=true,bAlly=false,},tLife={bEnable=true,szOperator="&gt;=",nValue=10,},},},},</v>
      </c>
    </row>
    <row r="22" spans="3:22" x14ac:dyDescent="0.15">
      <c r="C22">
        <v>29103</v>
      </c>
      <c r="D22">
        <v>52</v>
      </c>
      <c r="I22" t="s">
        <v>1864</v>
      </c>
      <c r="U22" t="s">
        <v>1825</v>
      </c>
      <c r="V22" s="36" t="str">
        <f t="shared" si="0"/>
        <v>{dwID=29103,nFrame=52,szNote="通用箭塔·瞿塘峡",[3]={},[4]={},aFocus={{dwMapID=-1,nMaxDistance=0,tRelation={bAll=false,bEnemy=true,bAlly=false,},tLife={bEnable=true,szOperator="&gt;=",nValue=10,},},},},</v>
      </c>
    </row>
    <row r="23" spans="3:22" x14ac:dyDescent="0.15">
      <c r="C23">
        <v>29203</v>
      </c>
      <c r="D23">
        <v>52</v>
      </c>
      <c r="I23" t="s">
        <v>1864</v>
      </c>
      <c r="U23" t="s">
        <v>1825</v>
      </c>
      <c r="V23" s="36" t="str">
        <f t="shared" si="0"/>
        <v>{dwID=29203,nFrame=52,szNote="通用箭塔·瞿塘峡",[3]={},[4]={},aFocus={{dwMapID=-1,nMaxDistance=0,tRelation={bAll=false,bEnemy=true,bAlly=false,},tLife={bEnable=true,szOperator="&gt;=",nValue=10,},},},},</v>
      </c>
    </row>
    <row r="24" spans="3:22" x14ac:dyDescent="0.15">
      <c r="C24">
        <v>29204</v>
      </c>
      <c r="D24">
        <v>52</v>
      </c>
      <c r="I24" t="s">
        <v>1864</v>
      </c>
      <c r="U24" t="s">
        <v>1825</v>
      </c>
      <c r="V24" s="36" t="str">
        <f t="shared" si="0"/>
        <v>{dwID=29204,nFrame=52,szNote="通用箭塔·瞿塘峡",[3]={},[4]={},aFocus={{dwMapID=-1,nMaxDistance=0,tRelation={bAll=false,bEnemy=true,bAlly=false,},tLife={bEnable=true,szOperator="&gt;=",nValue=10,},},},},</v>
      </c>
    </row>
    <row r="25" spans="3:22" x14ac:dyDescent="0.15">
      <c r="C25">
        <v>29205</v>
      </c>
      <c r="D25">
        <v>52</v>
      </c>
      <c r="I25" t="s">
        <v>1864</v>
      </c>
      <c r="U25" t="s">
        <v>1825</v>
      </c>
      <c r="V25" s="36" t="str">
        <f t="shared" si="0"/>
        <v>{dwID=29205,nFrame=52,szNote="通用箭塔·瞿塘峡",[3]={},[4]={},aFocus={{dwMapID=-1,nMaxDistance=0,tRelation={bAll=false,bEnemy=true,bAlly=false,},tLife={bEnable=true,szOperator="&gt;=",nValue=10,},},},},</v>
      </c>
    </row>
    <row r="26" spans="3:22" x14ac:dyDescent="0.15">
      <c r="C26">
        <v>29206</v>
      </c>
      <c r="D26">
        <v>52</v>
      </c>
      <c r="I26" t="s">
        <v>1864</v>
      </c>
      <c r="U26" t="s">
        <v>1825</v>
      </c>
      <c r="V26" s="36" t="str">
        <f t="shared" si="0"/>
        <v>{dwID=29206,nFrame=52,szNote="通用箭塔·瞿塘峡",[3]={},[4]={},aFocus={{dwMapID=-1,nMaxDistance=0,tRelation={bAll=false,bEnemy=true,bAlly=false,},tLife={bEnable=true,szOperator="&gt;=",nValue=10,},},},},</v>
      </c>
    </row>
    <row r="27" spans="3:22" x14ac:dyDescent="0.15">
      <c r="C27">
        <v>29013</v>
      </c>
      <c r="D27">
        <v>52</v>
      </c>
      <c r="I27" t="s">
        <v>1865</v>
      </c>
      <c r="U27" t="s">
        <v>1825</v>
      </c>
      <c r="V27" s="36" t="str">
        <f t="shared" si="0"/>
        <v>{dwID=29013,nFrame=52,szNote="通用箭塔·无量山",[3]={},[4]={},aFocus={{dwMapID=-1,nMaxDistance=0,tRelation={bAll=false,bEnemy=true,bAlly=false,},tLife={bEnable=true,szOperator="&gt;=",nValue=10,},},},},</v>
      </c>
    </row>
    <row r="28" spans="3:22" x14ac:dyDescent="0.15">
      <c r="C28">
        <v>30241</v>
      </c>
      <c r="D28">
        <v>52</v>
      </c>
      <c r="I28" t="s">
        <v>1866</v>
      </c>
      <c r="U28" t="s">
        <v>1825</v>
      </c>
      <c r="V28" s="36" t="str">
        <f t="shared" si="0"/>
        <v>{dwID=30241,nFrame=52,szNote="通用箭塔·苍山洱海",[3]={},[4]={},aFocus={{dwMapID=-1,nMaxDistance=0,tRelation={bAll=false,bEnemy=true,bAlly=false,},tLife={bEnable=true,szOperator="&gt;=",nValue=10,},},},},</v>
      </c>
    </row>
    <row r="29" spans="3:22" x14ac:dyDescent="0.15">
      <c r="C29">
        <v>30242</v>
      </c>
      <c r="D29">
        <v>52</v>
      </c>
      <c r="I29" t="s">
        <v>1866</v>
      </c>
      <c r="U29" t="s">
        <v>1825</v>
      </c>
      <c r="V29" s="36" t="str">
        <f t="shared" si="0"/>
        <v>{dwID=30242,nFrame=52,szNote="通用箭塔·苍山洱海",[3]={},[4]={},aFocus={{dwMapID=-1,nMaxDistance=0,tRelation={bAll=false,bEnemy=true,bAlly=false,},tLife={bEnable=true,szOperator="&gt;=",nValue=10,},},},},</v>
      </c>
    </row>
    <row r="30" spans="3:22" x14ac:dyDescent="0.15">
      <c r="C30">
        <v>30251</v>
      </c>
      <c r="D30">
        <v>52</v>
      </c>
      <c r="I30" t="s">
        <v>1866</v>
      </c>
      <c r="U30" t="s">
        <v>1825</v>
      </c>
      <c r="V30" s="36" t="str">
        <f t="shared" si="0"/>
        <v>{dwID=30251,nFrame=52,szNote="通用箭塔·苍山洱海",[3]={},[4]={},aFocus={{dwMapID=-1,nMaxDistance=0,tRelation={bAll=false,bEnemy=true,bAlly=false,},tLife={bEnable=true,szOperator="&gt;=",nValue=10,},},},},</v>
      </c>
    </row>
    <row r="31" spans="3:22" x14ac:dyDescent="0.15">
      <c r="C31">
        <v>30252</v>
      </c>
      <c r="D31">
        <v>52</v>
      </c>
      <c r="I31" t="s">
        <v>1866</v>
      </c>
      <c r="U31" t="s">
        <v>1825</v>
      </c>
      <c r="V31" s="36" t="str">
        <f t="shared" si="0"/>
        <v>{dwID=30252,nFrame=52,szNote="通用箭塔·苍山洱海",[3]={},[4]={},aFocus={{dwMapID=-1,nMaxDistance=0,tRelation={bAll=false,bEnemy=true,bAlly=false,},tLife={bEnable=true,szOperator="&gt;=",nValue=10,},},},},</v>
      </c>
    </row>
    <row r="32" spans="3:22" x14ac:dyDescent="0.15">
      <c r="C32">
        <v>29601</v>
      </c>
      <c r="D32">
        <v>52</v>
      </c>
      <c r="I32" t="s">
        <v>1866</v>
      </c>
      <c r="U32" t="s">
        <v>1825</v>
      </c>
      <c r="V32" s="36" t="str">
        <f t="shared" si="0"/>
        <v>{dwID=29601,nFrame=52,szNote="通用箭塔·苍山洱海",[3]={},[4]={},aFocus={{dwMapID=-1,nMaxDistance=0,tRelation={bAll=false,bEnemy=true,bAlly=false,},tLife={bEnable=true,szOperator="&gt;=",nValue=10,},},},},</v>
      </c>
    </row>
    <row r="33" spans="3:22" x14ac:dyDescent="0.15">
      <c r="C33">
        <v>29602</v>
      </c>
      <c r="D33">
        <v>52</v>
      </c>
      <c r="I33" t="s">
        <v>1866</v>
      </c>
      <c r="U33" t="s">
        <v>1825</v>
      </c>
      <c r="V33" s="36" t="str">
        <f t="shared" si="0"/>
        <v>{dwID=29602,nFrame=52,szNote="通用箭塔·苍山洱海",[3]={},[4]={},aFocus={{dwMapID=-1,nMaxDistance=0,tRelation={bAll=false,bEnemy=true,bAlly=false,},tLife={bEnable=true,szOperator="&gt;=",nValue=10,},},},},</v>
      </c>
    </row>
    <row r="34" spans="3:22" x14ac:dyDescent="0.15">
      <c r="C34">
        <v>29603</v>
      </c>
      <c r="D34">
        <v>52</v>
      </c>
      <c r="I34" t="s">
        <v>1866</v>
      </c>
      <c r="U34" t="s">
        <v>1825</v>
      </c>
      <c r="V34" s="36" t="str">
        <f t="shared" si="0"/>
        <v>{dwID=29603,nFrame=52,szNote="通用箭塔·苍山洱海",[3]={},[4]={},aFocus={{dwMapID=-1,nMaxDistance=0,tRelation={bAll=false,bEnemy=true,bAlly=false,},tLife={bEnable=true,szOperator="&gt;=",nValue=10,},},},},</v>
      </c>
    </row>
    <row r="35" spans="3:22" x14ac:dyDescent="0.15">
      <c r="C35">
        <v>29604</v>
      </c>
      <c r="D35">
        <v>52</v>
      </c>
      <c r="I35" t="s">
        <v>1866</v>
      </c>
      <c r="U35" t="s">
        <v>1825</v>
      </c>
      <c r="V35" s="36" t="str">
        <f t="shared" si="0"/>
        <v>{dwID=29604,nFrame=52,szNote="通用箭塔·苍山洱海",[3]={},[4]={},aFocus={{dwMapID=-1,nMaxDistance=0,tRelation={bAll=false,bEnemy=true,bAlly=false,},tLife={bEnable=true,szOperator="&gt;=",nValue=10,},},},},</v>
      </c>
    </row>
    <row r="36" spans="3:22" x14ac:dyDescent="0.15">
      <c r="C36">
        <v>29605</v>
      </c>
      <c r="D36">
        <v>52</v>
      </c>
      <c r="I36" t="s">
        <v>1866</v>
      </c>
      <c r="U36" t="s">
        <v>1825</v>
      </c>
      <c r="V36" s="36" t="str">
        <f t="shared" si="0"/>
        <v>{dwID=29605,nFrame=52,szNote="通用箭塔·苍山洱海",[3]={},[4]={},aFocus={{dwMapID=-1,nMaxDistance=0,tRelation={bAll=false,bEnemy=true,bAlly=false,},tLife={bEnable=true,szOperator="&gt;=",nValue=10,},},},},</v>
      </c>
    </row>
    <row r="37" spans="3:22" x14ac:dyDescent="0.15">
      <c r="C37">
        <v>29606</v>
      </c>
      <c r="D37">
        <v>52</v>
      </c>
      <c r="I37" t="s">
        <v>1866</v>
      </c>
      <c r="U37" t="s">
        <v>1825</v>
      </c>
      <c r="V37" s="36" t="str">
        <f t="shared" si="0"/>
        <v>{dwID=29606,nFrame=52,szNote="通用箭塔·苍山洱海",[3]={},[4]={},aFocus={{dwMapID=-1,nMaxDistance=0,tRelation={bAll=false,bEnemy=true,bAlly=false,},tLife={bEnable=true,szOperator="&gt;=",nValue=10,},},},},</v>
      </c>
    </row>
    <row r="38" spans="3:22" x14ac:dyDescent="0.15">
      <c r="C38">
        <v>29607</v>
      </c>
      <c r="D38">
        <v>52</v>
      </c>
      <c r="I38" t="s">
        <v>1866</v>
      </c>
      <c r="U38" t="s">
        <v>1825</v>
      </c>
      <c r="V38" s="36" t="str">
        <f t="shared" si="0"/>
        <v>{dwID=29607,nFrame=52,szNote="通用箭塔·苍山洱海",[3]={},[4]={},aFocus={{dwMapID=-1,nMaxDistance=0,tRelation={bAll=false,bEnemy=true,bAlly=false,},tLife={bEnable=true,szOperator="&gt;=",nValue=10,},},},},</v>
      </c>
    </row>
    <row r="39" spans="3:22" x14ac:dyDescent="0.15">
      <c r="C39">
        <v>29701</v>
      </c>
      <c r="D39">
        <v>52</v>
      </c>
      <c r="I39" t="s">
        <v>1866</v>
      </c>
      <c r="U39" t="s">
        <v>1825</v>
      </c>
      <c r="V39" s="36" t="str">
        <f t="shared" si="0"/>
        <v>{dwID=29701,nFrame=52,szNote="通用箭塔·苍山洱海",[3]={},[4]={},aFocus={{dwMapID=-1,nMaxDistance=0,tRelation={bAll=false,bEnemy=true,bAlly=false,},tLife={bEnable=true,szOperator="&gt;=",nValue=10,},},},},</v>
      </c>
    </row>
    <row r="40" spans="3:22" x14ac:dyDescent="0.15">
      <c r="C40">
        <v>29702</v>
      </c>
      <c r="D40">
        <v>52</v>
      </c>
      <c r="I40" t="s">
        <v>1866</v>
      </c>
      <c r="U40" t="s">
        <v>1825</v>
      </c>
      <c r="V40" s="36" t="str">
        <f t="shared" si="0"/>
        <v>{dwID=29702,nFrame=52,szNote="通用箭塔·苍山洱海",[3]={},[4]={},aFocus={{dwMapID=-1,nMaxDistance=0,tRelation={bAll=false,bEnemy=true,bAlly=false,},tLife={bEnable=true,szOperator="&gt;=",nValue=10,},},},},</v>
      </c>
    </row>
    <row r="41" spans="3:22" x14ac:dyDescent="0.15">
      <c r="C41">
        <v>29703</v>
      </c>
      <c r="D41">
        <v>52</v>
      </c>
      <c r="I41" t="s">
        <v>1866</v>
      </c>
      <c r="U41" t="s">
        <v>1825</v>
      </c>
      <c r="V41" s="36" t="str">
        <f t="shared" si="0"/>
        <v>{dwID=29703,nFrame=52,szNote="通用箭塔·苍山洱海",[3]={},[4]={},aFocus={{dwMapID=-1,nMaxDistance=0,tRelation={bAll=false,bEnemy=true,bAlly=false,},tLife={bEnable=true,szOperator="&gt;=",nValue=10,},},},},</v>
      </c>
    </row>
    <row r="42" spans="3:22" x14ac:dyDescent="0.15">
      <c r="C42">
        <v>29704</v>
      </c>
      <c r="D42">
        <v>52</v>
      </c>
      <c r="I42" t="s">
        <v>1866</v>
      </c>
      <c r="U42" t="s">
        <v>1825</v>
      </c>
      <c r="V42" s="36" t="str">
        <f t="shared" si="0"/>
        <v>{dwID=29704,nFrame=52,szNote="通用箭塔·苍山洱海",[3]={},[4]={},aFocus={{dwMapID=-1,nMaxDistance=0,tRelation={bAll=false,bEnemy=true,bAlly=false,},tLife={bEnable=true,szOperator="&gt;=",nValue=10,},},},},</v>
      </c>
    </row>
    <row r="43" spans="3:22" x14ac:dyDescent="0.15">
      <c r="C43">
        <v>29705</v>
      </c>
      <c r="D43">
        <v>52</v>
      </c>
      <c r="I43" t="s">
        <v>1866</v>
      </c>
      <c r="U43" t="s">
        <v>1825</v>
      </c>
      <c r="V43" s="36" t="str">
        <f t="shared" si="0"/>
        <v>{dwID=29705,nFrame=52,szNote="通用箭塔·苍山洱海",[3]={},[4]={},aFocus={{dwMapID=-1,nMaxDistance=0,tRelation={bAll=false,bEnemy=true,bAlly=false,},tLife={bEnable=true,szOperator="&gt;=",nValue=10,},},},},</v>
      </c>
    </row>
    <row r="44" spans="3:22" x14ac:dyDescent="0.15">
      <c r="C44">
        <v>29706</v>
      </c>
      <c r="D44">
        <v>52</v>
      </c>
      <c r="I44" t="s">
        <v>1866</v>
      </c>
      <c r="U44" t="s">
        <v>1825</v>
      </c>
      <c r="V44" s="36" t="str">
        <f t="shared" si="0"/>
        <v>{dwID=29706,nFrame=52,szNote="通用箭塔·苍山洱海",[3]={},[4]={},aFocus={{dwMapID=-1,nMaxDistance=0,tRelation={bAll=false,bEnemy=true,bAlly=false,},tLife={bEnable=true,szOperator="&gt;=",nValue=10,},},},},</v>
      </c>
    </row>
    <row r="45" spans="3:22" x14ac:dyDescent="0.15">
      <c r="C45">
        <v>29707</v>
      </c>
      <c r="D45">
        <v>52</v>
      </c>
      <c r="I45" t="s">
        <v>1866</v>
      </c>
      <c r="U45" t="s">
        <v>1825</v>
      </c>
      <c r="V45" s="36" t="str">
        <f t="shared" si="0"/>
        <v>{dwID=29707,nFrame=52,szNote="通用箭塔·苍山洱海",[3]={},[4]={},aFocus={{dwMapID=-1,nMaxDistance=0,tRelation={bAll=false,bEnemy=true,bAlly=false,},tLife={bEnable=true,szOperator="&gt;=",nValue=10,},},},},</v>
      </c>
    </row>
    <row r="46" spans="3:22" x14ac:dyDescent="0.15">
      <c r="C46">
        <v>30141</v>
      </c>
      <c r="D46">
        <v>52</v>
      </c>
      <c r="I46" t="s">
        <v>1866</v>
      </c>
      <c r="U46" t="s">
        <v>1825</v>
      </c>
      <c r="V46" s="36" t="str">
        <f t="shared" si="0"/>
        <v>{dwID=30141,nFrame=52,szNote="通用箭塔·苍山洱海",[3]={},[4]={},aFocus={{dwMapID=-1,nMaxDistance=0,tRelation={bAll=false,bEnemy=true,bAlly=false,},tLife={bEnable=true,szOperator="&gt;=",nValue=10,},},},},</v>
      </c>
    </row>
    <row r="47" spans="3:22" x14ac:dyDescent="0.15">
      <c r="C47">
        <v>30142</v>
      </c>
      <c r="D47">
        <v>52</v>
      </c>
      <c r="I47" t="s">
        <v>1866</v>
      </c>
      <c r="U47" t="s">
        <v>1825</v>
      </c>
      <c r="V47" s="36" t="str">
        <f t="shared" si="0"/>
        <v>{dwID=30142,nFrame=52,szNote="通用箭塔·苍山洱海",[3]={},[4]={},aFocus={{dwMapID=-1,nMaxDistance=0,tRelation={bAll=false,bEnemy=true,bAlly=false,},tLife={bEnable=true,szOperator="&gt;=",nValue=10,},},},},</v>
      </c>
    </row>
    <row r="48" spans="3:22" x14ac:dyDescent="0.15">
      <c r="C48">
        <v>30151</v>
      </c>
      <c r="D48">
        <v>52</v>
      </c>
      <c r="I48" t="s">
        <v>1866</v>
      </c>
      <c r="U48" t="s">
        <v>1825</v>
      </c>
      <c r="V48" s="36" t="str">
        <f t="shared" si="0"/>
        <v>{dwID=30151,nFrame=52,szNote="通用箭塔·苍山洱海",[3]={},[4]={},aFocus={{dwMapID=-1,nMaxDistance=0,tRelation={bAll=false,bEnemy=true,bAlly=false,},tLife={bEnable=true,szOperator="&gt;=",nValue=10,},},},},</v>
      </c>
    </row>
    <row r="49" spans="3:22" x14ac:dyDescent="0.15">
      <c r="C49">
        <v>30212</v>
      </c>
      <c r="D49">
        <v>52</v>
      </c>
      <c r="I49" t="s">
        <v>1867</v>
      </c>
      <c r="U49" t="s">
        <v>1825</v>
      </c>
      <c r="V49" s="36" t="str">
        <f t="shared" si="0"/>
        <v>{dwID=30212,nFrame=52,szNote="通用箭塔·枫华谷·战乱",[3]={},[4]={},aFocus={{dwMapID=-1,nMaxDistance=0,tRelation={bAll=false,bEnemy=true,bAlly=false,},tLife={bEnable=true,szOperator="&gt;=",nValue=10,},},},},</v>
      </c>
    </row>
    <row r="50" spans="3:22" x14ac:dyDescent="0.15">
      <c r="C50">
        <v>29202</v>
      </c>
      <c r="D50">
        <v>52</v>
      </c>
      <c r="I50" t="s">
        <v>1867</v>
      </c>
      <c r="U50" t="s">
        <v>1825</v>
      </c>
      <c r="V50" s="36" t="str">
        <f t="shared" si="0"/>
        <v>{dwID=29202,nFrame=52,szNote="通用箭塔·枫华谷·战乱",[3]={},[4]={},aFocus={{dwMapID=-1,nMaxDistance=0,tRelation={bAll=false,bEnemy=true,bAlly=false,},tLife={bEnable=true,szOperator="&gt;=",nValue=10,},},},},</v>
      </c>
    </row>
    <row r="51" spans="3:22" x14ac:dyDescent="0.15">
      <c r="C51">
        <v>30201</v>
      </c>
      <c r="D51">
        <v>52</v>
      </c>
      <c r="I51" t="s">
        <v>1868</v>
      </c>
      <c r="U51" t="s">
        <v>1825</v>
      </c>
      <c r="V51" s="36" t="str">
        <f t="shared" si="0"/>
        <v>{dwID=30201,nFrame=52,szNote="通用箭塔·马嵬驿",[3]={},[4]={},aFocus={{dwMapID=-1,nMaxDistance=0,tRelation={bAll=false,bEnemy=true,bAlly=false,},tLife={bEnable=true,szOperator="&gt;=",nValue=10,},},},},</v>
      </c>
    </row>
    <row r="52" spans="3:22" x14ac:dyDescent="0.15">
      <c r="C52">
        <v>30202</v>
      </c>
      <c r="D52">
        <v>52</v>
      </c>
      <c r="I52" t="s">
        <v>1868</v>
      </c>
      <c r="U52" t="s">
        <v>1825</v>
      </c>
      <c r="V52" s="36" t="str">
        <f t="shared" si="0"/>
        <v>{dwID=30202,nFrame=52,szNote="通用箭塔·马嵬驿",[3]={},[4]={},aFocus={{dwMapID=-1,nMaxDistance=0,tRelation={bAll=false,bEnemy=true,bAlly=false,},tLife={bEnable=true,szOperator="&gt;=",nValue=10,},},},},</v>
      </c>
    </row>
    <row r="53" spans="3:22" x14ac:dyDescent="0.15">
      <c r="C53">
        <v>30211</v>
      </c>
      <c r="D53">
        <v>52</v>
      </c>
      <c r="I53" t="s">
        <v>1868</v>
      </c>
      <c r="U53" t="s">
        <v>1825</v>
      </c>
      <c r="V53" s="36" t="str">
        <f t="shared" si="0"/>
        <v>{dwID=30211,nFrame=52,szNote="通用箭塔·马嵬驿",[3]={},[4]={},aFocus={{dwMapID=-1,nMaxDistance=0,tRelation={bAll=false,bEnemy=true,bAlly=false,},tLife={bEnable=true,szOperator="&gt;=",nValue=10,},},},},</v>
      </c>
    </row>
    <row r="54" spans="3:22" x14ac:dyDescent="0.15">
      <c r="C54">
        <v>29001</v>
      </c>
      <c r="D54">
        <v>52</v>
      </c>
      <c r="I54" t="s">
        <v>1868</v>
      </c>
      <c r="U54" t="s">
        <v>1825</v>
      </c>
      <c r="V54" s="36" t="str">
        <f t="shared" si="0"/>
        <v>{dwID=29001,nFrame=52,szNote="通用箭塔·马嵬驿",[3]={},[4]={},aFocus={{dwMapID=-1,nMaxDistance=0,tRelation={bAll=false,bEnemy=true,bAlly=false,},tLife={bEnable=true,szOperator="&gt;=",nValue=10,},},},},</v>
      </c>
    </row>
    <row r="55" spans="3:22" x14ac:dyDescent="0.15">
      <c r="C55">
        <v>29002</v>
      </c>
      <c r="D55">
        <v>52</v>
      </c>
      <c r="I55" t="s">
        <v>1868</v>
      </c>
      <c r="U55" t="s">
        <v>1825</v>
      </c>
      <c r="V55" s="36" t="str">
        <f t="shared" si="0"/>
        <v>{dwID=29002,nFrame=52,szNote="通用箭塔·马嵬驿",[3]={},[4]={},aFocus={{dwMapID=-1,nMaxDistance=0,tRelation={bAll=false,bEnemy=true,bAlly=false,},tLife={bEnable=true,szOperator="&gt;=",nValue=10,},},},},</v>
      </c>
    </row>
    <row r="56" spans="3:22" x14ac:dyDescent="0.15">
      <c r="C56">
        <v>29003</v>
      </c>
      <c r="D56">
        <v>52</v>
      </c>
      <c r="I56" t="s">
        <v>1868</v>
      </c>
      <c r="U56" t="s">
        <v>1825</v>
      </c>
      <c r="V56" s="36" t="str">
        <f t="shared" si="0"/>
        <v>{dwID=29003,nFrame=52,szNote="通用箭塔·马嵬驿",[3]={},[4]={},aFocus={{dwMapID=-1,nMaxDistance=0,tRelation={bAll=false,bEnemy=true,bAlly=false,},tLife={bEnable=true,szOperator="&gt;=",nValue=10,},},},},</v>
      </c>
    </row>
    <row r="57" spans="3:22" x14ac:dyDescent="0.15">
      <c r="C57">
        <v>29004</v>
      </c>
      <c r="D57">
        <v>52</v>
      </c>
      <c r="I57" t="s">
        <v>1868</v>
      </c>
      <c r="U57" t="s">
        <v>1825</v>
      </c>
      <c r="V57" s="36" t="str">
        <f t="shared" si="0"/>
        <v>{dwID=29004,nFrame=52,szNote="通用箭塔·马嵬驿",[3]={},[4]={},aFocus={{dwMapID=-1,nMaxDistance=0,tRelation={bAll=false,bEnemy=true,bAlly=false,},tLife={bEnable=true,szOperator="&gt;=",nValue=10,},},},},</v>
      </c>
    </row>
    <row r="58" spans="3:22" x14ac:dyDescent="0.15">
      <c r="C58">
        <v>29005</v>
      </c>
      <c r="D58">
        <v>52</v>
      </c>
      <c r="I58" t="s">
        <v>1868</v>
      </c>
      <c r="U58" t="s">
        <v>1825</v>
      </c>
      <c r="V58" s="36" t="str">
        <f t="shared" si="0"/>
        <v>{dwID=29005,nFrame=52,szNote="通用箭塔·马嵬驿",[3]={},[4]={},aFocus={{dwMapID=-1,nMaxDistance=0,tRelation={bAll=false,bEnemy=true,bAlly=false,},tLife={bEnable=true,szOperator="&gt;=",nValue=10,},},},},</v>
      </c>
    </row>
    <row r="59" spans="3:22" x14ac:dyDescent="0.15">
      <c r="C59">
        <v>29006</v>
      </c>
      <c r="D59">
        <v>52</v>
      </c>
      <c r="I59" t="s">
        <v>1868</v>
      </c>
      <c r="U59" t="s">
        <v>1825</v>
      </c>
      <c r="V59" s="36" t="str">
        <f t="shared" si="0"/>
        <v>{dwID=29006,nFrame=52,szNote="通用箭塔·马嵬驿",[3]={},[4]={},aFocus={{dwMapID=-1,nMaxDistance=0,tRelation={bAll=false,bEnemy=true,bAlly=false,},tLife={bEnable=true,szOperator="&gt;=",nValue=10,},},},},</v>
      </c>
    </row>
    <row r="60" spans="3:22" x14ac:dyDescent="0.15">
      <c r="C60">
        <v>29007</v>
      </c>
      <c r="D60">
        <v>52</v>
      </c>
      <c r="I60" t="s">
        <v>1868</v>
      </c>
      <c r="U60" t="s">
        <v>1825</v>
      </c>
      <c r="V60" s="36" t="str">
        <f t="shared" si="0"/>
        <v>{dwID=29007,nFrame=52,szNote="通用箭塔·马嵬驿",[3]={},[4]={},aFocus={{dwMapID=-1,nMaxDistance=0,tRelation={bAll=false,bEnemy=true,bAlly=false,},tLife={bEnable=true,szOperator="&gt;=",nValue=10,},},},},</v>
      </c>
    </row>
    <row r="61" spans="3:22" x14ac:dyDescent="0.15">
      <c r="C61">
        <v>29008</v>
      </c>
      <c r="D61">
        <v>52</v>
      </c>
      <c r="I61" t="s">
        <v>1868</v>
      </c>
      <c r="U61" t="s">
        <v>1825</v>
      </c>
      <c r="V61" s="36" t="str">
        <f t="shared" si="0"/>
        <v>{dwID=29008,nFrame=52,szNote="通用箭塔·马嵬驿",[3]={},[4]={},aFocus={{dwMapID=-1,nMaxDistance=0,tRelation={bAll=false,bEnemy=true,bAlly=false,},tLife={bEnable=true,szOperator="&gt;=",nValue=10,},},},},</v>
      </c>
    </row>
    <row r="62" spans="3:22" x14ac:dyDescent="0.15">
      <c r="C62">
        <v>29009</v>
      </c>
      <c r="D62">
        <v>52</v>
      </c>
      <c r="I62" t="s">
        <v>1868</v>
      </c>
      <c r="U62" t="s">
        <v>1825</v>
      </c>
      <c r="V62" s="36" t="str">
        <f t="shared" si="0"/>
        <v>{dwID=29009,nFrame=52,szNote="通用箭塔·马嵬驿",[3]={},[4]={},aFocus={{dwMapID=-1,nMaxDistance=0,tRelation={bAll=false,bEnemy=true,bAlly=false,},tLife={bEnable=true,szOperator="&gt;=",nValue=10,},},},},</v>
      </c>
    </row>
    <row r="63" spans="3:22" x14ac:dyDescent="0.15">
      <c r="C63">
        <v>29010</v>
      </c>
      <c r="D63">
        <v>52</v>
      </c>
      <c r="I63" t="s">
        <v>1868</v>
      </c>
      <c r="U63" t="s">
        <v>1825</v>
      </c>
      <c r="V63" s="36" t="str">
        <f t="shared" si="0"/>
        <v>{dwID=29010,nFrame=52,szNote="通用箭塔·马嵬驿",[3]={},[4]={},aFocus={{dwMapID=-1,nMaxDistance=0,tRelation={bAll=false,bEnemy=true,bAlly=false,},tLife={bEnable=true,szOperator="&gt;=",nValue=10,},},},},</v>
      </c>
    </row>
    <row r="64" spans="3:22" x14ac:dyDescent="0.15">
      <c r="C64">
        <v>29011</v>
      </c>
      <c r="D64">
        <v>52</v>
      </c>
      <c r="I64" t="s">
        <v>1868</v>
      </c>
      <c r="U64" t="s">
        <v>1825</v>
      </c>
      <c r="V64" s="36" t="str">
        <f t="shared" si="0"/>
        <v>{dwID=29011,nFrame=52,szNote="通用箭塔·马嵬驿",[3]={},[4]={},aFocus={{dwMapID=-1,nMaxDistance=0,tRelation={bAll=false,bEnemy=true,bAlly=false,},tLife={bEnable=true,szOperator="&gt;=",nValue=10,},},},},</v>
      </c>
    </row>
    <row r="65" spans="1:22" x14ac:dyDescent="0.15">
      <c r="C65">
        <v>29012</v>
      </c>
      <c r="D65">
        <v>52</v>
      </c>
      <c r="I65" t="s">
        <v>1868</v>
      </c>
      <c r="U65" t="s">
        <v>1825</v>
      </c>
      <c r="V65" s="36" t="str">
        <f t="shared" si="0"/>
        <v>{dwID=29012,nFrame=52,szNote="通用箭塔·马嵬驿",[3]={},[4]={},aFocus={{dwMapID=-1,nMaxDistance=0,tRelation={bAll=false,bEnemy=true,bAlly=false,},tLife={bEnable=true,szOperator="&gt;=",nValue=10,},},},},</v>
      </c>
    </row>
    <row r="66" spans="1:22" x14ac:dyDescent="0.15">
      <c r="C66">
        <v>29101</v>
      </c>
      <c r="D66">
        <v>52</v>
      </c>
      <c r="I66" t="s">
        <v>1868</v>
      </c>
      <c r="U66" t="s">
        <v>1825</v>
      </c>
      <c r="V66" s="36" t="str">
        <f t="shared" si="0"/>
        <v>{dwID=29101,nFrame=52,szNote="通用箭塔·马嵬驿",[3]={},[4]={},aFocus={{dwMapID=-1,nMaxDistance=0,tRelation={bAll=false,bEnemy=true,bAlly=false,},tLife={bEnable=true,szOperator="&gt;=",nValue=10,},},},},</v>
      </c>
    </row>
    <row r="67" spans="1:22" x14ac:dyDescent="0.15">
      <c r="C67">
        <v>29102</v>
      </c>
      <c r="D67">
        <v>52</v>
      </c>
      <c r="I67" t="s">
        <v>1868</v>
      </c>
      <c r="U67" t="s">
        <v>1825</v>
      </c>
      <c r="V67" s="36" t="str">
        <f t="shared" ref="V67:V130" si="1">IF(ISBLANK(B67)=FALSE,IF(ISBLANK(B66),"},["&amp;B67&amp;"]={","["&amp;B67&amp;"]={"),IF(AND(ISBLANK(B67),ISBLANK(D67),ISBLANK(C67),OR(ISBLANK(B66)=FALSE,ISBLANK(D66)=FALSE,ISBLANK(C66)=FALSE)),"},},}",IF(ISBLANK(C67),"","{dwID="&amp;C67&amp;","&amp;"nFrame="&amp;D67&amp;","&amp;IF(E67&gt;0,"nCount="&amp;E67&amp;",","")&amp;IF(F67&gt;0,"bAllLeave=true,","")&amp;IF(G67&lt;&gt;"","szName="""&amp;G67&amp;""",","")&amp;IF(H67&lt;&gt;"","tKungFu={"&amp;H67&amp;"},","")&amp;IF(I67&lt;&gt;"","szNote="""&amp;I67&amp;""",","")&amp;IF(J67&lt;&gt;"","col={"&amp;J67&amp;"},","")&amp;"[3]={"&amp;IF(K67&lt;&gt;"","tMark={"&amp;K67&amp;"},","")&amp;IF(L67&lt;&gt;"","szVoice="""&amp;L67&amp;""",","")&amp;IF(M67&gt;0,"bTeamChannel=true,","")&amp;IF(N67&gt;0,"bWhisperChannel=true,","")&amp;IF(O67&gt;0,"bCenterAlarm=true,","")&amp;IF(P67&gt;0,"bScreenHead=true,","")&amp;"},"&amp;"[4]={"&amp;IF(Q67&lt;&gt;"","szVoice="""&amp;Q67&amp;""",","")&amp;IF(R67&gt;0,"bTeamChannel=true,","")&amp;IF(S67&gt;0,"bWhisperChannel=true,","")&amp;IF(T67&gt;0,"bCenterAlarm=true,","")&amp;"},"&amp;IF(U67&lt;&gt;"","aFocus={"&amp;U67&amp;"},","")&amp;IF(W67&lt;&gt;"","tCountdown={"&amp;_xlfn.TEXTJOIN("",TRUE,W67:ZZ67)&amp;"},","")&amp;"},")))</f>
        <v>{dwID=29102,nFrame=52,szNote="通用箭塔·马嵬驿",[3]={},[4]={},aFocus={{dwMapID=-1,nMaxDistance=0,tRelation={bAll=false,bEnemy=true,bAlly=false,},tLife={bEnable=true,szOperator="&gt;=",nValue=10,},},},},</v>
      </c>
    </row>
    <row r="68" spans="1:22" x14ac:dyDescent="0.15">
      <c r="C68">
        <v>29201</v>
      </c>
      <c r="D68">
        <v>52</v>
      </c>
      <c r="I68" t="s">
        <v>1868</v>
      </c>
      <c r="U68" t="s">
        <v>1825</v>
      </c>
      <c r="V68" s="36" t="str">
        <f t="shared" si="1"/>
        <v>{dwID=29201,nFrame=52,szNote="通用箭塔·马嵬驿",[3]={},[4]={},aFocus={{dwMapID=-1,nMaxDistance=0,tRelation={bAll=false,bEnemy=true,bAlly=false,},tLife={bEnable=true,szOperator="&gt;=",nValue=10,},},},},</v>
      </c>
    </row>
    <row r="69" spans="1:22" x14ac:dyDescent="0.15">
      <c r="C69">
        <v>29501</v>
      </c>
      <c r="D69">
        <v>52</v>
      </c>
      <c r="I69" t="s">
        <v>1868</v>
      </c>
      <c r="U69" t="s">
        <v>1825</v>
      </c>
      <c r="V69" s="36" t="str">
        <f t="shared" si="1"/>
        <v>{dwID=29501,nFrame=52,szNote="通用箭塔·马嵬驿",[3]={},[4]={},aFocus={{dwMapID=-1,nMaxDistance=0,tRelation={bAll=false,bEnemy=true,bAlly=false,},tLife={bEnable=true,szOperator="&gt;=",nValue=10,},},},},</v>
      </c>
    </row>
    <row r="70" spans="1:22" x14ac:dyDescent="0.15">
      <c r="C70">
        <v>30101</v>
      </c>
      <c r="D70">
        <v>52</v>
      </c>
      <c r="I70" t="s">
        <v>1868</v>
      </c>
      <c r="U70" t="s">
        <v>1825</v>
      </c>
      <c r="V70" s="36" t="str">
        <f t="shared" si="1"/>
        <v>{dwID=30101,nFrame=52,szNote="通用箭塔·马嵬驿",[3]={},[4]={},aFocus={{dwMapID=-1,nMaxDistance=0,tRelation={bAll=false,bEnemy=true,bAlly=false,},tLife={bEnable=true,szOperator="&gt;=",nValue=10,},},},},</v>
      </c>
    </row>
    <row r="71" spans="1:22" x14ac:dyDescent="0.15">
      <c r="C71">
        <v>30102</v>
      </c>
      <c r="D71">
        <v>52</v>
      </c>
      <c r="I71" t="s">
        <v>1868</v>
      </c>
      <c r="U71" t="s">
        <v>1825</v>
      </c>
      <c r="V71" s="36" t="str">
        <f t="shared" si="1"/>
        <v>{dwID=30102,nFrame=52,szNote="通用箭塔·马嵬驿",[3]={},[4]={},aFocus={{dwMapID=-1,nMaxDistance=0,tRelation={bAll=false,bEnemy=true,bAlly=false,},tLife={bEnable=true,szOperator="&gt;=",nValue=10,},},},},</v>
      </c>
    </row>
    <row r="72" spans="1:22" x14ac:dyDescent="0.15">
      <c r="C72">
        <v>30103</v>
      </c>
      <c r="D72">
        <v>52</v>
      </c>
      <c r="I72" t="s">
        <v>1868</v>
      </c>
      <c r="U72" t="s">
        <v>1825</v>
      </c>
      <c r="V72" s="36" t="str">
        <f t="shared" si="1"/>
        <v>{dwID=30103,nFrame=52,szNote="通用箭塔·马嵬驿",[3]={},[4]={},aFocus={{dwMapID=-1,nMaxDistance=0,tRelation={bAll=false,bEnemy=true,bAlly=false,},tLife={bEnable=true,szOperator="&gt;=",nValue=10,},},},},</v>
      </c>
    </row>
    <row r="73" spans="1:22" x14ac:dyDescent="0.15">
      <c r="C73">
        <v>30111</v>
      </c>
      <c r="D73">
        <v>52</v>
      </c>
      <c r="I73" t="s">
        <v>1868</v>
      </c>
      <c r="U73" t="s">
        <v>1825</v>
      </c>
      <c r="V73" s="36" t="str">
        <f t="shared" si="1"/>
        <v>{dwID=30111,nFrame=52,szNote="通用箭塔·马嵬驿",[3]={},[4]={},aFocus={{dwMapID=-1,nMaxDistance=0,tRelation={bAll=false,bEnemy=true,bAlly=false,},tLife={bEnable=true,szOperator="&gt;=",nValue=10,},},},},</v>
      </c>
    </row>
    <row r="74" spans="1:22" x14ac:dyDescent="0.15">
      <c r="C74">
        <v>30112</v>
      </c>
      <c r="D74">
        <v>52</v>
      </c>
      <c r="I74" t="s">
        <v>1868</v>
      </c>
      <c r="U74" t="s">
        <v>1825</v>
      </c>
      <c r="V74" s="36" t="str">
        <f t="shared" si="1"/>
        <v>{dwID=30112,nFrame=52,szNote="通用箭塔·马嵬驿",[3]={},[4]={},aFocus={{dwMapID=-1,nMaxDistance=0,tRelation={bAll=false,bEnemy=true,bAlly=false,},tLife={bEnable=true,szOperator="&gt;=",nValue=10,},},},},</v>
      </c>
    </row>
    <row r="75" spans="1:22" x14ac:dyDescent="0.15">
      <c r="C75">
        <v>30113</v>
      </c>
      <c r="D75">
        <v>52</v>
      </c>
      <c r="I75" t="s">
        <v>1868</v>
      </c>
      <c r="U75" t="s">
        <v>1825</v>
      </c>
      <c r="V75" s="36" t="str">
        <f t="shared" si="1"/>
        <v>{dwID=30113,nFrame=52,szNote="通用箭塔·马嵬驿",[3]={},[4]={},aFocus={{dwMapID=-1,nMaxDistance=0,tRelation={bAll=false,bEnemy=true,bAlly=false,},tLife={bEnable=true,szOperator="&gt;=",nValue=10,},},},},</v>
      </c>
    </row>
    <row r="76" spans="1:22" s="36" customFormat="1" x14ac:dyDescent="0.15">
      <c r="A76" s="36" t="s">
        <v>2145</v>
      </c>
      <c r="B76" s="36">
        <v>-19</v>
      </c>
      <c r="V76" s="36" t="str">
        <f t="shared" si="1"/>
        <v>},[-19]={</v>
      </c>
    </row>
    <row r="77" spans="1:22" x14ac:dyDescent="0.15">
      <c r="C77">
        <v>46057</v>
      </c>
      <c r="D77">
        <v>47</v>
      </c>
      <c r="I77" t="s">
        <v>1819</v>
      </c>
      <c r="J77" t="s">
        <v>1435</v>
      </c>
      <c r="P77">
        <v>1</v>
      </c>
      <c r="U77" t="s">
        <v>1660</v>
      </c>
      <c r="V77" s="36" t="str">
        <f t="shared" si="1"/>
        <v>{dwID=46057,nFrame=47,szNote="恶人谷伍长",col={255,255,100,},[3]={bScreenHead=true,},[4]={},aFocus={{dwMapID=-1,nMaxDistance=10,tRelation={bAll=false,bEnemy=false,bAlly=true,},tLife={bEnable=false,szOperator="&gt;",nValue=0,},},},},</v>
      </c>
    </row>
    <row r="78" spans="1:22" x14ac:dyDescent="0.15">
      <c r="C78">
        <v>46058</v>
      </c>
      <c r="D78">
        <v>47</v>
      </c>
      <c r="I78" t="s">
        <v>1820</v>
      </c>
      <c r="J78" t="s">
        <v>1667</v>
      </c>
      <c r="P78">
        <v>1</v>
      </c>
      <c r="U78" t="s">
        <v>1660</v>
      </c>
      <c r="V78" s="36" t="str">
        <f t="shared" si="1"/>
        <v>{dwID=46058,nFrame=47,szNote="浩气盟伍长",col={100,255,255,},[3]={bScreenHead=true,},[4]={},aFocus={{dwMapID=-1,nMaxDistance=10,tRelation={bAll=false,bEnemy=false,bAlly=true,},tLife={bEnable=false,szOperator="&gt;",nValue=0,},},},},</v>
      </c>
    </row>
    <row r="79" spans="1:22" x14ac:dyDescent="0.15">
      <c r="C79">
        <v>46268</v>
      </c>
      <c r="D79">
        <v>47</v>
      </c>
      <c r="I79" t="s">
        <v>1821</v>
      </c>
      <c r="P79">
        <v>1</v>
      </c>
      <c r="U79" t="s">
        <v>1828</v>
      </c>
      <c r="V79" s="36" t="str">
        <f t="shared" si="1"/>
        <v>{dwID=46268,nFrame=47,szNote="物资车",[3]={bScreenHead=true,},[4]={},aFocus={{dwMapID=-1,nMaxDistance=0,tRelation={bAll=false,bEnemy=true,bAlly=false,},tLife={bEnable=false,szOperator="&gt;",nValue=0,},},{dwMapID=-1,nMaxDistance=30,tRelation={bAll=false,bEnemy=false,bAlly=true,},tLife={bEnable=true,szOperator="&lt;",nValue=100,},},{dwMapID=-1,nMaxDistance=10,tRelation={bAll=true,bEnemy=true,bAlly=true,},tLife={bEnable=true,szOperator="&gt;=",nValue=100,},},},},</v>
      </c>
    </row>
    <row r="80" spans="1:22" x14ac:dyDescent="0.15">
      <c r="A80" t="s">
        <v>8</v>
      </c>
      <c r="B80">
        <v>25</v>
      </c>
      <c r="V80" s="36" t="str">
        <f t="shared" si="1"/>
        <v>},[25]={</v>
      </c>
    </row>
    <row r="81" spans="3:22" s="36" customFormat="1" x14ac:dyDescent="0.15">
      <c r="C81" s="36">
        <v>5724</v>
      </c>
      <c r="D81" s="36">
        <v>47</v>
      </c>
      <c r="I81" s="36" t="s">
        <v>2134</v>
      </c>
      <c r="J81" s="36" t="s">
        <v>2135</v>
      </c>
      <c r="P81" s="36">
        <v>1</v>
      </c>
      <c r="U81" s="36" t="s">
        <v>2136</v>
      </c>
      <c r="V81" s="36" t="str">
        <f t="shared" si="1"/>
        <v>{dwID=5724,nFrame=47,szNote="铁铸刚",col={31,255,255,},[3]={bScreenHead=true,},[4]={},aFocus={{dwMapID=-1,nMaxDistance=60,tRelation={bAll=true,bEnemy=false,bAlly=false,},tLife={bEnable=true,szOperator="&gt;",nValue=98,},}},},</v>
      </c>
    </row>
    <row r="82" spans="3:22" x14ac:dyDescent="0.15">
      <c r="C82">
        <v>6230</v>
      </c>
      <c r="D82">
        <v>47</v>
      </c>
      <c r="J82" s="36" t="s">
        <v>2007</v>
      </c>
      <c r="P82">
        <v>1</v>
      </c>
      <c r="U82" t="s">
        <v>1827</v>
      </c>
      <c r="V82" s="36" t="str">
        <f t="shared" si="1"/>
        <v>{dwID=6230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3" spans="3:22" x14ac:dyDescent="0.15">
      <c r="C83">
        <v>7766</v>
      </c>
      <c r="D83">
        <v>47</v>
      </c>
      <c r="J83" s="36" t="s">
        <v>2007</v>
      </c>
      <c r="P83">
        <v>1</v>
      </c>
      <c r="U83" t="s">
        <v>1827</v>
      </c>
      <c r="V83" s="36" t="str">
        <f t="shared" si="1"/>
        <v>{dwID=7766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4" spans="3:22" x14ac:dyDescent="0.15">
      <c r="C84">
        <v>7767</v>
      </c>
      <c r="D84">
        <v>47</v>
      </c>
      <c r="J84" s="36" t="s">
        <v>2007</v>
      </c>
      <c r="P84">
        <v>1</v>
      </c>
      <c r="U84" t="s">
        <v>1827</v>
      </c>
      <c r="V84" s="36" t="str">
        <f t="shared" si="1"/>
        <v>{dwID=7767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5" spans="3:22" x14ac:dyDescent="0.15">
      <c r="C85">
        <v>7770</v>
      </c>
      <c r="D85">
        <v>47</v>
      </c>
      <c r="J85" s="36" t="s">
        <v>2007</v>
      </c>
      <c r="P85">
        <v>1</v>
      </c>
      <c r="U85" t="s">
        <v>1827</v>
      </c>
      <c r="V85" s="36" t="str">
        <f t="shared" si="1"/>
        <v>{dwID=7770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6" spans="3:22" x14ac:dyDescent="0.15">
      <c r="C86">
        <v>7775</v>
      </c>
      <c r="D86">
        <v>47</v>
      </c>
      <c r="J86" s="36" t="s">
        <v>2007</v>
      </c>
      <c r="P86">
        <v>1</v>
      </c>
      <c r="U86" t="s">
        <v>1827</v>
      </c>
      <c r="V86" s="36" t="str">
        <f t="shared" si="1"/>
        <v>{dwID=7775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7" spans="3:22" x14ac:dyDescent="0.15">
      <c r="C87">
        <v>7776</v>
      </c>
      <c r="D87">
        <v>47</v>
      </c>
      <c r="J87" s="36" t="s">
        <v>2007</v>
      </c>
      <c r="P87">
        <v>1</v>
      </c>
      <c r="U87" t="s">
        <v>1827</v>
      </c>
      <c r="V87" s="36" t="str">
        <f t="shared" si="1"/>
        <v>{dwID=7776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8" spans="3:22" x14ac:dyDescent="0.15">
      <c r="C88">
        <v>7777</v>
      </c>
      <c r="D88">
        <v>47</v>
      </c>
      <c r="J88" s="36" t="s">
        <v>2007</v>
      </c>
      <c r="P88">
        <v>1</v>
      </c>
      <c r="U88" t="s">
        <v>1827</v>
      </c>
      <c r="V88" s="36" t="str">
        <f t="shared" si="1"/>
        <v>{dwID=7777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89" spans="3:22" x14ac:dyDescent="0.15">
      <c r="C89">
        <v>7779</v>
      </c>
      <c r="D89">
        <v>47</v>
      </c>
      <c r="J89" s="36" t="s">
        <v>2007</v>
      </c>
      <c r="P89">
        <v>1</v>
      </c>
      <c r="U89" t="s">
        <v>1827</v>
      </c>
      <c r="V89" s="36" t="str">
        <f t="shared" si="1"/>
        <v>{dwID=7779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0" spans="3:22" x14ac:dyDescent="0.15">
      <c r="C90">
        <v>7783</v>
      </c>
      <c r="D90">
        <v>47</v>
      </c>
      <c r="J90" s="36" t="s">
        <v>2007</v>
      </c>
      <c r="P90">
        <v>1</v>
      </c>
      <c r="U90" t="s">
        <v>1827</v>
      </c>
      <c r="V90" s="36" t="str">
        <f t="shared" si="1"/>
        <v>{dwID=7783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1" spans="3:22" x14ac:dyDescent="0.15">
      <c r="C91">
        <v>8952</v>
      </c>
      <c r="D91">
        <v>47</v>
      </c>
      <c r="J91" s="36" t="s">
        <v>2007</v>
      </c>
      <c r="P91">
        <v>1</v>
      </c>
      <c r="U91" t="s">
        <v>1827</v>
      </c>
      <c r="V91" s="36" t="str">
        <f t="shared" si="1"/>
        <v>{dwID=8952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2" spans="3:22" x14ac:dyDescent="0.15">
      <c r="C92">
        <v>8953</v>
      </c>
      <c r="D92">
        <v>47</v>
      </c>
      <c r="J92" s="36" t="s">
        <v>2007</v>
      </c>
      <c r="P92">
        <v>1</v>
      </c>
      <c r="U92" t="s">
        <v>1827</v>
      </c>
      <c r="V92" s="36" t="str">
        <f t="shared" si="1"/>
        <v>{dwID=8953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3" spans="3:22" x14ac:dyDescent="0.15">
      <c r="C93">
        <v>8954</v>
      </c>
      <c r="D93">
        <v>47</v>
      </c>
      <c r="J93" s="36" t="s">
        <v>2007</v>
      </c>
      <c r="P93">
        <v>1</v>
      </c>
      <c r="U93" t="s">
        <v>1827</v>
      </c>
      <c r="V93" s="36" t="str">
        <f t="shared" si="1"/>
        <v>{dwID=8954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4" spans="3:22" x14ac:dyDescent="0.15">
      <c r="C94">
        <v>16893</v>
      </c>
      <c r="D94">
        <v>47</v>
      </c>
      <c r="J94" s="36" t="s">
        <v>2007</v>
      </c>
      <c r="P94">
        <v>1</v>
      </c>
      <c r="U94" t="s">
        <v>1827</v>
      </c>
      <c r="V94" s="36" t="str">
        <f t="shared" si="1"/>
        <v>{dwID=16893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5" spans="3:22" x14ac:dyDescent="0.15">
      <c r="C95">
        <v>16894</v>
      </c>
      <c r="D95">
        <v>47</v>
      </c>
      <c r="J95" s="36" t="s">
        <v>2007</v>
      </c>
      <c r="P95">
        <v>1</v>
      </c>
      <c r="U95" t="s">
        <v>1827</v>
      </c>
      <c r="V95" s="36" t="str">
        <f t="shared" si="1"/>
        <v>{dwID=16894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6" spans="3:22" x14ac:dyDescent="0.15">
      <c r="C96">
        <v>16896</v>
      </c>
      <c r="D96">
        <v>47</v>
      </c>
      <c r="J96" s="36" t="s">
        <v>2007</v>
      </c>
      <c r="P96">
        <v>1</v>
      </c>
      <c r="U96" t="s">
        <v>1827</v>
      </c>
      <c r="V96" s="36" t="str">
        <f t="shared" si="1"/>
        <v>{dwID=16896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7" spans="3:22" x14ac:dyDescent="0.15">
      <c r="C97">
        <v>16899</v>
      </c>
      <c r="D97">
        <v>47</v>
      </c>
      <c r="J97" s="36" t="s">
        <v>2007</v>
      </c>
      <c r="P97">
        <v>1</v>
      </c>
      <c r="U97" t="s">
        <v>1827</v>
      </c>
      <c r="V97" s="36" t="str">
        <f t="shared" si="1"/>
        <v>{dwID=16899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8" spans="3:22" x14ac:dyDescent="0.15">
      <c r="C98">
        <v>16900</v>
      </c>
      <c r="D98">
        <v>47</v>
      </c>
      <c r="J98" s="36" t="s">
        <v>2007</v>
      </c>
      <c r="P98">
        <v>1</v>
      </c>
      <c r="U98" t="s">
        <v>1827</v>
      </c>
      <c r="V98" s="36" t="str">
        <f t="shared" si="1"/>
        <v>{dwID=16900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99" spans="3:22" x14ac:dyDescent="0.15">
      <c r="C99">
        <v>16902</v>
      </c>
      <c r="D99">
        <v>47</v>
      </c>
      <c r="J99" s="36" t="s">
        <v>2007</v>
      </c>
      <c r="P99">
        <v>1</v>
      </c>
      <c r="U99" t="s">
        <v>1827</v>
      </c>
      <c r="V99" s="36" t="str">
        <f t="shared" si="1"/>
        <v>{dwID=16902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0" spans="3:22" x14ac:dyDescent="0.15">
      <c r="C100">
        <v>16903</v>
      </c>
      <c r="D100">
        <v>47</v>
      </c>
      <c r="J100" s="36" t="s">
        <v>2007</v>
      </c>
      <c r="P100">
        <v>1</v>
      </c>
      <c r="U100" t="s">
        <v>1827</v>
      </c>
      <c r="V100" s="36" t="str">
        <f t="shared" si="1"/>
        <v>{dwID=16903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1" spans="3:22" x14ac:dyDescent="0.15">
      <c r="C101">
        <v>16905</v>
      </c>
      <c r="D101">
        <v>47</v>
      </c>
      <c r="J101" s="36" t="s">
        <v>2007</v>
      </c>
      <c r="P101">
        <v>1</v>
      </c>
      <c r="U101" t="s">
        <v>1827</v>
      </c>
      <c r="V101" s="36" t="str">
        <f t="shared" si="1"/>
        <v>{dwID=16905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2" spans="3:22" x14ac:dyDescent="0.15">
      <c r="C102">
        <v>17237</v>
      </c>
      <c r="D102">
        <v>47</v>
      </c>
      <c r="J102" s="36" t="s">
        <v>2007</v>
      </c>
      <c r="P102">
        <v>1</v>
      </c>
      <c r="U102" t="s">
        <v>1827</v>
      </c>
      <c r="V102" s="36" t="str">
        <f t="shared" si="1"/>
        <v>{dwID=17237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3" spans="3:22" x14ac:dyDescent="0.15">
      <c r="C103">
        <v>17238</v>
      </c>
      <c r="D103">
        <v>47</v>
      </c>
      <c r="J103" s="36" t="s">
        <v>2007</v>
      </c>
      <c r="P103">
        <v>1</v>
      </c>
      <c r="U103" t="s">
        <v>1827</v>
      </c>
      <c r="V103" s="36" t="str">
        <f t="shared" si="1"/>
        <v>{dwID=17238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4" spans="3:22" x14ac:dyDescent="0.15">
      <c r="C104">
        <v>17239</v>
      </c>
      <c r="D104">
        <v>47</v>
      </c>
      <c r="J104" s="36" t="s">
        <v>2007</v>
      </c>
      <c r="P104">
        <v>1</v>
      </c>
      <c r="U104" t="s">
        <v>1827</v>
      </c>
      <c r="V104" s="36" t="str">
        <f t="shared" si="1"/>
        <v>{dwID=17239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5" spans="3:22" x14ac:dyDescent="0.15">
      <c r="C105">
        <v>17240</v>
      </c>
      <c r="D105">
        <v>47</v>
      </c>
      <c r="J105" s="36" t="s">
        <v>2007</v>
      </c>
      <c r="P105">
        <v>1</v>
      </c>
      <c r="U105" t="s">
        <v>1827</v>
      </c>
      <c r="V105" s="36" t="str">
        <f t="shared" si="1"/>
        <v>{dwID=17240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6" spans="3:22" x14ac:dyDescent="0.15">
      <c r="C106">
        <v>105585</v>
      </c>
      <c r="D106">
        <v>47</v>
      </c>
      <c r="J106" s="36" t="s">
        <v>2007</v>
      </c>
      <c r="P106">
        <v>1</v>
      </c>
      <c r="U106" t="s">
        <v>1827</v>
      </c>
      <c r="V106" s="36" t="str">
        <f t="shared" si="1"/>
        <v>{dwID=105585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7" spans="3:22" x14ac:dyDescent="0.15">
      <c r="C107">
        <v>105586</v>
      </c>
      <c r="D107">
        <v>47</v>
      </c>
      <c r="J107" s="36" t="s">
        <v>2007</v>
      </c>
      <c r="P107">
        <v>1</v>
      </c>
      <c r="U107" t="s">
        <v>1827</v>
      </c>
      <c r="V107" s="36" t="str">
        <f t="shared" si="1"/>
        <v>{dwID=105586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8" spans="3:22" x14ac:dyDescent="0.15">
      <c r="C108">
        <v>105627</v>
      </c>
      <c r="D108">
        <v>47</v>
      </c>
      <c r="J108" s="36" t="s">
        <v>2007</v>
      </c>
      <c r="P108">
        <v>1</v>
      </c>
      <c r="U108" t="s">
        <v>1827</v>
      </c>
      <c r="V108" s="36" t="str">
        <f t="shared" si="1"/>
        <v>{dwID=105627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09" spans="3:22" x14ac:dyDescent="0.15">
      <c r="C109">
        <v>105673</v>
      </c>
      <c r="D109">
        <v>47</v>
      </c>
      <c r="J109" s="36" t="s">
        <v>2007</v>
      </c>
      <c r="P109">
        <v>1</v>
      </c>
      <c r="U109" t="s">
        <v>1827</v>
      </c>
      <c r="V109" s="36" t="str">
        <f t="shared" si="1"/>
        <v>{dwID=105673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0" spans="3:22" x14ac:dyDescent="0.15">
      <c r="C110">
        <v>105700</v>
      </c>
      <c r="D110">
        <v>47</v>
      </c>
      <c r="J110" s="36" t="s">
        <v>2007</v>
      </c>
      <c r="P110">
        <v>1</v>
      </c>
      <c r="U110" t="s">
        <v>1827</v>
      </c>
      <c r="V110" s="36" t="str">
        <f t="shared" si="1"/>
        <v>{dwID=105700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1" spans="3:22" x14ac:dyDescent="0.15">
      <c r="C111">
        <v>105701</v>
      </c>
      <c r="D111">
        <v>47</v>
      </c>
      <c r="J111" s="36" t="s">
        <v>2007</v>
      </c>
      <c r="P111">
        <v>1</v>
      </c>
      <c r="U111" t="s">
        <v>1827</v>
      </c>
      <c r="V111" s="36" t="str">
        <f t="shared" si="1"/>
        <v>{dwID=105701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2" spans="3:22" x14ac:dyDescent="0.15">
      <c r="C112">
        <v>105770</v>
      </c>
      <c r="D112">
        <v>47</v>
      </c>
      <c r="J112" s="36" t="s">
        <v>2007</v>
      </c>
      <c r="P112">
        <v>1</v>
      </c>
      <c r="U112" t="s">
        <v>1827</v>
      </c>
      <c r="V112" s="36" t="str">
        <f t="shared" si="1"/>
        <v>{dwID=105770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3" spans="1:22" x14ac:dyDescent="0.15">
      <c r="C113">
        <v>105789</v>
      </c>
      <c r="D113">
        <v>47</v>
      </c>
      <c r="J113" s="36" t="s">
        <v>2007</v>
      </c>
      <c r="P113">
        <v>1</v>
      </c>
      <c r="U113" t="s">
        <v>1827</v>
      </c>
      <c r="V113" s="36" t="str">
        <f t="shared" si="1"/>
        <v>{dwID=105789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4" spans="1:22" x14ac:dyDescent="0.15">
      <c r="C114">
        <v>105790</v>
      </c>
      <c r="D114">
        <v>47</v>
      </c>
      <c r="J114" s="36" t="s">
        <v>2007</v>
      </c>
      <c r="P114">
        <v>1</v>
      </c>
      <c r="U114" t="s">
        <v>1827</v>
      </c>
      <c r="V114" s="36" t="str">
        <f t="shared" si="1"/>
        <v>{dwID=105790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5" spans="1:22" x14ac:dyDescent="0.15">
      <c r="C115">
        <v>105791</v>
      </c>
      <c r="D115">
        <v>47</v>
      </c>
      <c r="J115" s="36" t="s">
        <v>2007</v>
      </c>
      <c r="P115">
        <v>1</v>
      </c>
      <c r="U115" t="s">
        <v>1827</v>
      </c>
      <c r="V115" s="36" t="str">
        <f t="shared" si="1"/>
        <v>{dwID=105791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6" spans="1:22" x14ac:dyDescent="0.15">
      <c r="C116">
        <v>105800</v>
      </c>
      <c r="D116">
        <v>47</v>
      </c>
      <c r="J116" s="36" t="s">
        <v>2007</v>
      </c>
      <c r="P116">
        <v>1</v>
      </c>
      <c r="U116" t="s">
        <v>1827</v>
      </c>
      <c r="V116" s="36" t="str">
        <f t="shared" si="1"/>
        <v>{dwID=105800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7" spans="1:22" x14ac:dyDescent="0.15">
      <c r="C117">
        <v>105801</v>
      </c>
      <c r="D117">
        <v>47</v>
      </c>
      <c r="J117" s="36" t="s">
        <v>2007</v>
      </c>
      <c r="P117">
        <v>1</v>
      </c>
      <c r="U117" t="s">
        <v>1827</v>
      </c>
      <c r="V117" s="36" t="str">
        <f t="shared" si="1"/>
        <v>{dwID=105801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8" spans="1:22" x14ac:dyDescent="0.15">
      <c r="C118">
        <v>105802</v>
      </c>
      <c r="D118">
        <v>47</v>
      </c>
      <c r="J118" s="36" t="s">
        <v>2007</v>
      </c>
      <c r="P118">
        <v>1</v>
      </c>
      <c r="U118" t="s">
        <v>1827</v>
      </c>
      <c r="V118" s="36" t="str">
        <f t="shared" si="1"/>
        <v>{dwID=105802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19" spans="1:22" x14ac:dyDescent="0.15">
      <c r="C119">
        <v>105828</v>
      </c>
      <c r="D119">
        <v>47</v>
      </c>
      <c r="J119" s="36" t="s">
        <v>2007</v>
      </c>
      <c r="P119">
        <v>1</v>
      </c>
      <c r="U119" t="s">
        <v>1827</v>
      </c>
      <c r="V119" s="36" t="str">
        <f t="shared" si="1"/>
        <v>{dwID=105828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0" spans="1:22" x14ac:dyDescent="0.15">
      <c r="C120">
        <v>106924</v>
      </c>
      <c r="D120">
        <v>47</v>
      </c>
      <c r="J120" s="36" t="s">
        <v>2007</v>
      </c>
      <c r="P120">
        <v>1</v>
      </c>
      <c r="U120" t="s">
        <v>1827</v>
      </c>
      <c r="V120" s="36" t="str">
        <f t="shared" si="1"/>
        <v>{dwID=106924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1" spans="1:22" x14ac:dyDescent="0.15">
      <c r="C121">
        <v>7607</v>
      </c>
      <c r="D121">
        <v>47</v>
      </c>
      <c r="I121" t="s">
        <v>1818</v>
      </c>
      <c r="J121" t="s">
        <v>1667</v>
      </c>
      <c r="P121">
        <v>1</v>
      </c>
      <c r="U121" t="s">
        <v>1681</v>
      </c>
      <c r="V121" s="36" t="str">
        <f t="shared" si="1"/>
        <v>{dwID=7607,nFrame=47,szNote="王洵",col={100,255,255,},[3]={bScreenHead=true,},[4]={},aFocus={{dwMapID=-1,szDisplay="王洵·阵营前置",nMaxDistance=10,tRelation={bAll=false,bEnemy=false,bAlly=true,},tLife={bEnable=false,szOperator="&gt;",nValue=0,},},},},</v>
      </c>
    </row>
    <row r="122" spans="1:22" x14ac:dyDescent="0.15">
      <c r="C122">
        <v>7606</v>
      </c>
      <c r="D122">
        <v>47</v>
      </c>
      <c r="I122" t="s">
        <v>1818</v>
      </c>
      <c r="J122" t="s">
        <v>1667</v>
      </c>
      <c r="P122">
        <v>1</v>
      </c>
      <c r="U122" t="s">
        <v>1681</v>
      </c>
      <c r="V122" s="36" t="str">
        <f t="shared" si="1"/>
        <v>{dwID=7606,nFrame=47,szNote="王洵",col={100,255,255,},[3]={bScreenHead=true,},[4]={},aFocus={{dwMapID=-1,szDisplay="王洵·阵营前置",nMaxDistance=10,tRelation={bAll=false,bEnemy=false,bAlly=true,},tLife={bEnable=false,szOperator="&gt;",nValue=0,},},},},</v>
      </c>
    </row>
    <row r="123" spans="1:22" x14ac:dyDescent="0.15">
      <c r="A123" t="s">
        <v>9</v>
      </c>
      <c r="B123">
        <v>27</v>
      </c>
      <c r="V123" s="36" t="str">
        <f t="shared" si="1"/>
        <v>},[27]={</v>
      </c>
    </row>
    <row r="124" spans="1:22" x14ac:dyDescent="0.15">
      <c r="C124">
        <v>6233</v>
      </c>
      <c r="D124">
        <v>47</v>
      </c>
      <c r="I124" t="s">
        <v>2146</v>
      </c>
      <c r="J124" s="36" t="s">
        <v>2007</v>
      </c>
      <c r="P124">
        <v>1</v>
      </c>
      <c r="U124" t="s">
        <v>1827</v>
      </c>
      <c r="V124" s="36" t="str">
        <f t="shared" si="1"/>
        <v>{dwID=6233,nFrame=47,szNote="顾延恶"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5" spans="1:22" x14ac:dyDescent="0.15">
      <c r="C125">
        <v>7766</v>
      </c>
      <c r="D125">
        <v>47</v>
      </c>
      <c r="J125" s="36" t="s">
        <v>2007</v>
      </c>
      <c r="P125">
        <v>1</v>
      </c>
      <c r="U125" t="s">
        <v>1827</v>
      </c>
      <c r="V125" s="36" t="str">
        <f t="shared" si="1"/>
        <v>{dwID=7766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6" spans="1:22" x14ac:dyDescent="0.15">
      <c r="C126">
        <v>7767</v>
      </c>
      <c r="D126">
        <v>47</v>
      </c>
      <c r="J126" s="36" t="s">
        <v>2007</v>
      </c>
      <c r="P126">
        <v>1</v>
      </c>
      <c r="U126" t="s">
        <v>1827</v>
      </c>
      <c r="V126" s="36" t="str">
        <f t="shared" si="1"/>
        <v>{dwID=7767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7" spans="1:22" x14ac:dyDescent="0.15">
      <c r="C127">
        <v>7770</v>
      </c>
      <c r="D127">
        <v>47</v>
      </c>
      <c r="J127" s="36" t="s">
        <v>2007</v>
      </c>
      <c r="P127">
        <v>1</v>
      </c>
      <c r="U127" t="s">
        <v>1827</v>
      </c>
      <c r="V127" s="36" t="str">
        <f t="shared" si="1"/>
        <v>{dwID=7770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8" spans="1:22" x14ac:dyDescent="0.15">
      <c r="C128">
        <v>7777</v>
      </c>
      <c r="D128">
        <v>47</v>
      </c>
      <c r="J128" s="36" t="s">
        <v>2007</v>
      </c>
      <c r="P128">
        <v>1</v>
      </c>
      <c r="U128" t="s">
        <v>1827</v>
      </c>
      <c r="V128" s="36" t="str">
        <f t="shared" si="1"/>
        <v>{dwID=7777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29" spans="3:22" x14ac:dyDescent="0.15">
      <c r="C129">
        <v>7779</v>
      </c>
      <c r="D129">
        <v>47</v>
      </c>
      <c r="J129" s="36" t="s">
        <v>2007</v>
      </c>
      <c r="P129">
        <v>1</v>
      </c>
      <c r="U129" t="s">
        <v>1827</v>
      </c>
      <c r="V129" s="36" t="str">
        <f t="shared" si="1"/>
        <v>{dwID=7779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0" spans="3:22" x14ac:dyDescent="0.15">
      <c r="C130">
        <v>7783</v>
      </c>
      <c r="D130">
        <v>47</v>
      </c>
      <c r="J130" s="36" t="s">
        <v>2007</v>
      </c>
      <c r="P130">
        <v>1</v>
      </c>
      <c r="U130" t="s">
        <v>1827</v>
      </c>
      <c r="V130" s="36" t="str">
        <f t="shared" si="1"/>
        <v>{dwID=7783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1" spans="3:22" x14ac:dyDescent="0.15">
      <c r="C131">
        <v>7784</v>
      </c>
      <c r="D131">
        <v>47</v>
      </c>
      <c r="I131" t="s">
        <v>1626</v>
      </c>
      <c r="J131" s="36" t="s">
        <v>2007</v>
      </c>
      <c r="P131">
        <v>1</v>
      </c>
      <c r="U131" t="s">
        <v>1827</v>
      </c>
      <c r="V131" s="36" t="str">
        <f t="shared" ref="V131:V194" si="2">IF(ISBLANK(B131)=FALSE,IF(ISBLANK(B130),"},["&amp;B131&amp;"]={","["&amp;B131&amp;"]={"),IF(AND(ISBLANK(B131),ISBLANK(D131),ISBLANK(C131),OR(ISBLANK(B130)=FALSE,ISBLANK(D130)=FALSE,ISBLANK(C130)=FALSE)),"},},}",IF(ISBLANK(C131),"","{dwID="&amp;C131&amp;","&amp;"nFrame="&amp;D131&amp;","&amp;IF(E131&gt;0,"nCount="&amp;E131&amp;",","")&amp;IF(F131&gt;0,"bAllLeave=true,","")&amp;IF(G131&lt;&gt;"","szName="""&amp;G131&amp;""",","")&amp;IF(H131&lt;&gt;"","tKungFu={"&amp;H131&amp;"},","")&amp;IF(I131&lt;&gt;"","szNote="""&amp;I131&amp;""",","")&amp;IF(J131&lt;&gt;"","col={"&amp;J131&amp;"},","")&amp;"[3]={"&amp;IF(K131&lt;&gt;"","tMark={"&amp;K131&amp;"},","")&amp;IF(L131&lt;&gt;"","szVoice="""&amp;L131&amp;""",","")&amp;IF(M131&gt;0,"bTeamChannel=true,","")&amp;IF(N131&gt;0,"bWhisperChannel=true,","")&amp;IF(O131&gt;0,"bCenterAlarm=true,","")&amp;IF(P131&gt;0,"bScreenHead=true,","")&amp;"},"&amp;"[4]={"&amp;IF(Q131&lt;&gt;"","szVoice="""&amp;Q131&amp;""",","")&amp;IF(R131&gt;0,"bTeamChannel=true,","")&amp;IF(S131&gt;0,"bWhisperChannel=true,","")&amp;IF(T131&gt;0,"bCenterAlarm=true,","")&amp;"},"&amp;IF(U131&lt;&gt;"","aFocus={"&amp;U131&amp;"},","")&amp;IF(W131&lt;&gt;"","tCountdown={"&amp;_xlfn.TEXTJOIN("",TRUE,W131:ZZ131)&amp;"},","")&amp;"},")))</f>
        <v>{dwID=7784,nFrame=47,szNote="烟"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2" spans="3:22" x14ac:dyDescent="0.15">
      <c r="C132">
        <v>7786</v>
      </c>
      <c r="D132">
        <v>47</v>
      </c>
      <c r="I132" t="s">
        <v>1484</v>
      </c>
      <c r="J132" s="36" t="s">
        <v>2007</v>
      </c>
      <c r="P132">
        <v>1</v>
      </c>
      <c r="U132" t="s">
        <v>1827</v>
      </c>
      <c r="V132" s="36" t="str">
        <f t="shared" si="2"/>
        <v>{dwID=7786,nFrame=47,szNote="王遗风"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3" spans="3:22" x14ac:dyDescent="0.15">
      <c r="C133">
        <v>8955</v>
      </c>
      <c r="D133">
        <v>47</v>
      </c>
      <c r="J133" s="36" t="s">
        <v>2007</v>
      </c>
      <c r="P133">
        <v>1</v>
      </c>
      <c r="U133" t="s">
        <v>1827</v>
      </c>
      <c r="V133" s="36" t="str">
        <f t="shared" si="2"/>
        <v>{dwID=8955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4" spans="3:22" x14ac:dyDescent="0.15">
      <c r="C134">
        <v>8956</v>
      </c>
      <c r="D134">
        <v>47</v>
      </c>
      <c r="J134" s="36" t="s">
        <v>2007</v>
      </c>
      <c r="P134">
        <v>1</v>
      </c>
      <c r="U134" t="s">
        <v>1827</v>
      </c>
      <c r="V134" s="36" t="str">
        <f t="shared" si="2"/>
        <v>{dwID=8956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5" spans="3:22" x14ac:dyDescent="0.15">
      <c r="C135">
        <v>8957</v>
      </c>
      <c r="D135">
        <v>47</v>
      </c>
      <c r="J135" s="36" t="s">
        <v>2007</v>
      </c>
      <c r="P135">
        <v>1</v>
      </c>
      <c r="U135" t="s">
        <v>1827</v>
      </c>
      <c r="V135" s="36" t="str">
        <f t="shared" si="2"/>
        <v>{dwID=8957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6" spans="3:22" x14ac:dyDescent="0.15">
      <c r="C136">
        <v>16893</v>
      </c>
      <c r="D136">
        <v>47</v>
      </c>
      <c r="J136" s="36" t="s">
        <v>2007</v>
      </c>
      <c r="P136">
        <v>1</v>
      </c>
      <c r="U136" t="s">
        <v>1827</v>
      </c>
      <c r="V136" s="36" t="str">
        <f t="shared" si="2"/>
        <v>{dwID=16893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7" spans="3:22" x14ac:dyDescent="0.15">
      <c r="C137">
        <v>16894</v>
      </c>
      <c r="D137">
        <v>47</v>
      </c>
      <c r="J137" s="36" t="s">
        <v>2007</v>
      </c>
      <c r="P137">
        <v>1</v>
      </c>
      <c r="U137" t="s">
        <v>1827</v>
      </c>
      <c r="V137" s="36" t="str">
        <f t="shared" si="2"/>
        <v>{dwID=16894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8" spans="3:22" x14ac:dyDescent="0.15">
      <c r="C138">
        <v>16896</v>
      </c>
      <c r="D138">
        <v>47</v>
      </c>
      <c r="J138" s="36" t="s">
        <v>2007</v>
      </c>
      <c r="P138">
        <v>1</v>
      </c>
      <c r="U138" t="s">
        <v>1827</v>
      </c>
      <c r="V138" s="36" t="str">
        <f t="shared" si="2"/>
        <v>{dwID=16896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39" spans="3:22" x14ac:dyDescent="0.15">
      <c r="C139">
        <v>16897</v>
      </c>
      <c r="D139">
        <v>47</v>
      </c>
      <c r="J139" s="36" t="s">
        <v>2007</v>
      </c>
      <c r="P139">
        <v>1</v>
      </c>
      <c r="U139" t="s">
        <v>1827</v>
      </c>
      <c r="V139" s="36" t="str">
        <f t="shared" si="2"/>
        <v>{dwID=16897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0" spans="3:22" x14ac:dyDescent="0.15">
      <c r="C140">
        <v>16898</v>
      </c>
      <c r="D140">
        <v>47</v>
      </c>
      <c r="J140" s="36" t="s">
        <v>2007</v>
      </c>
      <c r="P140">
        <v>1</v>
      </c>
      <c r="U140" t="s">
        <v>1827</v>
      </c>
      <c r="V140" s="36" t="str">
        <f t="shared" si="2"/>
        <v>{dwID=16898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1" spans="3:22" x14ac:dyDescent="0.15">
      <c r="C141">
        <v>16899</v>
      </c>
      <c r="D141">
        <v>47</v>
      </c>
      <c r="J141" s="36" t="s">
        <v>2007</v>
      </c>
      <c r="P141">
        <v>1</v>
      </c>
      <c r="U141" t="s">
        <v>1827</v>
      </c>
      <c r="V141" s="36" t="str">
        <f t="shared" si="2"/>
        <v>{dwID=16899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2" spans="3:22" x14ac:dyDescent="0.15">
      <c r="C142">
        <v>16900</v>
      </c>
      <c r="D142">
        <v>47</v>
      </c>
      <c r="J142" s="36" t="s">
        <v>2007</v>
      </c>
      <c r="P142">
        <v>1</v>
      </c>
      <c r="U142" t="s">
        <v>1827</v>
      </c>
      <c r="V142" s="36" t="str">
        <f t="shared" si="2"/>
        <v>{dwID=16900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3" spans="3:22" x14ac:dyDescent="0.15">
      <c r="C143">
        <v>16902</v>
      </c>
      <c r="D143">
        <v>47</v>
      </c>
      <c r="J143" s="36" t="s">
        <v>2007</v>
      </c>
      <c r="P143">
        <v>1</v>
      </c>
      <c r="U143" t="s">
        <v>1827</v>
      </c>
      <c r="V143" s="36" t="str">
        <f t="shared" si="2"/>
        <v>{dwID=16902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4" spans="3:22" x14ac:dyDescent="0.15">
      <c r="C144">
        <v>17233</v>
      </c>
      <c r="D144">
        <v>47</v>
      </c>
      <c r="J144" s="36" t="s">
        <v>2007</v>
      </c>
      <c r="P144">
        <v>1</v>
      </c>
      <c r="U144" t="s">
        <v>1827</v>
      </c>
      <c r="V144" s="36" t="str">
        <f t="shared" si="2"/>
        <v>{dwID=17233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5" spans="3:22" x14ac:dyDescent="0.15">
      <c r="C145">
        <v>17235</v>
      </c>
      <c r="D145">
        <v>47</v>
      </c>
      <c r="J145" s="36" t="s">
        <v>2007</v>
      </c>
      <c r="P145">
        <v>1</v>
      </c>
      <c r="U145" t="s">
        <v>1827</v>
      </c>
      <c r="V145" s="36" t="str">
        <f t="shared" si="2"/>
        <v>{dwID=17235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6" spans="3:22" x14ac:dyDescent="0.15">
      <c r="C146">
        <v>17236</v>
      </c>
      <c r="D146">
        <v>47</v>
      </c>
      <c r="J146" s="36" t="s">
        <v>2007</v>
      </c>
      <c r="P146">
        <v>1</v>
      </c>
      <c r="U146" t="s">
        <v>1827</v>
      </c>
      <c r="V146" s="36" t="str">
        <f t="shared" si="2"/>
        <v>{dwID=17236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7" spans="3:22" x14ac:dyDescent="0.15">
      <c r="C147">
        <v>17234</v>
      </c>
      <c r="D147">
        <v>47</v>
      </c>
      <c r="J147" s="36" t="s">
        <v>2007</v>
      </c>
      <c r="P147">
        <v>1</v>
      </c>
      <c r="U147" t="s">
        <v>1827</v>
      </c>
      <c r="V147" s="36" t="str">
        <f t="shared" si="2"/>
        <v>{dwID=17234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8" spans="3:22" x14ac:dyDescent="0.15">
      <c r="C148">
        <v>105585</v>
      </c>
      <c r="D148">
        <v>47</v>
      </c>
      <c r="I148" t="s">
        <v>2147</v>
      </c>
      <c r="J148" s="36" t="s">
        <v>2007</v>
      </c>
      <c r="P148">
        <v>1</v>
      </c>
      <c r="U148" t="s">
        <v>1827</v>
      </c>
      <c r="V148" s="36" t="str">
        <f t="shared" si="2"/>
        <v>{dwID=105585,nFrame=47,szNote="小七"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49" spans="3:22" x14ac:dyDescent="0.15">
      <c r="C149">
        <v>105586</v>
      </c>
      <c r="D149">
        <v>47</v>
      </c>
      <c r="J149" s="36" t="s">
        <v>2007</v>
      </c>
      <c r="P149">
        <v>1</v>
      </c>
      <c r="U149" t="s">
        <v>1827</v>
      </c>
      <c r="V149" s="36" t="str">
        <f t="shared" si="2"/>
        <v>{dwID=105586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0" spans="3:22" x14ac:dyDescent="0.15">
      <c r="C150">
        <v>105627</v>
      </c>
      <c r="D150">
        <v>47</v>
      </c>
      <c r="J150" s="36" t="s">
        <v>2007</v>
      </c>
      <c r="P150">
        <v>1</v>
      </c>
      <c r="U150" t="s">
        <v>1827</v>
      </c>
      <c r="V150" s="36" t="str">
        <f t="shared" si="2"/>
        <v>{dwID=105627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1" spans="3:22" x14ac:dyDescent="0.15">
      <c r="C151">
        <v>105673</v>
      </c>
      <c r="D151">
        <v>47</v>
      </c>
      <c r="J151" s="36" t="s">
        <v>2007</v>
      </c>
      <c r="P151">
        <v>1</v>
      </c>
      <c r="U151" t="s">
        <v>1827</v>
      </c>
      <c r="V151" s="36" t="str">
        <f t="shared" si="2"/>
        <v>{dwID=105673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2" spans="3:22" x14ac:dyDescent="0.15">
      <c r="C152">
        <v>105700</v>
      </c>
      <c r="D152">
        <v>47</v>
      </c>
      <c r="J152" s="36" t="s">
        <v>2007</v>
      </c>
      <c r="P152">
        <v>1</v>
      </c>
      <c r="U152" t="s">
        <v>1827</v>
      </c>
      <c r="V152" s="36" t="str">
        <f t="shared" si="2"/>
        <v>{dwID=105700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3" spans="3:22" x14ac:dyDescent="0.15">
      <c r="C153">
        <v>105701</v>
      </c>
      <c r="D153">
        <v>47</v>
      </c>
      <c r="J153" s="36" t="s">
        <v>2007</v>
      </c>
      <c r="P153">
        <v>1</v>
      </c>
      <c r="U153" t="s">
        <v>1827</v>
      </c>
      <c r="V153" s="36" t="str">
        <f t="shared" si="2"/>
        <v>{dwID=105701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4" spans="3:22" x14ac:dyDescent="0.15">
      <c r="C154">
        <v>105770</v>
      </c>
      <c r="D154">
        <v>47</v>
      </c>
      <c r="J154" s="36" t="s">
        <v>2007</v>
      </c>
      <c r="P154">
        <v>1</v>
      </c>
      <c r="U154" t="s">
        <v>1827</v>
      </c>
      <c r="V154" s="36" t="str">
        <f t="shared" si="2"/>
        <v>{dwID=105770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5" spans="3:22" x14ac:dyDescent="0.15">
      <c r="C155">
        <v>105789</v>
      </c>
      <c r="D155">
        <v>47</v>
      </c>
      <c r="J155" s="36" t="s">
        <v>2007</v>
      </c>
      <c r="P155">
        <v>1</v>
      </c>
      <c r="U155" t="s">
        <v>1827</v>
      </c>
      <c r="V155" s="36" t="str">
        <f t="shared" si="2"/>
        <v>{dwID=105789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6" spans="3:22" x14ac:dyDescent="0.15">
      <c r="C156">
        <v>105790</v>
      </c>
      <c r="D156">
        <v>47</v>
      </c>
      <c r="J156" s="36" t="s">
        <v>2007</v>
      </c>
      <c r="P156">
        <v>1</v>
      </c>
      <c r="U156" t="s">
        <v>1827</v>
      </c>
      <c r="V156" s="36" t="str">
        <f t="shared" si="2"/>
        <v>{dwID=105790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7" spans="3:22" x14ac:dyDescent="0.15">
      <c r="C157">
        <v>105791</v>
      </c>
      <c r="D157">
        <v>47</v>
      </c>
      <c r="J157" s="36" t="s">
        <v>2007</v>
      </c>
      <c r="P157">
        <v>1</v>
      </c>
      <c r="U157" t="s">
        <v>1827</v>
      </c>
      <c r="V157" s="36" t="str">
        <f t="shared" si="2"/>
        <v>{dwID=105791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8" spans="3:22" x14ac:dyDescent="0.15">
      <c r="C158">
        <v>105800</v>
      </c>
      <c r="D158">
        <v>47</v>
      </c>
      <c r="J158" s="36" t="s">
        <v>2007</v>
      </c>
      <c r="P158">
        <v>1</v>
      </c>
      <c r="U158" t="s">
        <v>1827</v>
      </c>
      <c r="V158" s="36" t="str">
        <f t="shared" si="2"/>
        <v>{dwID=105800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59" spans="3:22" x14ac:dyDescent="0.15">
      <c r="C159">
        <v>105801</v>
      </c>
      <c r="D159">
        <v>47</v>
      </c>
      <c r="J159" s="36" t="s">
        <v>2007</v>
      </c>
      <c r="P159">
        <v>1</v>
      </c>
      <c r="U159" t="s">
        <v>1827</v>
      </c>
      <c r="V159" s="36" t="str">
        <f t="shared" si="2"/>
        <v>{dwID=105801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60" spans="3:22" x14ac:dyDescent="0.15">
      <c r="C160">
        <v>105802</v>
      </c>
      <c r="D160">
        <v>47</v>
      </c>
      <c r="J160" s="36" t="s">
        <v>2007</v>
      </c>
      <c r="P160">
        <v>1</v>
      </c>
      <c r="U160" t="s">
        <v>1827</v>
      </c>
      <c r="V160" s="36" t="str">
        <f t="shared" si="2"/>
        <v>{dwID=105802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61" spans="1:23" x14ac:dyDescent="0.15">
      <c r="C161">
        <v>105828</v>
      </c>
      <c r="D161">
        <v>47</v>
      </c>
      <c r="J161" s="36" t="s">
        <v>2007</v>
      </c>
      <c r="P161">
        <v>1</v>
      </c>
      <c r="U161" t="s">
        <v>1827</v>
      </c>
      <c r="V161" s="36" t="str">
        <f t="shared" si="2"/>
        <v>{dwID=105828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62" spans="1:23" x14ac:dyDescent="0.15">
      <c r="C162">
        <v>106924</v>
      </c>
      <c r="D162">
        <v>47</v>
      </c>
      <c r="J162" s="36" t="s">
        <v>2007</v>
      </c>
      <c r="P162">
        <v>1</v>
      </c>
      <c r="U162" t="s">
        <v>1827</v>
      </c>
      <c r="V162" s="36" t="str">
        <f t="shared" si="2"/>
        <v>{dwID=106924,nFrame=47,col={255,255,255,},[3]={bScreenHead=true,},[4]={},aFocus={{dwMapID=-1,nMaxDistance=120,tRelation={bAll=false,bEnemy=true,bAlly=false,},tLife={bEnable=true,szOperator="&lt;",nValue=99,},},{dwMapID=-1,nMaxDistance=30,tRelation={bAll=false,bEnemy=false,bAlly=true,},tLife={bEnable=true,szOperator="&lt;",nValue=99,},},{dwMapID=-1,nMaxDistance=10,tRelation={bAll=true,bEnemy=true,bAlly=true,},tLife={bEnable=true,szOperator="&gt;=",nValue=99,},},},},</v>
      </c>
    </row>
    <row r="163" spans="1:23" x14ac:dyDescent="0.15">
      <c r="C163">
        <v>7604</v>
      </c>
      <c r="D163">
        <v>47</v>
      </c>
      <c r="I163" t="s">
        <v>1822</v>
      </c>
      <c r="J163" t="s">
        <v>1435</v>
      </c>
      <c r="P163">
        <v>1</v>
      </c>
      <c r="U163" t="s">
        <v>1682</v>
      </c>
      <c r="V163" s="36" t="str">
        <f t="shared" si="2"/>
        <v>{dwID=7604,nFrame=47,szNote="何非笑周日7604",col={255,255,100,},[3]={bScreenHead=true,},[4]={},aFocus={{dwMapID=-1,szDisplay="何非笑·阵营前置",nMaxDistance=10,tRelation={bAll=false,bEnemy=false,bAlly=true,},tLife={bEnable=false,szOperator="&gt;",nValue=0,},},},},</v>
      </c>
    </row>
    <row r="164" spans="1:23" x14ac:dyDescent="0.15">
      <c r="C164">
        <v>7605</v>
      </c>
      <c r="D164">
        <v>47</v>
      </c>
      <c r="I164" t="s">
        <v>1817</v>
      </c>
      <c r="J164" t="s">
        <v>1435</v>
      </c>
      <c r="P164">
        <v>1</v>
      </c>
      <c r="U164" t="s">
        <v>1682</v>
      </c>
      <c r="V164" s="36" t="str">
        <f t="shared" si="2"/>
        <v>{dwID=7605,nFrame=47,szNote="何非笑",col={255,255,100,},[3]={bScreenHead=true,},[4]={},aFocus={{dwMapID=-1,szDisplay="何非笑·阵营前置",nMaxDistance=10,tRelation={bAll=false,bEnemy=false,bAlly=true,},tLife={bEnable=false,szOperator="&gt;",nValue=0,},},},},</v>
      </c>
    </row>
    <row r="165" spans="1:23" x14ac:dyDescent="0.15">
      <c r="A165" t="s">
        <v>132</v>
      </c>
      <c r="B165">
        <v>22</v>
      </c>
      <c r="V165" s="36" t="str">
        <f t="shared" si="2"/>
        <v>},[22]={</v>
      </c>
    </row>
    <row r="166" spans="1:23" x14ac:dyDescent="0.15">
      <c r="C166">
        <v>7605</v>
      </c>
      <c r="D166">
        <v>47</v>
      </c>
      <c r="I166" t="s">
        <v>2095</v>
      </c>
      <c r="J166" t="s">
        <v>1435</v>
      </c>
      <c r="P166">
        <v>1</v>
      </c>
      <c r="U166" t="s">
        <v>2103</v>
      </c>
      <c r="V166" s="36" t="str">
        <f t="shared" si="2"/>
        <v>{dwID=7605,nFrame=47,szNote="何非笑·阵营前置",col={255,255,100,},[3]={bScreenHead=true,},[4]={},aFocus={{dwMapID=-1,szDisplay="何非笑·阵营前置",nMaxDistance=0,tRelation={bAll=false,bEnemy=false,bAlly=true,},tLife={bEnable=false,szOperator="&gt;",nValue=0,},},},},</v>
      </c>
    </row>
    <row r="167" spans="1:23" x14ac:dyDescent="0.15">
      <c r="C167">
        <v>7606</v>
      </c>
      <c r="D167">
        <v>47</v>
      </c>
      <c r="I167" t="s">
        <v>2093</v>
      </c>
      <c r="J167" t="s">
        <v>1667</v>
      </c>
      <c r="P167">
        <v>1</v>
      </c>
      <c r="U167" t="s">
        <v>2104</v>
      </c>
      <c r="V167" s="36" t="str">
        <f t="shared" si="2"/>
        <v>{dwID=7606,nFrame=47,szNote="王洵·阵营前置",col={100,255,255,},[3]={bScreenHead=true,},[4]={},aFocus={{dwMapID=-1,szDisplay="王洵·阵营前置",nMaxDistance=20,tRelation={bAll=false,bEnemy=false,bAlly=true,},tLife={bEnable=false,szOperator="&gt;",nValue=0,},},},},</v>
      </c>
    </row>
    <row r="168" spans="1:23" x14ac:dyDescent="0.15">
      <c r="C168">
        <v>64733</v>
      </c>
      <c r="D168">
        <v>52</v>
      </c>
      <c r="I168" t="s">
        <v>2097</v>
      </c>
      <c r="P168">
        <v>1</v>
      </c>
      <c r="U168" t="s">
        <v>1672</v>
      </c>
      <c r="V168" s="36" t="str">
        <f t="shared" si="2"/>
        <v>{dwID=64733,nFrame=52,szNote="浩气牛车",[3]={bScreenHead=true,},[4]={},aFocus={{dwMapID=-1,szDisplay="浩气牛车·粮草先行",nMaxDistance=0,tRelation={bAll=true,bEnemy=false,bAlly=false,},tLife={bEnable=false,szOperator="&gt;",nValue=0,},},},},</v>
      </c>
    </row>
    <row r="169" spans="1:23" x14ac:dyDescent="0.15">
      <c r="C169">
        <v>64732</v>
      </c>
      <c r="D169">
        <v>52</v>
      </c>
      <c r="I169" t="s">
        <v>2098</v>
      </c>
      <c r="P169">
        <v>1</v>
      </c>
      <c r="U169" t="s">
        <v>1673</v>
      </c>
      <c r="V169" s="36" t="str">
        <f t="shared" si="2"/>
        <v>{dwID=64732,nFrame=52,szNote="恶人牛车",[3]={bScreenHead=true,},[4]={},aFocus={{dwMapID=-1,szDisplay="恶人牛车·粮草先行",nMaxDistance=0,tRelation={bAll=true,bEnemy=false,bAlly=false,},tLife={bEnable=false,szOperator="&gt;",nValue=0,},},},},</v>
      </c>
    </row>
    <row r="170" spans="1:23" x14ac:dyDescent="0.15">
      <c r="C170">
        <v>64731</v>
      </c>
      <c r="D170">
        <v>47</v>
      </c>
      <c r="I170" t="s">
        <v>1674</v>
      </c>
      <c r="P170">
        <v>1</v>
      </c>
      <c r="U170" t="s">
        <v>1675</v>
      </c>
      <c r="V170" s="36" t="str">
        <f t="shared" si="2"/>
        <v>{dwID=64731,nFrame=47,szNote="管良沧·粮草先行",[3]={bScreenHead=true,},[4]={},aFocus={{dwMapID=-1,szDisplay="管良沧·粮草先行",nMaxDistance=60,tRelation={bAll=false,bEnemy=false,bAlly=true,},tLife={bEnable=false,szOperator="&gt;",nValue=0,},},},},</v>
      </c>
    </row>
    <row r="171" spans="1:23" x14ac:dyDescent="0.15">
      <c r="C171">
        <v>64730</v>
      </c>
      <c r="D171">
        <v>47</v>
      </c>
      <c r="I171" t="s">
        <v>1676</v>
      </c>
      <c r="P171">
        <v>1</v>
      </c>
      <c r="U171" t="s">
        <v>1677</v>
      </c>
      <c r="V171" s="36" t="str">
        <f t="shared" si="2"/>
        <v>{dwID=64730,nFrame=47,szNote="苏才寥·粮草先行",[3]={bScreenHead=true,},[4]={},aFocus={{dwMapID=-1,szDisplay="苏才寥·粮草先行",nMaxDistance=60,tRelation={bAll=false,bEnemy=false,bAlly=true,},tLife={bEnable=false,szOperator="&gt;",nValue=0,},},},},</v>
      </c>
    </row>
    <row r="172" spans="1:23" x14ac:dyDescent="0.15">
      <c r="C172">
        <v>1317</v>
      </c>
      <c r="D172">
        <v>47</v>
      </c>
      <c r="I172" s="36" t="s">
        <v>1815</v>
      </c>
      <c r="P172">
        <v>1</v>
      </c>
      <c r="U172" t="s">
        <v>1669</v>
      </c>
      <c r="V172" s="36" t="str">
        <f t="shared" si="2"/>
        <v>{dwID=1317,nFrame=47,szNote="左破天",[3]={bScreenHead=true,},[4]={},aFocus={{dwMapID=-1,szDisplay="左破天·阵营前置",nMaxDistance=0,tRelation={bAll=true,bEnemy=false,bAlly=false,},tLife={bEnable=false,szOperator="&gt;",nValue=0,},},},tCountdown={{nClass=12,nIcon=13,nFrame=4,szName="左破天·刷新剩余",nTime=10.1,},},},</v>
      </c>
      <c r="W172" t="s">
        <v>2048</v>
      </c>
    </row>
    <row r="173" spans="1:23" x14ac:dyDescent="0.15">
      <c r="C173">
        <v>1308</v>
      </c>
      <c r="D173">
        <v>47</v>
      </c>
      <c r="I173" s="36" t="s">
        <v>2113</v>
      </c>
      <c r="P173">
        <v>1</v>
      </c>
      <c r="U173" t="s">
        <v>1668</v>
      </c>
      <c r="V173" s="36" t="str">
        <f t="shared" si="2"/>
        <v>{dwID=1308,nFrame=47,szNote="郭海宾",[3]={bScreenHead=true,},[4]={},aFocus={{dwMapID=-1,szDisplay="郭海宾·阵营前置",nMaxDistance=0,tRelation={bAll=true,bEnemy=false,bAlly=false,},tLife={bEnable=false,szOperator="&gt;",nValue=0,},},},tCountdown={{nClass=12,nIcon=13,nFrame=4,szName="郭海宾·刷新剩余",nTime=10.1,},},},</v>
      </c>
      <c r="W173" t="s">
        <v>2047</v>
      </c>
    </row>
    <row r="174" spans="1:23" x14ac:dyDescent="0.15">
      <c r="C174">
        <v>6220</v>
      </c>
      <c r="D174">
        <v>47</v>
      </c>
      <c r="I174" t="s">
        <v>2114</v>
      </c>
      <c r="P174">
        <v>1</v>
      </c>
      <c r="U174" t="s">
        <v>2112</v>
      </c>
      <c r="V174" s="36" t="str">
        <f t="shared" si="2"/>
        <v>{dwID=6220,nFrame=47,szNote="赵新宇·阵营前置",[3]={bScreenHead=true,},[4]={},aFocus={{dwMapID=-1,szDisplay="赵新宇·阵营前置",nMaxDistance=0,tRelation={bAll=true,bEnemy=false,bAlly=false,},tLife={bEnable=false,szOperator="&gt;",nValue=0,},},},},</v>
      </c>
    </row>
    <row r="175" spans="1:23" x14ac:dyDescent="0.15">
      <c r="C175">
        <v>6219</v>
      </c>
      <c r="D175">
        <v>47</v>
      </c>
      <c r="I175" t="s">
        <v>2115</v>
      </c>
      <c r="P175">
        <v>1</v>
      </c>
      <c r="U175" t="s">
        <v>2111</v>
      </c>
      <c r="V175" s="36" t="str">
        <f t="shared" si="2"/>
        <v>{dwID=6219,nFrame=47,szNote="方超·阵营前置",[3]={bScreenHead=true,},[4]={},aFocus={{dwMapID=-1,szDisplay="方超·阵营前置",nMaxDistance=0,tRelation={bAll=true,bEnemy=false,bAlly=false,},tLife={bEnable=false,szOperator="&gt;",nValue=0,},},},},</v>
      </c>
    </row>
    <row r="176" spans="1:23" x14ac:dyDescent="0.15">
      <c r="C176">
        <v>36413</v>
      </c>
      <c r="D176">
        <v>52</v>
      </c>
      <c r="I176" t="s">
        <v>1678</v>
      </c>
      <c r="J176" t="s">
        <v>1655</v>
      </c>
      <c r="U176" t="s">
        <v>1679</v>
      </c>
      <c r="V176" s="36" t="str">
        <f t="shared" si="2"/>
        <v>{dwID=36413,nFrame=52,szNote="大旗·武王城",col={0,255,0,},[3]={},[4]={},aFocus={{dwMapID=-1,szDisplay="大旗·武王城",nMaxDistance=3,tRelation={bAll=true,bEnemy=false,bAlly=false,},tLife={bEnable=false,szOperator="&gt;",nValue=0,},},},},</v>
      </c>
    </row>
    <row r="177" spans="1:23" x14ac:dyDescent="0.15">
      <c r="A177" t="s">
        <v>136</v>
      </c>
      <c r="B177">
        <v>30</v>
      </c>
      <c r="V177" s="36" t="str">
        <f t="shared" si="2"/>
        <v>},[30]={</v>
      </c>
    </row>
    <row r="178" spans="1:23" x14ac:dyDescent="0.15">
      <c r="C178">
        <v>7604</v>
      </c>
      <c r="D178">
        <v>47</v>
      </c>
      <c r="I178" t="s">
        <v>2095</v>
      </c>
      <c r="J178" t="s">
        <v>1435</v>
      </c>
      <c r="P178">
        <v>1</v>
      </c>
      <c r="U178" t="s">
        <v>2096</v>
      </c>
      <c r="V178" s="36" t="str">
        <f t="shared" si="2"/>
        <v>{dwID=7604,nFrame=47,szNote="何非笑·阵营前置",col={255,255,100,},[3]={bScreenHead=true,},[4]={},aFocus={{dwMapID=-1,szDisplay="何非笑·阵营前置",nMaxDistance=60,tRelation={bAll=false,bEnemy=false,bAlly=true,},tLife={bEnable=false,szOperator="&gt;",nValue=0,},},},},</v>
      </c>
    </row>
    <row r="179" spans="1:23" x14ac:dyDescent="0.15">
      <c r="C179">
        <v>7607</v>
      </c>
      <c r="D179">
        <v>47</v>
      </c>
      <c r="I179" t="s">
        <v>2093</v>
      </c>
      <c r="J179" t="s">
        <v>1667</v>
      </c>
      <c r="P179">
        <v>1</v>
      </c>
      <c r="U179" t="s">
        <v>2091</v>
      </c>
      <c r="V179" s="36" t="str">
        <f t="shared" si="2"/>
        <v>{dwID=7607,nFrame=47,szNote="王洵·阵营前置",col={100,255,255,},[3]={bScreenHead=true,},[4]={},aFocus={{dwMapID=-1,szDisplay="王洵·阵营前置",nMaxDistance=60,tRelation={bAll=false,bEnemy=false,bAlly=true,},tLife={bEnable=false,szOperator="&gt;",nValue=0,},},},},</v>
      </c>
    </row>
    <row r="180" spans="1:23" x14ac:dyDescent="0.15">
      <c r="C180">
        <v>64733</v>
      </c>
      <c r="D180">
        <v>52</v>
      </c>
      <c r="I180" t="s">
        <v>2097</v>
      </c>
      <c r="U180" t="s">
        <v>1672</v>
      </c>
      <c r="V180" s="36" t="str">
        <f t="shared" si="2"/>
        <v>{dwID=64733,nFrame=52,szNote="浩气牛车",[3]={},[4]={},aFocus={{dwMapID=-1,szDisplay="浩气牛车·粮草先行",nMaxDistance=0,tRelation={bAll=true,bEnemy=false,bAlly=false,},tLife={bEnable=false,szOperator="&gt;",nValue=0,},},},},</v>
      </c>
    </row>
    <row r="181" spans="1:23" x14ac:dyDescent="0.15">
      <c r="C181">
        <v>64732</v>
      </c>
      <c r="D181">
        <v>52</v>
      </c>
      <c r="I181" t="s">
        <v>2098</v>
      </c>
      <c r="P181">
        <v>1</v>
      </c>
      <c r="U181" t="s">
        <v>1673</v>
      </c>
      <c r="V181" s="36" t="str">
        <f t="shared" si="2"/>
        <v>{dwID=64732,nFrame=52,szNote="恶人牛车",[3]={bScreenHead=true,},[4]={},aFocus={{dwMapID=-1,szDisplay="恶人牛车·粮草先行",nMaxDistance=0,tRelation={bAll=true,bEnemy=false,bAlly=false,},tLife={bEnable=false,szOperator="&gt;",nValue=0,},},},},</v>
      </c>
    </row>
    <row r="182" spans="1:23" x14ac:dyDescent="0.15">
      <c r="C182">
        <v>64731</v>
      </c>
      <c r="D182">
        <v>47</v>
      </c>
      <c r="I182" t="s">
        <v>1674</v>
      </c>
      <c r="P182">
        <v>1</v>
      </c>
      <c r="U182" t="s">
        <v>1675</v>
      </c>
      <c r="V182" s="36" t="str">
        <f t="shared" si="2"/>
        <v>{dwID=64731,nFrame=47,szNote="管良沧·粮草先行",[3]={bScreenHead=true,},[4]={},aFocus={{dwMapID=-1,szDisplay="管良沧·粮草先行",nMaxDistance=60,tRelation={bAll=false,bEnemy=false,bAlly=true,},tLife={bEnable=false,szOperator="&gt;",nValue=0,},},},},</v>
      </c>
    </row>
    <row r="183" spans="1:23" x14ac:dyDescent="0.15">
      <c r="C183">
        <v>64730</v>
      </c>
      <c r="D183">
        <v>47</v>
      </c>
      <c r="I183" t="s">
        <v>1676</v>
      </c>
      <c r="P183">
        <v>1</v>
      </c>
      <c r="U183" t="s">
        <v>1677</v>
      </c>
      <c r="V183" s="36" t="str">
        <f t="shared" si="2"/>
        <v>{dwID=64730,nFrame=47,szNote="苏才寥·粮草先行",[3]={bScreenHead=true,},[4]={},aFocus={{dwMapID=-1,szDisplay="苏才寥·粮草先行",nMaxDistance=60,tRelation={bAll=false,bEnemy=false,bAlly=true,},tLife={bEnable=false,szOperator="&gt;",nValue=0,},},},},</v>
      </c>
    </row>
    <row r="184" spans="1:23" x14ac:dyDescent="0.15">
      <c r="C184">
        <v>1215</v>
      </c>
      <c r="D184">
        <v>47</v>
      </c>
      <c r="I184" t="s">
        <v>2051</v>
      </c>
      <c r="P184">
        <v>1</v>
      </c>
      <c r="U184" t="s">
        <v>1656</v>
      </c>
      <c r="V184" s="36" t="str">
        <f t="shared" si="2"/>
        <v>{dwID=1215,nFrame=47,szNote="于成仇",[3]={bScreenHead=true,},[4]={},aFocus={{dwMapID=-1,nMaxDistance=0,tRelation={bAll=false,bEnemy=true,bAlly=false,},tLife={bEnable=false,szOperator="&gt;",nValue=0,},},},tCountdown={{nClass=12,nIcon=13,nFrame=4,szName="于成仇·刷新剩余",nTime=10.1,},},},</v>
      </c>
      <c r="W184" t="s">
        <v>2049</v>
      </c>
    </row>
    <row r="185" spans="1:23" x14ac:dyDescent="0.15">
      <c r="C185">
        <v>1217</v>
      </c>
      <c r="D185">
        <v>47</v>
      </c>
      <c r="I185" t="s">
        <v>2052</v>
      </c>
      <c r="P185">
        <v>1</v>
      </c>
      <c r="U185" t="s">
        <v>1656</v>
      </c>
      <c r="V185" s="36" t="str">
        <f t="shared" si="2"/>
        <v>{dwID=1217,nFrame=47,szNote="阎世通",[3]={bScreenHead=true,},[4]={},aFocus={{dwMapID=-1,nMaxDistance=0,tRelation={bAll=false,bEnemy=true,bAlly=false,},tLife={bEnable=false,szOperator="&gt;",nValue=0,},},},tCountdown={{nClass=12,nIcon=13,nFrame=4,szName="阎世通·刷新剩余",nTime=10.1,},},},</v>
      </c>
      <c r="W185" t="s">
        <v>2050</v>
      </c>
    </row>
    <row r="186" spans="1:23" x14ac:dyDescent="0.15">
      <c r="C186">
        <v>6222</v>
      </c>
      <c r="D186">
        <v>47</v>
      </c>
      <c r="I186" t="s">
        <v>2090</v>
      </c>
      <c r="P186">
        <v>1</v>
      </c>
      <c r="U186" t="s">
        <v>2089</v>
      </c>
      <c r="V186" s="36" t="str">
        <f t="shared" si="2"/>
        <v>{dwID=6222,nFrame=47,szNote="霸图·阵营前置",[3]={bScreenHead=true,},[4]={},aFocus={{dwMapID=-1,szDisplay="霸图·阵营前置",nMaxDistance=0,tRelation={bAll=true,bEnemy=false,bAlly=false,},tLife={bEnable=false,szOperator="&gt;",nValue=0,},},},},</v>
      </c>
    </row>
    <row r="187" spans="1:23" x14ac:dyDescent="0.15">
      <c r="C187">
        <v>6221</v>
      </c>
      <c r="D187">
        <v>47</v>
      </c>
      <c r="I187" t="s">
        <v>2088</v>
      </c>
      <c r="P187">
        <v>1</v>
      </c>
      <c r="U187" t="s">
        <v>2087</v>
      </c>
      <c r="V187" s="36" t="str">
        <f t="shared" si="2"/>
        <v>{dwID=6221,nFrame=47,szNote="孙永恒·阵营前置",[3]={bScreenHead=true,},[4]={},aFocus={{dwMapID=-1,szDisplay="孙永恒·阵营前置",nMaxDistance=0,tRelation={bAll=true,bEnemy=false,bAlly=false,},tLife={bEnable=false,szOperator="&gt;",nValue=0,},},},},</v>
      </c>
    </row>
    <row r="188" spans="1:23" x14ac:dyDescent="0.15">
      <c r="C188">
        <v>5656</v>
      </c>
      <c r="D188">
        <v>47</v>
      </c>
      <c r="I188" t="s">
        <v>2085</v>
      </c>
      <c r="J188" t="s">
        <v>1655</v>
      </c>
      <c r="P188">
        <v>1</v>
      </c>
      <c r="U188" t="s">
        <v>1829</v>
      </c>
      <c r="V188" s="36" t="str">
        <f t="shared" si="2"/>
        <v>{dwID=5656,nFrame=47,szNote="长乐坊村民",col={0,255,0,},[3]={bScreenHead=true,},[4]={},aFocus={{dwMapID=-1,nMaxDistance=35,tRelation={bAll=false,bEnemy=false,bAlly=true,},tLife={bEnable=true,szOperator="==",nValue=100,},},},},</v>
      </c>
    </row>
    <row r="189" spans="1:23" x14ac:dyDescent="0.15">
      <c r="C189">
        <v>1193</v>
      </c>
      <c r="D189">
        <v>47</v>
      </c>
      <c r="I189" t="s">
        <v>2086</v>
      </c>
      <c r="J189" t="s">
        <v>1655</v>
      </c>
      <c r="P189">
        <v>1</v>
      </c>
      <c r="U189" t="s">
        <v>1680</v>
      </c>
      <c r="V189" s="36" t="str">
        <f t="shared" si="2"/>
        <v>{dwID=1193,nFrame=47,szNote="被虏的江湖人士",col={0,255,0,},[3]={bScreenHead=true,},[4]={},aFocus={{dwMapID=-1,nMaxDistance=3,tRelation={bAll=false,bEnemy=false,bAlly=true,},tLife={bEnable=false,szOperator="&gt;",nValue=0,},},},},</v>
      </c>
    </row>
    <row r="190" spans="1:23" x14ac:dyDescent="0.15">
      <c r="C190">
        <v>36412</v>
      </c>
      <c r="D190">
        <v>52</v>
      </c>
      <c r="I190" t="s">
        <v>2084</v>
      </c>
      <c r="J190" t="s">
        <v>1655</v>
      </c>
      <c r="P190">
        <v>1</v>
      </c>
      <c r="U190" t="s">
        <v>2083</v>
      </c>
      <c r="V190" s="36" t="str">
        <f t="shared" si="2"/>
        <v>{dwID=36412,nFrame=52,szNote="大旗·凛风堡",col={0,255,0,},[3]={bScreenHead=true,},[4]={},aFocus={{dwMapID=-1,szDisplay="大旗·凛风堡",nMaxDistance=3,tRelation={bAll=true,bEnemy=false,bAlly=false,},tLife={bEnable=false,szOperator="&gt;",nValue=0,},},},},</v>
      </c>
    </row>
    <row r="191" spans="1:23" x14ac:dyDescent="0.15">
      <c r="A191" t="s">
        <v>131</v>
      </c>
      <c r="B191">
        <v>21</v>
      </c>
      <c r="V191" s="36" t="str">
        <f t="shared" si="2"/>
        <v>},[21]={</v>
      </c>
    </row>
    <row r="192" spans="1:23" x14ac:dyDescent="0.15">
      <c r="C192">
        <v>36434</v>
      </c>
      <c r="D192">
        <v>52</v>
      </c>
      <c r="I192" t="s">
        <v>2100</v>
      </c>
      <c r="J192" t="s">
        <v>1655</v>
      </c>
      <c r="U192" t="s">
        <v>2099</v>
      </c>
      <c r="V192" s="36" t="str">
        <f t="shared" si="2"/>
        <v>{dwID=36434,nFrame=52,szNote="大旗·盘龙坞",col={0,255,0,},[3]={},[4]={},aFocus={{dwMapID=-1,szDisplay="大旗·盘龙坞",nMaxDistance=3,tRelation={bAll=true,bEnemy=false,bAlly=false,},tLife={bEnable=false,szOperator="&gt;",nValue=0,},},},},</v>
      </c>
    </row>
    <row r="193" spans="1:23" x14ac:dyDescent="0.15">
      <c r="C193">
        <v>36435</v>
      </c>
      <c r="D193">
        <v>52</v>
      </c>
      <c r="I193" t="s">
        <v>2102</v>
      </c>
      <c r="J193" t="s">
        <v>1655</v>
      </c>
      <c r="U193" t="s">
        <v>2101</v>
      </c>
      <c r="V193" s="36" t="str">
        <f t="shared" si="2"/>
        <v>{dwID=36435,nFrame=52,szNote="大旗·逐鹿坪",col={0,255,0,},[3]={},[4]={},aFocus={{dwMapID=-1,szDisplay="大旗·逐鹿坪",nMaxDistance=3,tRelation={bAll=true,bEnemy=false,bAlly=false,},tLife={bEnable=false,szOperator="&gt;",nValue=0,},},},},</v>
      </c>
    </row>
    <row r="194" spans="1:23" x14ac:dyDescent="0.15">
      <c r="C194">
        <v>1317</v>
      </c>
      <c r="D194">
        <v>47</v>
      </c>
      <c r="I194" t="s">
        <v>1815</v>
      </c>
      <c r="P194">
        <v>1</v>
      </c>
      <c r="U194" t="s">
        <v>1669</v>
      </c>
      <c r="V194" s="36" t="str">
        <f t="shared" si="2"/>
        <v>{dwID=1317,nFrame=47,szNote="左破天",[3]={bScreenHead=true,},[4]={},aFocus={{dwMapID=-1,szDisplay="左破天·阵营前置",nMaxDistance=0,tRelation={bAll=true,bEnemy=false,bAlly=false,},tLife={bEnable=false,szOperator="&gt;",nValue=0,},},},tCountdown={{nClass=12,nIcon=13,nFrame=4,szName="左破天·刷新剩余",nTime=10.1,},},},</v>
      </c>
      <c r="W194" s="36" t="s">
        <v>2048</v>
      </c>
    </row>
    <row r="195" spans="1:23" x14ac:dyDescent="0.15">
      <c r="C195">
        <v>1308</v>
      </c>
      <c r="D195">
        <v>47</v>
      </c>
      <c r="I195" t="s">
        <v>1816</v>
      </c>
      <c r="P195">
        <v>1</v>
      </c>
      <c r="U195" t="s">
        <v>1668</v>
      </c>
      <c r="V195" s="36" t="str">
        <f t="shared" ref="V195:V258" si="3">IF(ISBLANK(B195)=FALSE,IF(ISBLANK(B194),"},["&amp;B195&amp;"]={","["&amp;B195&amp;"]={"),IF(AND(ISBLANK(B195),ISBLANK(D195),ISBLANK(C195),OR(ISBLANK(B194)=FALSE,ISBLANK(D194)=FALSE,ISBLANK(C194)=FALSE)),"},},}",IF(ISBLANK(C195),"","{dwID="&amp;C195&amp;","&amp;"nFrame="&amp;D195&amp;","&amp;IF(E195&gt;0,"nCount="&amp;E195&amp;",","")&amp;IF(F195&gt;0,"bAllLeave=true,","")&amp;IF(G195&lt;&gt;"","szName="""&amp;G195&amp;""",","")&amp;IF(H195&lt;&gt;"","tKungFu={"&amp;H195&amp;"},","")&amp;IF(I195&lt;&gt;"","szNote="""&amp;I195&amp;""",","")&amp;IF(J195&lt;&gt;"","col={"&amp;J195&amp;"},","")&amp;"[3]={"&amp;IF(K195&lt;&gt;"","tMark={"&amp;K195&amp;"},","")&amp;IF(L195&lt;&gt;"","szVoice="""&amp;L195&amp;""",","")&amp;IF(M195&gt;0,"bTeamChannel=true,","")&amp;IF(N195&gt;0,"bWhisperChannel=true,","")&amp;IF(O195&gt;0,"bCenterAlarm=true,","")&amp;IF(P195&gt;0,"bScreenHead=true,","")&amp;"},"&amp;"[4]={"&amp;IF(Q195&lt;&gt;"","szVoice="""&amp;Q195&amp;""",","")&amp;IF(R195&gt;0,"bTeamChannel=true,","")&amp;IF(S195&gt;0,"bWhisperChannel=true,","")&amp;IF(T195&gt;0,"bCenterAlarm=true,","")&amp;"},"&amp;IF(U195&lt;&gt;"","aFocus={"&amp;U195&amp;"},","")&amp;IF(W195&lt;&gt;"","tCountdown={"&amp;_xlfn.TEXTJOIN("",TRUE,W195:ZZ195)&amp;"},","")&amp;"},")))</f>
        <v>{dwID=1308,nFrame=47,szNote="郭海宾",[3]={bScreenHead=true,},[4]={},aFocus={{dwMapID=-1,szDisplay="郭海宾·阵营前置",nMaxDistance=0,tRelation={bAll=true,bEnemy=false,bAlly=false,},tLife={bEnable=false,szOperator="&gt;",nValue=0,},},},tCountdown={{nClass=12,nIcon=13,nFrame=4,szName="郭海宾·刷新剩余",nTime=10.1,},},},</v>
      </c>
      <c r="W195" s="36" t="s">
        <v>2047</v>
      </c>
    </row>
    <row r="196" spans="1:23" x14ac:dyDescent="0.15">
      <c r="C196">
        <v>6220</v>
      </c>
      <c r="D196">
        <v>47</v>
      </c>
      <c r="I196" t="s">
        <v>1811</v>
      </c>
      <c r="P196">
        <v>1</v>
      </c>
      <c r="U196" t="s">
        <v>1670</v>
      </c>
      <c r="V196" s="36" t="str">
        <f t="shared" si="3"/>
        <v>{dwID=6220,nFrame=47,szNote="赵新宇",[3]={bScreenHead=true,},[4]={},aFocus={{dwMapID=-1,szDisplay="赵新宇·阵营前置",nMaxDistance=0,tRelation={bAll=true,bEnemy=false,bAlly=false,},tLife={bEnable=false,szOperator="&gt;",nValue=0,},},},},</v>
      </c>
    </row>
    <row r="197" spans="1:23" x14ac:dyDescent="0.15">
      <c r="C197">
        <v>6219</v>
      </c>
      <c r="D197">
        <v>47</v>
      </c>
      <c r="I197" t="s">
        <v>1810</v>
      </c>
      <c r="P197">
        <v>1</v>
      </c>
      <c r="U197" t="s">
        <v>1671</v>
      </c>
      <c r="V197" s="36" t="str">
        <f t="shared" si="3"/>
        <v>{dwID=6219,nFrame=47,szNote="方超",[3]={bScreenHead=true,},[4]={},aFocus={{dwMapID=-1,szDisplay="方超··阵营前置",nMaxDistance=0,tRelation={bAll=true,bEnemy=false,bAlly=false,},tLife={bEnable=false,szOperator="&gt;",nValue=0,},},},},</v>
      </c>
    </row>
    <row r="198" spans="1:23" x14ac:dyDescent="0.15">
      <c r="C198">
        <v>7605</v>
      </c>
      <c r="D198">
        <v>47</v>
      </c>
      <c r="I198" t="s">
        <v>2095</v>
      </c>
      <c r="J198" t="s">
        <v>1435</v>
      </c>
      <c r="P198">
        <v>1</v>
      </c>
      <c r="U198" t="s">
        <v>2103</v>
      </c>
      <c r="V198" s="36" t="str">
        <f t="shared" si="3"/>
        <v>{dwID=7605,nFrame=47,szNote="何非笑·阵营前置",col={255,255,100,},[3]={bScreenHead=true,},[4]={},aFocus={{dwMapID=-1,szDisplay="何非笑·阵营前置",nMaxDistance=0,tRelation={bAll=false,bEnemy=false,bAlly=true,},tLife={bEnable=false,szOperator="&gt;",nValue=0,},},},},</v>
      </c>
    </row>
    <row r="199" spans="1:23" x14ac:dyDescent="0.15">
      <c r="C199">
        <v>7606</v>
      </c>
      <c r="D199">
        <v>47</v>
      </c>
      <c r="I199" t="s">
        <v>2093</v>
      </c>
      <c r="J199" t="s">
        <v>1667</v>
      </c>
      <c r="P199">
        <v>1</v>
      </c>
      <c r="U199" t="s">
        <v>2104</v>
      </c>
      <c r="V199" s="36" t="str">
        <f t="shared" si="3"/>
        <v>{dwID=7606,nFrame=47,szNote="王洵·阵营前置",col={100,255,255,},[3]={bScreenHead=true,},[4]={},aFocus={{dwMapID=-1,szDisplay="王洵·阵营前置",nMaxDistance=20,tRelation={bAll=false,bEnemy=false,bAlly=true,},tLife={bEnable=false,szOperator="&gt;",nValue=0,},},},},</v>
      </c>
    </row>
    <row r="200" spans="1:23" x14ac:dyDescent="0.15">
      <c r="A200" t="s">
        <v>7</v>
      </c>
      <c r="B200">
        <v>23</v>
      </c>
      <c r="V200" s="36" t="str">
        <f t="shared" si="3"/>
        <v>},[23]={</v>
      </c>
    </row>
    <row r="201" spans="1:23" x14ac:dyDescent="0.15">
      <c r="C201">
        <v>36414</v>
      </c>
      <c r="D201">
        <v>52</v>
      </c>
      <c r="I201" t="s">
        <v>2106</v>
      </c>
      <c r="J201" t="s">
        <v>1655</v>
      </c>
      <c r="P201">
        <v>1</v>
      </c>
      <c r="U201" t="s">
        <v>2105</v>
      </c>
      <c r="V201" s="36" t="str">
        <f t="shared" si="3"/>
        <v>{dwID=36414,nFrame=52,szNote="大旗·龙门镇",col={0,255,0,},[3]={bScreenHead=true,},[4]={},aFocus={{dwMapID=-1,szDisplay="大旗·龙门镇",nMaxDistance=3,tRelation={bAll=true,bEnemy=false,bAlly=false,},tLife={bEnable=false,szOperator="&gt;",nValue=0,},},},},</v>
      </c>
    </row>
    <row r="202" spans="1:23" x14ac:dyDescent="0.15">
      <c r="C202">
        <v>36415</v>
      </c>
      <c r="D202">
        <v>52</v>
      </c>
      <c r="I202" t="s">
        <v>2108</v>
      </c>
      <c r="J202" t="s">
        <v>1655</v>
      </c>
      <c r="P202">
        <v>1</v>
      </c>
      <c r="U202" t="s">
        <v>2107</v>
      </c>
      <c r="V202" s="36" t="str">
        <f t="shared" si="3"/>
        <v>{dwID=36415,nFrame=52,szNote="大旗·飞沙关",col={0,255,0,},[3]={bScreenHead=true,},[4]={},aFocus={{dwMapID=-1,szDisplay="大旗·飞沙关",nMaxDistance=3,tRelation={bAll=true,bEnemy=false,bAlly=false,},tLife={bEnable=false,szOperator="&gt;",nValue=0,},},},},</v>
      </c>
    </row>
    <row r="203" spans="1:23" x14ac:dyDescent="0.15">
      <c r="C203">
        <v>7604</v>
      </c>
      <c r="D203">
        <v>47</v>
      </c>
      <c r="I203" t="s">
        <v>2094</v>
      </c>
      <c r="J203" t="s">
        <v>1435</v>
      </c>
      <c r="P203">
        <v>1</v>
      </c>
      <c r="U203" t="s">
        <v>2103</v>
      </c>
      <c r="V203" s="36" t="str">
        <f t="shared" si="3"/>
        <v>{dwID=7604,nFrame=47,szNote="何非笑·阵营前置",col={255,255,100,},[3]={bScreenHead=true,},[4]={},aFocus={{dwMapID=-1,szDisplay="何非笑·阵营前置",nMaxDistance=0,tRelation={bAll=false,bEnemy=false,bAlly=true,},tLife={bEnable=false,szOperator="&gt;",nValue=0,},},},},</v>
      </c>
    </row>
    <row r="204" spans="1:23" x14ac:dyDescent="0.15">
      <c r="C204">
        <v>7607</v>
      </c>
      <c r="D204">
        <v>47</v>
      </c>
      <c r="I204" t="s">
        <v>2092</v>
      </c>
      <c r="J204" t="s">
        <v>1667</v>
      </c>
      <c r="P204">
        <v>1</v>
      </c>
      <c r="U204" t="s">
        <v>2104</v>
      </c>
      <c r="V204" s="36" t="str">
        <f t="shared" si="3"/>
        <v>{dwID=7607,nFrame=47,szNote="王洵·阵营前置",col={100,255,255,},[3]={bScreenHead=true,},[4]={},aFocus={{dwMapID=-1,szDisplay="王洵·阵营前置",nMaxDistance=20,tRelation={bAll=false,bEnemy=false,bAlly=true,},tLife={bEnable=false,szOperator="&gt;",nValue=0,},},},},</v>
      </c>
    </row>
    <row r="205" spans="1:23" x14ac:dyDescent="0.15">
      <c r="C205">
        <v>1215</v>
      </c>
      <c r="D205">
        <v>47</v>
      </c>
      <c r="I205" t="s">
        <v>2051</v>
      </c>
      <c r="P205">
        <v>1</v>
      </c>
      <c r="U205" t="s">
        <v>1656</v>
      </c>
      <c r="V205" s="36" t="str">
        <f t="shared" si="3"/>
        <v>{dwID=1215,nFrame=47,szNote="于成仇",[3]={bScreenHead=true,},[4]={},aFocus={{dwMapID=-1,nMaxDistance=0,tRelation={bAll=false,bEnemy=true,bAlly=false,},tLife={bEnable=false,szOperator="&gt;",nValue=0,},},},tCountdown={{nClass=12,nIcon=13,nFrame=4,szName="于成仇·刷新剩余",nTime=10.1,},},},</v>
      </c>
      <c r="W205" s="36" t="s">
        <v>2049</v>
      </c>
    </row>
    <row r="206" spans="1:23" x14ac:dyDescent="0.15">
      <c r="C206">
        <v>1217</v>
      </c>
      <c r="D206">
        <v>47</v>
      </c>
      <c r="I206" t="s">
        <v>2052</v>
      </c>
      <c r="P206">
        <v>1</v>
      </c>
      <c r="U206" t="s">
        <v>1656</v>
      </c>
      <c r="V206" s="36" t="str">
        <f t="shared" si="3"/>
        <v>{dwID=1217,nFrame=47,szNote="阎世通",[3]={bScreenHead=true,},[4]={},aFocus={{dwMapID=-1,nMaxDistance=0,tRelation={bAll=false,bEnemy=true,bAlly=false,},tLife={bEnable=false,szOperator="&gt;",nValue=0,},},},tCountdown={{nClass=12,nIcon=13,nFrame=4,szName="阎世通·刷新剩余",nTime=10.1,},},},</v>
      </c>
      <c r="W206" s="36" t="s">
        <v>2050</v>
      </c>
    </row>
    <row r="207" spans="1:23" x14ac:dyDescent="0.15">
      <c r="C207">
        <v>6222</v>
      </c>
      <c r="D207">
        <v>47</v>
      </c>
      <c r="I207" t="s">
        <v>2090</v>
      </c>
      <c r="P207">
        <v>1</v>
      </c>
      <c r="U207" t="s">
        <v>2089</v>
      </c>
      <c r="V207" s="36" t="str">
        <f t="shared" si="3"/>
        <v>{dwID=6222,nFrame=47,szNote="霸图·阵营前置",[3]={bScreenHead=true,},[4]={},aFocus={{dwMapID=-1,szDisplay="霸图·阵营前置",nMaxDistance=0,tRelation={bAll=true,bEnemy=false,bAlly=false,},tLife={bEnable=false,szOperator="&gt;",nValue=0,},},},},</v>
      </c>
    </row>
    <row r="208" spans="1:23" x14ac:dyDescent="0.15">
      <c r="C208">
        <v>6221</v>
      </c>
      <c r="D208">
        <v>47</v>
      </c>
      <c r="I208" t="s">
        <v>2088</v>
      </c>
      <c r="P208">
        <v>1</v>
      </c>
      <c r="U208" t="s">
        <v>2087</v>
      </c>
      <c r="V208" s="36" t="str">
        <f t="shared" si="3"/>
        <v>{dwID=6221,nFrame=47,szNote="孙永恒·阵营前置",[3]={bScreenHead=true,},[4]={},aFocus={{dwMapID=-1,szDisplay="孙永恒·阵营前置",nMaxDistance=0,tRelation={bAll=true,bEnemy=false,bAlly=false,},tLife={bEnable=false,szOperator="&gt;",nValue=0,},},},},</v>
      </c>
    </row>
    <row r="209" spans="1:22" x14ac:dyDescent="0.15">
      <c r="C209">
        <v>56418</v>
      </c>
      <c r="D209">
        <v>47</v>
      </c>
      <c r="I209" t="s">
        <v>2109</v>
      </c>
      <c r="J209" t="s">
        <v>1655</v>
      </c>
      <c r="P209">
        <v>1</v>
      </c>
      <c r="U209" t="s">
        <v>1826</v>
      </c>
      <c r="V209" s="36" t="str">
        <f t="shared" si="3"/>
        <v>{dwID=56418,nFrame=47,szNote="休憩的商人",col={0,255,0,},[3]={bScreenHead=true,},[4]={},aFocus={{dwMapID=-1,nMaxDistance=10,tRelation={bAll=false,bEnemy=false,bAlly=true,},tLife={bEnable=true,szOperator="==",nValue=100,},},},},</v>
      </c>
    </row>
    <row r="210" spans="1:22" x14ac:dyDescent="0.15">
      <c r="C210">
        <v>1193</v>
      </c>
      <c r="D210">
        <v>47</v>
      </c>
      <c r="I210" t="s">
        <v>2086</v>
      </c>
      <c r="J210" t="s">
        <v>1655</v>
      </c>
      <c r="P210">
        <v>1</v>
      </c>
      <c r="U210" t="s">
        <v>1680</v>
      </c>
      <c r="V210" s="36" t="str">
        <f t="shared" si="3"/>
        <v>{dwID=1193,nFrame=47,szNote="被虏的江湖人士",col={0,255,0,},[3]={bScreenHead=true,},[4]={},aFocus={{dwMapID=-1,nMaxDistance=3,tRelation={bAll=false,bEnemy=false,bAlly=true,},tLife={bEnable=false,szOperator="&gt;",nValue=0,},},},},</v>
      </c>
    </row>
    <row r="211" spans="1:22" x14ac:dyDescent="0.15">
      <c r="C211" s="37">
        <v>16540</v>
      </c>
      <c r="D211">
        <v>47</v>
      </c>
      <c r="I211" t="s">
        <v>2110</v>
      </c>
      <c r="J211" t="s">
        <v>1655</v>
      </c>
      <c r="P211">
        <v>1</v>
      </c>
      <c r="U211" t="s">
        <v>1659</v>
      </c>
      <c r="V211" s="36" t="str">
        <f t="shared" si="3"/>
        <v>{dwID=16540,nFrame=47,szNote="凌燕丘",col={0,255,0,},[3]={bScreenHead=true,},[4]={},aFocus={{dwMapID=-1,nMaxDistance=3,tRelation={bAll=true,bEnemy=false,bAlly=false,},tLife={bEnable=false,szOperator="&gt;",nValue=0,},},},},</v>
      </c>
    </row>
    <row r="212" spans="1:22" x14ac:dyDescent="0.15">
      <c r="A212" t="s">
        <v>104</v>
      </c>
      <c r="B212">
        <v>9</v>
      </c>
      <c r="V212" s="36" t="str">
        <f t="shared" si="3"/>
        <v>},[9]={</v>
      </c>
    </row>
    <row r="213" spans="1:22" x14ac:dyDescent="0.15">
      <c r="C213">
        <v>36433</v>
      </c>
      <c r="D213">
        <v>52</v>
      </c>
      <c r="I213" t="s">
        <v>1661</v>
      </c>
      <c r="J213" t="s">
        <v>1655</v>
      </c>
      <c r="U213" t="s">
        <v>1662</v>
      </c>
      <c r="V213" s="36" t="str">
        <f t="shared" si="3"/>
        <v>{dwID=36433,nFrame=52,szNote="大旗·红莲岗",col={0,255,0,},[3]={},[4]={},aFocus={{dwMapID=-1,szDisplay="大旗·红莲岗",nMaxDistance=3,tRelation={bAll=true,bEnemy=false,bAlly=false,},tLife={bEnable=false,szOperator="&gt;",nValue=0,},},},},</v>
      </c>
    </row>
    <row r="214" spans="1:22" x14ac:dyDescent="0.15">
      <c r="C214">
        <v>36432</v>
      </c>
      <c r="D214">
        <v>52</v>
      </c>
      <c r="I214" t="s">
        <v>1663</v>
      </c>
      <c r="J214" t="s">
        <v>1655</v>
      </c>
      <c r="U214" t="s">
        <v>1664</v>
      </c>
      <c r="V214" s="36" t="str">
        <f t="shared" si="3"/>
        <v>{dwID=36432,nFrame=52,szNote="大旗·秋雨堡",col={0,255,0,},[3]={},[4]={},aFocus={{dwMapID=-1,szDisplay="大旗·秋雨堡",nMaxDistance=3,tRelation={bAll=true,bEnemy=false,bAlly=false,},tLife={bEnable=false,szOperator="&gt;",nValue=0,},},},},</v>
      </c>
    </row>
    <row r="215" spans="1:22" x14ac:dyDescent="0.15">
      <c r="A215" t="s">
        <v>117</v>
      </c>
      <c r="B215">
        <v>13</v>
      </c>
      <c r="V215" s="36" t="str">
        <f t="shared" si="3"/>
        <v>},[13]={</v>
      </c>
    </row>
    <row r="216" spans="1:22" x14ac:dyDescent="0.15">
      <c r="C216">
        <v>36430</v>
      </c>
      <c r="D216">
        <v>52</v>
      </c>
      <c r="I216" t="s">
        <v>2074</v>
      </c>
      <c r="J216" t="s">
        <v>1655</v>
      </c>
      <c r="U216" t="s">
        <v>1665</v>
      </c>
      <c r="V216" s="36" t="str">
        <f t="shared" si="3"/>
        <v>{dwID=36430,nFrame=52,szNote="大旗·金门关",col={0,255,0,},[3]={},[4]={},aFocus={{dwMapID=-1,szDisplay="大旗·金门关",nMaxDistance=3,tRelation={bAll=true,bEnemy=false,bAlly=false,},tLife={bEnable=false,szOperator="&gt;",nValue=0,},},},},</v>
      </c>
    </row>
    <row r="217" spans="1:22" x14ac:dyDescent="0.15">
      <c r="C217">
        <v>36431</v>
      </c>
      <c r="D217">
        <v>52</v>
      </c>
      <c r="I217" t="s">
        <v>2073</v>
      </c>
      <c r="J217" t="s">
        <v>1655</v>
      </c>
      <c r="U217" t="s">
        <v>1666</v>
      </c>
      <c r="V217" s="36" t="str">
        <f t="shared" si="3"/>
        <v>{dwID=36431,nFrame=52,szNote="大旗·青云坞",col={0,255,0,},[3]={},[4]={},aFocus={{dwMapID=-1,szDisplay="大旗·青云坞",nMaxDistance=3,tRelation={bAll=true,bEnemy=false,bAlly=false,},tLife={bEnable=false,szOperator="&gt;",nValue=0,},},},},</v>
      </c>
    </row>
    <row r="218" spans="1:22" x14ac:dyDescent="0.15">
      <c r="A218" t="s">
        <v>10</v>
      </c>
      <c r="B218">
        <v>35</v>
      </c>
      <c r="V218" s="36" t="str">
        <f t="shared" si="3"/>
        <v>},[35]={</v>
      </c>
    </row>
    <row r="219" spans="1:22" x14ac:dyDescent="0.15">
      <c r="C219">
        <v>36425</v>
      </c>
      <c r="D219">
        <v>52</v>
      </c>
      <c r="I219" t="s">
        <v>1683</v>
      </c>
      <c r="J219" t="s">
        <v>1655</v>
      </c>
      <c r="U219" t="s">
        <v>1684</v>
      </c>
      <c r="V219" s="36" t="str">
        <f t="shared" si="3"/>
        <v>{dwID=36425,nFrame=52,szNote="大旗·激流坞",col={0,255,0,},[3]={},[4]={},aFocus={{dwMapID=-1,szDisplay="大旗·激流坞",nMaxDistance=3,tRelation={bAll=true,bEnemy=false,bAlly=false,},tLife={bEnable=false,szOperator="&gt;",nValue=0,},},},},</v>
      </c>
    </row>
    <row r="220" spans="1:22" x14ac:dyDescent="0.15">
      <c r="C220">
        <v>36424</v>
      </c>
      <c r="D220">
        <v>52</v>
      </c>
      <c r="I220" t="s">
        <v>1685</v>
      </c>
      <c r="J220" t="s">
        <v>1655</v>
      </c>
      <c r="U220" t="s">
        <v>1686</v>
      </c>
      <c r="V220" s="36" t="str">
        <f t="shared" si="3"/>
        <v>{dwID=36424,nFrame=52,szNote="大旗·不空关",col={0,255,0,},[3]={},[4]={},aFocus={{dwMapID=-1,szDisplay="大旗·不空关",nMaxDistance=3,tRelation={bAll=true,bEnemy=false,bAlly=false,},tLife={bEnable=false,szOperator="&gt;",nValue=0,},},},},</v>
      </c>
    </row>
    <row r="221" spans="1:22" x14ac:dyDescent="0.15">
      <c r="A221" t="s">
        <v>178</v>
      </c>
      <c r="B221">
        <v>100</v>
      </c>
      <c r="V221" s="36" t="str">
        <f t="shared" si="3"/>
        <v>},[100]={</v>
      </c>
    </row>
    <row r="222" spans="1:22" x14ac:dyDescent="0.15">
      <c r="C222">
        <v>36427</v>
      </c>
      <c r="D222">
        <v>52</v>
      </c>
      <c r="I222" t="s">
        <v>1687</v>
      </c>
      <c r="J222" t="s">
        <v>1655</v>
      </c>
      <c r="U222" t="s">
        <v>1688</v>
      </c>
      <c r="V222" s="36" t="str">
        <f t="shared" si="3"/>
        <v>{dwID=36427,nFrame=52,szNote="大旗·日月崖",col={0,255,0,},[3]={},[4]={},aFocus={{dwMapID=-1,szDisplay="大旗·日月崖",nMaxDistance=3,tRelation={bAll=true,bEnemy=false,bAlly=false,},tLife={bEnable=false,szOperator="&gt;",nValue=0,},},},},</v>
      </c>
    </row>
    <row r="223" spans="1:22" x14ac:dyDescent="0.15">
      <c r="C223">
        <v>36426</v>
      </c>
      <c r="D223">
        <v>52</v>
      </c>
      <c r="I223" t="s">
        <v>1689</v>
      </c>
      <c r="J223" t="s">
        <v>1655</v>
      </c>
      <c r="U223" t="s">
        <v>1690</v>
      </c>
      <c r="V223" s="36" t="str">
        <f t="shared" si="3"/>
        <v>{dwID=36426,nFrame=52,szNote="大旗·卧龙坡",col={0,255,0,},[3]={},[4]={},aFocus={{dwMapID=-1,szDisplay="大旗·卧龙坡",nMaxDistance=3,tRelation={bAll=true,bEnemy=false,bAlly=false,},tLife={bEnable=false,szOperator="&gt;",nValue=0,},},},},</v>
      </c>
    </row>
    <row r="224" spans="1:22" x14ac:dyDescent="0.15">
      <c r="A224" t="s">
        <v>179</v>
      </c>
      <c r="B224">
        <v>101</v>
      </c>
      <c r="V224" s="36" t="str">
        <f t="shared" si="3"/>
        <v>},[101]={</v>
      </c>
    </row>
    <row r="225" spans="1:22" x14ac:dyDescent="0.15">
      <c r="C225">
        <v>36428</v>
      </c>
      <c r="D225">
        <v>52</v>
      </c>
      <c r="I225" t="s">
        <v>1691</v>
      </c>
      <c r="J225" t="s">
        <v>1655</v>
      </c>
      <c r="U225" t="s">
        <v>1692</v>
      </c>
      <c r="V225" s="36" t="str">
        <f t="shared" si="3"/>
        <v>{dwID=36428,nFrame=52,szNote="大旗·霜戈堡",col={0,255,0,},[3]={},[4]={},aFocus={{dwMapID=-1,szDisplay="大旗·霜戈堡",nMaxDistance=3,tRelation={bAll=true,bEnemy=false,bAlly=false,},tLife={bEnable=false,szOperator="&gt;",nValue=0,},},},},</v>
      </c>
    </row>
    <row r="226" spans="1:22" x14ac:dyDescent="0.15">
      <c r="C226">
        <v>36429</v>
      </c>
      <c r="D226">
        <v>52</v>
      </c>
      <c r="I226" t="s">
        <v>1693</v>
      </c>
      <c r="J226" t="s">
        <v>1655</v>
      </c>
      <c r="U226" t="s">
        <v>1694</v>
      </c>
      <c r="V226" s="36" t="str">
        <f t="shared" si="3"/>
        <v>{dwID=36429,nFrame=52,szNote="大旗·澜沧城",col={0,255,0,},[3]={},[4]={},aFocus={{dwMapID=-1,szDisplay="大旗·澜沧城",nMaxDistance=3,tRelation={bAll=true,bEnemy=false,bAlly=false,},tLife={bEnable=false,szOperator="&gt;",nValue=0,},},},},</v>
      </c>
    </row>
    <row r="227" spans="1:22" x14ac:dyDescent="0.15">
      <c r="A227" t="s">
        <v>181</v>
      </c>
      <c r="B227">
        <v>103</v>
      </c>
      <c r="V227" s="36" t="str">
        <f t="shared" si="3"/>
        <v>},[103]={</v>
      </c>
    </row>
    <row r="228" spans="1:22" x14ac:dyDescent="0.15">
      <c r="C228">
        <v>36418</v>
      </c>
      <c r="D228">
        <v>52</v>
      </c>
      <c r="I228" t="s">
        <v>2076</v>
      </c>
      <c r="J228" t="s">
        <v>1655</v>
      </c>
      <c r="U228" t="s">
        <v>2075</v>
      </c>
      <c r="V228" s="36" t="str">
        <f t="shared" si="3"/>
        <v>{dwID=36418,nFrame=52,szNote="大旗·神池岭",col={0,255,0,},[3]={},[4]={},aFocus={{dwMapID=-1,szDisplay="大旗·神池岭",nMaxDistance=3,tRelation={bAll=true,bEnemy=false,bAlly=false,},tLife={bEnable=false,szOperator="&gt;",nValue=0,},},},},</v>
      </c>
    </row>
    <row r="229" spans="1:22" x14ac:dyDescent="0.15">
      <c r="C229">
        <v>36419</v>
      </c>
      <c r="D229">
        <v>52</v>
      </c>
      <c r="I229" t="s">
        <v>2078</v>
      </c>
      <c r="J229" t="s">
        <v>1655</v>
      </c>
      <c r="U229" t="s">
        <v>2077</v>
      </c>
      <c r="V229" s="36" t="str">
        <f t="shared" si="3"/>
        <v>{dwID=36419,nFrame=52,szNote="大旗·烈日岗",col={0,255,0,},[3]={},[4]={},aFocus={{dwMapID=-1,szDisplay="大旗·烈日岗",nMaxDistance=3,tRelation={bAll=true,bEnemy=false,bAlly=false,},tLife={bEnable=false,szOperator="&gt;",nValue=0,},},},},</v>
      </c>
    </row>
    <row r="230" spans="1:22" x14ac:dyDescent="0.15">
      <c r="A230" t="s">
        <v>182</v>
      </c>
      <c r="B230">
        <v>104</v>
      </c>
      <c r="V230" s="36" t="str">
        <f t="shared" si="3"/>
        <v>},[104]={</v>
      </c>
    </row>
    <row r="231" spans="1:22" x14ac:dyDescent="0.15">
      <c r="C231">
        <v>36421</v>
      </c>
      <c r="D231">
        <v>52</v>
      </c>
      <c r="I231" t="s">
        <v>1695</v>
      </c>
      <c r="J231" t="s">
        <v>1655</v>
      </c>
      <c r="U231" t="s">
        <v>1696</v>
      </c>
      <c r="V231" s="36" t="str">
        <f t="shared" si="3"/>
        <v>{dwID=36421,nFrame=52,szNote="大旗·凤鸣堡",col={0,255,0,},[3]={},[4]={},aFocus={{dwMapID=-1,szDisplay="大旗·凤鸣堡",nMaxDistance=3,tRelation={bAll=true,bEnemy=false,bAlly=false,},tLife={bEnable=false,szOperator="&gt;",nValue=0,},},},},</v>
      </c>
    </row>
    <row r="232" spans="1:22" x14ac:dyDescent="0.15">
      <c r="C232">
        <v>36420</v>
      </c>
      <c r="D232">
        <v>52</v>
      </c>
      <c r="I232" t="s">
        <v>1697</v>
      </c>
      <c r="J232" t="s">
        <v>1655</v>
      </c>
      <c r="U232" t="s">
        <v>1698</v>
      </c>
      <c r="V232" s="36" t="str">
        <f t="shared" si="3"/>
        <v>{dwID=36420,nFrame=52,szNote="大旗·惊虬谷",col={0,255,0,},[3]={},[4]={},aFocus={{dwMapID=-1,szDisplay="大旗·惊虬谷",nMaxDistance=3,tRelation={bAll=true,bEnemy=false,bAlly=false,},tLife={bEnable=false,szOperator="&gt;",nValue=0,},},},},</v>
      </c>
    </row>
    <row r="233" spans="1:22" x14ac:dyDescent="0.15">
      <c r="A233" t="s">
        <v>183</v>
      </c>
      <c r="B233">
        <v>105</v>
      </c>
      <c r="V233" s="36" t="str">
        <f t="shared" si="3"/>
        <v>},[105]={</v>
      </c>
    </row>
    <row r="234" spans="1:22" x14ac:dyDescent="0.15">
      <c r="C234">
        <v>36436</v>
      </c>
      <c r="D234">
        <v>52</v>
      </c>
      <c r="I234" t="s">
        <v>1699</v>
      </c>
      <c r="J234" t="s">
        <v>1655</v>
      </c>
      <c r="U234" t="s">
        <v>1700</v>
      </c>
      <c r="V234" s="36" t="str">
        <f t="shared" si="3"/>
        <v>{dwID=36436,nFrame=52,szNote="大旗·大理山城",col={0,255,0,},[3]={},[4]={},aFocus={{dwMapID=-1,szDisplay="大旗·大理山城",nMaxDistance=3,tRelation={bAll=true,bEnemy=false,bAlly=false,},tLife={bEnable=false,szOperator="&gt;",nValue=0,},},},},</v>
      </c>
    </row>
    <row r="235" spans="1:22" x14ac:dyDescent="0.15">
      <c r="C235">
        <v>36437</v>
      </c>
      <c r="D235">
        <v>52</v>
      </c>
      <c r="I235" t="s">
        <v>2127</v>
      </c>
      <c r="J235" t="s">
        <v>1655</v>
      </c>
      <c r="U235" t="s">
        <v>2126</v>
      </c>
      <c r="V235" s="36" t="str">
        <f t="shared" si="3"/>
        <v>{dwID=36437,nFrame=52,szNote="大旗·千岩关",col={0,255,0,},[3]={},[4]={},aFocus={{dwMapID=-1,szDisplay="大旗·千岩关",nMaxDistance=3,tRelation={bAll=true,bEnemy=false,bAlly=false,},tLife={bEnable=false,szOperator="&gt;",nValue=0,},},},},</v>
      </c>
    </row>
    <row r="236" spans="1:22" s="36" customFormat="1" x14ac:dyDescent="0.15">
      <c r="A236" s="36" t="s">
        <v>214</v>
      </c>
      <c r="B236" s="36">
        <v>139</v>
      </c>
      <c r="V236" s="36" t="str">
        <f t="shared" si="3"/>
        <v>},[139]={</v>
      </c>
    </row>
    <row r="237" spans="1:22" s="36" customFormat="1" x14ac:dyDescent="0.15">
      <c r="C237" s="36">
        <v>36423</v>
      </c>
      <c r="D237" s="36">
        <v>52</v>
      </c>
      <c r="I237" s="36" t="s">
        <v>2128</v>
      </c>
      <c r="J237" s="36" t="s">
        <v>1655</v>
      </c>
      <c r="U237" s="36" t="s">
        <v>2129</v>
      </c>
      <c r="V237" s="36" t="str">
        <f t="shared" si="3"/>
        <v>{dwID=36423,nFrame=52,szNote="大旗·枫湖寨",col={0,255,0,},[3]={},[4]={},aFocus={{dwMapID=-1,szDisplay="大旗·枫湖寨",nMaxDistance=3,tRelation={bAll=true,bEnemy=false,bAlly=false,},tLife={bEnable=false,szOperator="&gt;",nValue=0,},},},},</v>
      </c>
    </row>
    <row r="238" spans="1:22" s="36" customFormat="1" x14ac:dyDescent="0.15">
      <c r="C238" s="36">
        <v>36422</v>
      </c>
      <c r="D238" s="36">
        <v>52</v>
      </c>
      <c r="I238" s="36" t="s">
        <v>2131</v>
      </c>
      <c r="J238" s="36" t="s">
        <v>1655</v>
      </c>
      <c r="U238" s="36" t="s">
        <v>2130</v>
      </c>
      <c r="V238" s="36" t="str">
        <f t="shared" si="3"/>
        <v>{dwID=36422,nFrame=52,szNote="大旗·啖杏林",col={0,255,0,},[3]={},[4]={},aFocus={{dwMapID=-1,szDisplay="大旗·啖杏林",nMaxDistance=3,tRelation={bAll=true,bEnemy=false,bAlly=false,},tLife={bEnable=false,szOperator="&gt;",nValue=0,},},},},</v>
      </c>
    </row>
    <row r="239" spans="1:22" x14ac:dyDescent="0.15">
      <c r="A239" t="s">
        <v>223</v>
      </c>
      <c r="B239">
        <v>153</v>
      </c>
      <c r="V239" s="36" t="str">
        <f t="shared" si="3"/>
        <v>},[153]={</v>
      </c>
    </row>
    <row r="240" spans="1:22" x14ac:dyDescent="0.15">
      <c r="C240">
        <v>36417</v>
      </c>
      <c r="D240">
        <v>52</v>
      </c>
      <c r="I240" t="s">
        <v>2080</v>
      </c>
      <c r="J240" t="s">
        <v>1655</v>
      </c>
      <c r="U240" t="s">
        <v>2079</v>
      </c>
      <c r="V240" s="36" t="str">
        <f t="shared" si="3"/>
        <v>{dwID=36417,nFrame=52,szNote="大旗·扶风郡",col={0,255,0,},[3]={},[4]={},aFocus={{dwMapID=-1,szDisplay="大旗·扶风郡",nMaxDistance=3,tRelation={bAll=true,bEnemy=false,bAlly=false,},tLife={bEnable=false,szOperator="&gt;",nValue=0,},},},},</v>
      </c>
    </row>
    <row r="241" spans="1:22" x14ac:dyDescent="0.15">
      <c r="C241">
        <v>36416</v>
      </c>
      <c r="D241">
        <v>52</v>
      </c>
      <c r="I241" t="s">
        <v>2082</v>
      </c>
      <c r="J241" t="s">
        <v>1655</v>
      </c>
      <c r="U241" t="s">
        <v>2081</v>
      </c>
      <c r="V241" s="36" t="str">
        <f t="shared" si="3"/>
        <v>{dwID=36416,nFrame=52,szNote="大旗·世外坡",col={0,255,0,},[3]={},[4]={},aFocus={{dwMapID=-1,szDisplay="大旗·世外坡",nMaxDistance=3,tRelation={bAll=true,bEnemy=false,bAlly=false,},tLife={bEnable=false,szOperator="&gt;",nValue=0,},},},},</v>
      </c>
    </row>
    <row r="242" spans="1:22" x14ac:dyDescent="0.15">
      <c r="A242" t="s">
        <v>19</v>
      </c>
      <c r="B242">
        <v>217</v>
      </c>
      <c r="V242" s="36" t="str">
        <f t="shared" si="3"/>
        <v>},[217]={</v>
      </c>
    </row>
    <row r="243" spans="1:22" x14ac:dyDescent="0.15">
      <c r="C243">
        <v>101012</v>
      </c>
      <c r="D243">
        <v>47</v>
      </c>
      <c r="I243" t="s">
        <v>2119</v>
      </c>
      <c r="J243" t="s">
        <v>1435</v>
      </c>
      <c r="P243">
        <v>1</v>
      </c>
      <c r="U243" t="s">
        <v>2118</v>
      </c>
      <c r="V243" s="36" t="str">
        <f t="shared" si="3"/>
        <v>{dwID=101012,nFrame=47,szNote="烽烟再起·郭戈",col={255,255,100,},[3]={bScreenHead=true,},[4]={},aFocus={{dwMapID=-1,szDisplay="郭戈·烽烟再起",nMaxDistance=10,tRelation={bAll=false,bEnemy=false,bAlly=true,},tLife={bEnable=false,szOperator="&gt;",nValue=0,},},},},</v>
      </c>
    </row>
    <row r="244" spans="1:22" x14ac:dyDescent="0.15">
      <c r="C244">
        <v>101011</v>
      </c>
      <c r="D244">
        <v>47</v>
      </c>
      <c r="I244" t="s">
        <v>2120</v>
      </c>
      <c r="J244" t="s">
        <v>1667</v>
      </c>
      <c r="P244">
        <v>1</v>
      </c>
      <c r="U244" t="s">
        <v>1711</v>
      </c>
      <c r="V244" s="36" t="str">
        <f t="shared" si="3"/>
        <v>{dwID=101011,nFrame=47,szNote="烽烟再起·蒋征南",col={100,255,255,},[3]={bScreenHead=true,},[4]={},aFocus={{dwMapID=-1,szDisplay="蒋征南·烽烟再起",nMaxDistance=10,tRelation={bAll=false,bEnemy=false,bAlly=true,},tLife={bEnable=false,szOperator="&gt;",nValue=0,},},},},</v>
      </c>
    </row>
    <row r="245" spans="1:22" x14ac:dyDescent="0.15">
      <c r="C245">
        <v>47744</v>
      </c>
      <c r="D245">
        <v>47</v>
      </c>
      <c r="I245" t="s">
        <v>2121</v>
      </c>
      <c r="J245" t="s">
        <v>1712</v>
      </c>
      <c r="P245">
        <v>1</v>
      </c>
      <c r="U245" t="s">
        <v>1713</v>
      </c>
      <c r="V245" s="36" t="str">
        <f t="shared" si="3"/>
        <v>{dwID=47744,nFrame=47,szNote="谷艾",col={255,255,31,},[3]={bScreenHead=true,},[4]={},aFocus={{dwMapID=-1,szDisplay="谷艾·阴山商路主簿",nMaxDistance=20,tRelation={bAll=false,bEnemy=false,bAlly=true,},tLife={bEnable=false,szOperator="&gt;",nValue=0,},},},},</v>
      </c>
    </row>
    <row r="246" spans="1:22" x14ac:dyDescent="0.15">
      <c r="C246">
        <v>47858</v>
      </c>
      <c r="D246">
        <v>47</v>
      </c>
      <c r="I246" t="s">
        <v>2122</v>
      </c>
      <c r="J246" t="s">
        <v>1712</v>
      </c>
      <c r="P246">
        <v>1</v>
      </c>
      <c r="U246" t="s">
        <v>1714</v>
      </c>
      <c r="V246" s="36" t="str">
        <f t="shared" si="3"/>
        <v>{dwID=47858,nFrame=47,szNote="宋涛",col={255,255,31,},[3]={bScreenHead=true,},[4]={},aFocus={{dwMapID=-1,szDisplay="宋涛·阴山商路主簿",nMaxDistance=20,tRelation={bAll=false,bEnemy=false,bAlly=true,},tLife={bEnable=false,szOperator="&gt;",nValue=0,},},},},</v>
      </c>
    </row>
    <row r="247" spans="1:22" x14ac:dyDescent="0.15">
      <c r="C247">
        <v>47408</v>
      </c>
      <c r="D247">
        <v>47</v>
      </c>
      <c r="I247" t="s">
        <v>1703</v>
      </c>
      <c r="J247" t="s">
        <v>1655</v>
      </c>
      <c r="O247">
        <v>1</v>
      </c>
      <c r="U247" t="s">
        <v>1946</v>
      </c>
      <c r="V247" s="36" t="str">
        <f t="shared" si="3"/>
        <v>{dwID=47408,nFrame=47,szNote="阴山商路",col={0,255,0,},[3]={bCenterAlarm=true,},[4]={},aFocus={{dwMapID=-1,nMaxDistance=0,tRelation={bAll=true,bEnemy=false,bAlly=false,},tLife={bEnable=false,szOperator="&gt;",nValue=0,},},},},</v>
      </c>
    </row>
    <row r="248" spans="1:22" x14ac:dyDescent="0.15">
      <c r="A248" t="s">
        <v>18</v>
      </c>
      <c r="B248">
        <v>216</v>
      </c>
      <c r="V248" s="36" t="str">
        <f t="shared" si="3"/>
        <v>},[216]={</v>
      </c>
    </row>
    <row r="249" spans="1:22" x14ac:dyDescent="0.15">
      <c r="C249">
        <v>123840</v>
      </c>
      <c r="D249">
        <v>52</v>
      </c>
      <c r="I249" t="s">
        <v>1706</v>
      </c>
      <c r="J249" t="s">
        <v>1655</v>
      </c>
      <c r="O249">
        <v>1</v>
      </c>
      <c r="P249">
        <v>1</v>
      </c>
      <c r="U249" t="s">
        <v>1707</v>
      </c>
      <c r="V249" s="36" t="str">
        <f t="shared" si="3"/>
        <v>{dwID=123840,nFrame=52,szNote="大旗·云台营",col={0,255,0,},[3]={bCenterAlarm=true,bScreenHead=true,},[4]={},aFocus={{dwMapID=-1,szDisplay="大旗·云台营",nMaxDistance=20,tRelation={bAll=true,bEnemy=false,bAlly=false,},tLife={bEnable=false,szOperator="&gt;",nValue=0,},},},},</v>
      </c>
    </row>
    <row r="250" spans="1:22" x14ac:dyDescent="0.15">
      <c r="C250">
        <v>123841</v>
      </c>
      <c r="D250">
        <v>52</v>
      </c>
      <c r="I250" t="s">
        <v>1708</v>
      </c>
      <c r="J250" t="s">
        <v>1655</v>
      </c>
      <c r="O250">
        <v>1</v>
      </c>
      <c r="P250">
        <v>1</v>
      </c>
      <c r="U250" t="s">
        <v>1709</v>
      </c>
      <c r="V250" s="36" t="str">
        <f t="shared" si="3"/>
        <v>{dwID=123841,nFrame=52,szNote="大旗·高阳营",col={0,255,0,},[3]={bCenterAlarm=true,bScreenHead=true,},[4]={},aFocus={{dwMapID=-1,szDisplay="大旗·高阳营",nMaxDistance=20,tRelation={bAll=true,bEnemy=false,bAlly=false,},tLife={bEnable=false,szOperator="&gt;",nValue=0,},},},},</v>
      </c>
    </row>
    <row r="251" spans="1:22" x14ac:dyDescent="0.15">
      <c r="C251">
        <v>101011</v>
      </c>
      <c r="D251">
        <v>47</v>
      </c>
      <c r="I251" t="s">
        <v>2120</v>
      </c>
      <c r="J251" t="s">
        <v>1667</v>
      </c>
      <c r="P251">
        <v>1</v>
      </c>
      <c r="U251" t="s">
        <v>2125</v>
      </c>
      <c r="V251" s="36" t="str">
        <f t="shared" si="3"/>
        <v>{dwID=101011,nFrame=47,szNote="烽烟再起·蒋征南",col={100,255,255,},[3]={bScreenHead=true,},[4]={},aFocus={{dwMapID=-1,szDisplay="蒋征南·烽烟再起",nMaxDistance=10,tRelation={bAll=false,bEnemy=false,bAlly=true,},tLife={bEnable=false,szOperator="&gt;",nValue=0,},},},},</v>
      </c>
    </row>
    <row r="252" spans="1:22" x14ac:dyDescent="0.15">
      <c r="C252">
        <v>101012</v>
      </c>
      <c r="D252">
        <v>47</v>
      </c>
      <c r="I252" t="s">
        <v>2119</v>
      </c>
      <c r="J252" t="s">
        <v>1435</v>
      </c>
      <c r="P252">
        <v>1</v>
      </c>
      <c r="U252" t="s">
        <v>2118</v>
      </c>
      <c r="V252" s="36" t="str">
        <f t="shared" si="3"/>
        <v>{dwID=101012,nFrame=47,szNote="烽烟再起·郭戈",col={255,255,100,},[3]={bScreenHead=true,},[4]={},aFocus={{dwMapID=-1,szDisplay="郭戈·烽烟再起",nMaxDistance=10,tRelation={bAll=false,bEnemy=false,bAlly=true,},tLife={bEnable=false,szOperator="&gt;",nValue=0,},},},},</v>
      </c>
    </row>
    <row r="253" spans="1:22" x14ac:dyDescent="0.15">
      <c r="C253">
        <v>47859</v>
      </c>
      <c r="D253">
        <v>47</v>
      </c>
      <c r="I253" t="s">
        <v>1703</v>
      </c>
      <c r="U253" t="s">
        <v>1702</v>
      </c>
      <c r="V253" s="36" t="str">
        <f t="shared" si="3"/>
        <v>{dwID=47859,nFrame=47,szNote="阴山商路",[3]={},[4]={},aFocus={{dwMapID=-1,nMaxDistance=10,tRelation={bAll=false,bEnemy=true,bAlly=false,},tLife={bEnable=false,szOperator="&gt;",nValue=0,},},},},</v>
      </c>
    </row>
    <row r="254" spans="1:22" x14ac:dyDescent="0.15">
      <c r="C254">
        <v>47032</v>
      </c>
      <c r="D254">
        <v>47</v>
      </c>
      <c r="I254" t="s">
        <v>1703</v>
      </c>
      <c r="U254" t="s">
        <v>1702</v>
      </c>
      <c r="V254" s="36" t="str">
        <f t="shared" si="3"/>
        <v>{dwID=47032,nFrame=47,szNote="阴山商路",[3]={},[4]={},aFocus={{dwMapID=-1,nMaxDistance=10,tRelation={bAll=false,bEnemy=true,bAlly=false,},tLife={bEnable=false,szOperator="&gt;",nValue=0,},},},},</v>
      </c>
    </row>
    <row r="255" spans="1:22" x14ac:dyDescent="0.15">
      <c r="C255">
        <v>47408</v>
      </c>
      <c r="D255">
        <v>47</v>
      </c>
      <c r="I255" t="s">
        <v>1703</v>
      </c>
      <c r="J255" t="s">
        <v>1655</v>
      </c>
      <c r="O255">
        <v>1</v>
      </c>
      <c r="U255" t="s">
        <v>1701</v>
      </c>
      <c r="V255" s="36" t="str">
        <f t="shared" si="3"/>
        <v>{dwID=47408,nFrame=47,szNote="阴山商路",col={0,255,0,},[3]={bCenterAlarm=true,},[4]={},aFocus={{dwMapID=-1,nMaxDistance=0,tRelation={bAll=true,bEnemy=false,bAlly=false,},tLife={bEnable=false,szOperator="&gt;",nValue=0,},},},},</v>
      </c>
    </row>
    <row r="256" spans="1:22" x14ac:dyDescent="0.15">
      <c r="C256">
        <v>47888</v>
      </c>
      <c r="D256">
        <v>47</v>
      </c>
      <c r="I256" t="s">
        <v>1703</v>
      </c>
      <c r="J256" t="s">
        <v>1655</v>
      </c>
      <c r="P256">
        <v>1</v>
      </c>
      <c r="U256" t="s">
        <v>1704</v>
      </c>
      <c r="V256" s="36" t="str">
        <f t="shared" si="3"/>
        <v>{dwID=47888,nFrame=47,szNote="阴山商路",col={0,255,0,},[3]={bScreenHead=true,},[4]={},aFocus={{dwMapID=-1,szDisplay="夏洛特·阴山商路补货",nMaxDistance=20,tRelation={bAll=true,bEnemy=false,bAlly=false,},tLife={bEnable=false,szOperator="&gt;",nValue=0,},},},},</v>
      </c>
    </row>
    <row r="257" spans="3:22" x14ac:dyDescent="0.15">
      <c r="C257">
        <v>56526</v>
      </c>
      <c r="D257">
        <v>52</v>
      </c>
      <c r="I257" t="s">
        <v>2097</v>
      </c>
      <c r="P257">
        <v>1</v>
      </c>
      <c r="U257" t="s">
        <v>1705</v>
      </c>
      <c r="V257" s="36" t="str">
        <f t="shared" si="3"/>
        <v>{dwID=56526,nFrame=52,szNote="浩气牛车",[3]={bScreenHead=true,},[4]={},aFocus={{dwMapID=-1,nMaxDistance=40,tRelation={bAll=true,bEnemy=false,bAlly=false,},tLife={bEnable=false,szOperator="&gt;",nValue=0,},},},},</v>
      </c>
    </row>
    <row r="258" spans="3:22" x14ac:dyDescent="0.15">
      <c r="C258">
        <v>56527</v>
      </c>
      <c r="D258">
        <v>52</v>
      </c>
      <c r="I258" t="s">
        <v>2098</v>
      </c>
      <c r="P258">
        <v>1</v>
      </c>
      <c r="U258" t="s">
        <v>1705</v>
      </c>
      <c r="V258" s="36" t="str">
        <f t="shared" si="3"/>
        <v>{dwID=56527,nFrame=52,szNote="恶人牛车",[3]={bScreenHead=true,},[4]={},aFocus={{dwMapID=-1,nMaxDistance=40,tRelation={bAll=true,bEnemy=false,bAlly=false,},tLife={bEnable=false,szOperator="&gt;",nValue=0,},},},},</v>
      </c>
    </row>
    <row r="259" spans="3:22" x14ac:dyDescent="0.15">
      <c r="C259">
        <v>123976</v>
      </c>
      <c r="D259">
        <v>47</v>
      </c>
      <c r="I259" t="s">
        <v>2123</v>
      </c>
      <c r="P259">
        <v>1</v>
      </c>
      <c r="U259" t="s">
        <v>1830</v>
      </c>
      <c r="V259" s="36" t="str">
        <f t="shared" ref="V259:V318" si="4">IF(ISBLANK(B259)=FALSE,IF(ISBLANK(B258),"},["&amp;B259&amp;"]={","["&amp;B259&amp;"]={"),IF(AND(ISBLANK(B259),ISBLANK(D259),ISBLANK(C259),OR(ISBLANK(B258)=FALSE,ISBLANK(D258)=FALSE,ISBLANK(C258)=FALSE)),"},},}",IF(ISBLANK(C259),"","{dwID="&amp;C259&amp;","&amp;"nFrame="&amp;D259&amp;","&amp;IF(E259&gt;0,"nCount="&amp;E259&amp;",","")&amp;IF(F259&gt;0,"bAllLeave=true,","")&amp;IF(G259&lt;&gt;"","szName="""&amp;G259&amp;""",","")&amp;IF(H259&lt;&gt;"","tKungFu={"&amp;H259&amp;"},","")&amp;IF(I259&lt;&gt;"","szNote="""&amp;I259&amp;""",","")&amp;IF(J259&lt;&gt;"","col={"&amp;J259&amp;"},","")&amp;"[3]={"&amp;IF(K259&lt;&gt;"","tMark={"&amp;K259&amp;"},","")&amp;IF(L259&lt;&gt;"","szVoice="""&amp;L259&amp;""",","")&amp;IF(M259&gt;0,"bTeamChannel=true,","")&amp;IF(N259&gt;0,"bWhisperChannel=true,","")&amp;IF(O259&gt;0,"bCenterAlarm=true,","")&amp;IF(P259&gt;0,"bScreenHead=true,","")&amp;"},"&amp;"[4]={"&amp;IF(Q259&lt;&gt;"","szVoice="""&amp;Q259&amp;""",","")&amp;IF(R259&gt;0,"bTeamChannel=true,","")&amp;IF(S259&gt;0,"bWhisperChannel=true,","")&amp;IF(T259&gt;0,"bCenterAlarm=true,","")&amp;"},"&amp;IF(U259&lt;&gt;"","aFocus={"&amp;U259&amp;"},","")&amp;IF(W259&lt;&gt;"","tCountdown={"&amp;_xlfn.TEXTJOIN("",TRUE,W259:ZZ259)&amp;"},","")&amp;"},")))</f>
        <v>{dwID=123976,nFrame=47,szNote="恶人谷大将",[3]={bScreenHead=true,},[4]={},aFocus={{dwMapID=-1,nMaxDistance=60,tRelation={bAll=false,bEnemy=true,bAlly=false,},tLife={bEnable=false,szOperator="&gt;",nValue=0,},},{dwMapID=-1,nMaxDistance=30,tRelation={bAll=false,bEnemy=false,bAlly=true,},tLife={bEnable=true,szOperator="&lt;",nValue=100,},},},},</v>
      </c>
    </row>
    <row r="260" spans="3:22" x14ac:dyDescent="0.15">
      <c r="C260">
        <v>123975</v>
      </c>
      <c r="D260">
        <v>47</v>
      </c>
      <c r="I260" t="s">
        <v>2124</v>
      </c>
      <c r="P260">
        <v>1</v>
      </c>
      <c r="U260" t="s">
        <v>1830</v>
      </c>
      <c r="V260" s="36" t="str">
        <f t="shared" si="4"/>
        <v>{dwID=123975,nFrame=47,szNote="浩气盟大将",[3]={bScreenHead=true,},[4]={},aFocus={{dwMapID=-1,nMaxDistance=60,tRelation={bAll=false,bEnemy=true,bAlly=false,},tLife={bEnable=false,szOperator="&gt;",nValue=0,},},{dwMapID=-1,nMaxDistance=30,tRelation={bAll=false,bEnemy=false,bAlly=true,},tLife={bEnable=true,szOperator="&lt;",nValue=100,},},},},</v>
      </c>
    </row>
    <row r="261" spans="3:22" x14ac:dyDescent="0.15">
      <c r="C261">
        <v>124280</v>
      </c>
      <c r="D261">
        <v>52</v>
      </c>
      <c r="I261" t="s">
        <v>18</v>
      </c>
      <c r="U261" t="s">
        <v>1825</v>
      </c>
      <c r="V261" s="36" t="str">
        <f t="shared" si="4"/>
        <v>{dwID=124280,nFrame=52,szNote="阴山大草原",[3]={},[4]={},aFocus={{dwMapID=-1,nMaxDistance=0,tRelation={bAll=false,bEnemy=true,bAlly=false,},tLife={bEnable=true,szOperator="&gt;=",nValue=10,},},},},</v>
      </c>
    </row>
    <row r="262" spans="3:22" x14ac:dyDescent="0.15">
      <c r="C262">
        <v>124281</v>
      </c>
      <c r="D262">
        <v>52</v>
      </c>
      <c r="I262" t="s">
        <v>18</v>
      </c>
      <c r="U262" t="s">
        <v>1825</v>
      </c>
      <c r="V262" s="36" t="str">
        <f t="shared" si="4"/>
        <v>{dwID=124281,nFrame=52,szNote="阴山大草原",[3]={},[4]={},aFocus={{dwMapID=-1,nMaxDistance=0,tRelation={bAll=false,bEnemy=true,bAlly=false,},tLife={bEnable=true,szOperator="&gt;=",nValue=10,},},},},</v>
      </c>
    </row>
    <row r="263" spans="3:22" x14ac:dyDescent="0.15">
      <c r="C263">
        <v>124290</v>
      </c>
      <c r="D263">
        <v>52</v>
      </c>
      <c r="I263" t="s">
        <v>18</v>
      </c>
      <c r="U263" t="s">
        <v>1825</v>
      </c>
      <c r="V263" s="36" t="str">
        <f t="shared" si="4"/>
        <v>{dwID=124290,nFrame=52,szNote="阴山大草原",[3]={},[4]={},aFocus={{dwMapID=-1,nMaxDistance=0,tRelation={bAll=false,bEnemy=true,bAlly=false,},tLife={bEnable=true,szOperator="&gt;=",nValue=10,},},},},</v>
      </c>
    </row>
    <row r="264" spans="3:22" x14ac:dyDescent="0.15">
      <c r="C264">
        <v>124291</v>
      </c>
      <c r="D264">
        <v>52</v>
      </c>
      <c r="I264" t="s">
        <v>18</v>
      </c>
      <c r="U264" t="s">
        <v>1825</v>
      </c>
      <c r="V264" s="36" t="str">
        <f t="shared" si="4"/>
        <v>{dwID=124291,nFrame=52,szNote="阴山大草原",[3]={},[4]={},aFocus={{dwMapID=-1,nMaxDistance=0,tRelation={bAll=false,bEnemy=true,bAlly=false,},tLife={bEnable=true,szOperator="&gt;=",nValue=10,},},},},</v>
      </c>
    </row>
    <row r="265" spans="3:22" x14ac:dyDescent="0.15">
      <c r="C265">
        <v>124109</v>
      </c>
      <c r="D265">
        <v>52</v>
      </c>
      <c r="I265" t="s">
        <v>18</v>
      </c>
      <c r="U265" t="s">
        <v>1825</v>
      </c>
      <c r="V265" s="36" t="str">
        <f t="shared" si="4"/>
        <v>{dwID=124109,nFrame=52,szNote="阴山大草原",[3]={},[4]={},aFocus={{dwMapID=-1,nMaxDistance=0,tRelation={bAll=false,bEnemy=true,bAlly=false,},tLife={bEnable=true,szOperator="&gt;=",nValue=10,},},},},</v>
      </c>
    </row>
    <row r="266" spans="3:22" x14ac:dyDescent="0.15">
      <c r="C266">
        <v>124110</v>
      </c>
      <c r="D266">
        <v>52</v>
      </c>
      <c r="I266" t="s">
        <v>18</v>
      </c>
      <c r="U266" t="s">
        <v>1825</v>
      </c>
      <c r="V266" s="36" t="str">
        <f t="shared" si="4"/>
        <v>{dwID=124110,nFrame=52,szNote="阴山大草原",[3]={},[4]={},aFocus={{dwMapID=-1,nMaxDistance=0,tRelation={bAll=false,bEnemy=true,bAlly=false,},tLife={bEnable=true,szOperator="&gt;=",nValue=10,},},},},</v>
      </c>
    </row>
    <row r="267" spans="3:22" x14ac:dyDescent="0.15">
      <c r="C267">
        <v>124111</v>
      </c>
      <c r="D267">
        <v>52</v>
      </c>
      <c r="I267" t="s">
        <v>18</v>
      </c>
      <c r="U267" t="s">
        <v>1825</v>
      </c>
      <c r="V267" s="36" t="str">
        <f t="shared" si="4"/>
        <v>{dwID=124111,nFrame=52,szNote="阴山大草原",[3]={},[4]={},aFocus={{dwMapID=-1,nMaxDistance=0,tRelation={bAll=false,bEnemy=true,bAlly=false,},tLife={bEnable=true,szOperator="&gt;=",nValue=10,},},},},</v>
      </c>
    </row>
    <row r="268" spans="3:22" x14ac:dyDescent="0.15">
      <c r="C268">
        <v>124112</v>
      </c>
      <c r="D268">
        <v>52</v>
      </c>
      <c r="I268" t="s">
        <v>18</v>
      </c>
      <c r="U268" t="s">
        <v>1825</v>
      </c>
      <c r="V268" s="36" t="str">
        <f t="shared" si="4"/>
        <v>{dwID=124112,nFrame=52,szNote="阴山大草原",[3]={},[4]={},aFocus={{dwMapID=-1,nMaxDistance=0,tRelation={bAll=false,bEnemy=true,bAlly=false,},tLife={bEnable=true,szOperator="&gt;=",nValue=10,},},},},</v>
      </c>
    </row>
    <row r="269" spans="3:22" x14ac:dyDescent="0.15">
      <c r="C269">
        <v>124113</v>
      </c>
      <c r="D269">
        <v>52</v>
      </c>
      <c r="I269" t="s">
        <v>18</v>
      </c>
      <c r="U269" t="s">
        <v>1825</v>
      </c>
      <c r="V269" s="36" t="str">
        <f t="shared" si="4"/>
        <v>{dwID=124113,nFrame=52,szNote="阴山大草原",[3]={},[4]={},aFocus={{dwMapID=-1,nMaxDistance=0,tRelation={bAll=false,bEnemy=true,bAlly=false,},tLife={bEnable=true,szOperator="&gt;=",nValue=10,},},},},</v>
      </c>
    </row>
    <row r="270" spans="3:22" x14ac:dyDescent="0.15">
      <c r="C270">
        <v>124114</v>
      </c>
      <c r="D270">
        <v>52</v>
      </c>
      <c r="I270" t="s">
        <v>18</v>
      </c>
      <c r="U270" t="s">
        <v>1825</v>
      </c>
      <c r="V270" s="36" t="str">
        <f t="shared" si="4"/>
        <v>{dwID=124114,nFrame=52,szNote="阴山大草原",[3]={},[4]={},aFocus={{dwMapID=-1,nMaxDistance=0,tRelation={bAll=false,bEnemy=true,bAlly=false,},tLife={bEnable=true,szOperator="&gt;=",nValue=10,},},},},</v>
      </c>
    </row>
    <row r="271" spans="3:22" x14ac:dyDescent="0.15">
      <c r="C271">
        <v>124115</v>
      </c>
      <c r="D271">
        <v>52</v>
      </c>
      <c r="I271" t="s">
        <v>18</v>
      </c>
      <c r="U271" t="s">
        <v>1825</v>
      </c>
      <c r="V271" s="36" t="str">
        <f t="shared" si="4"/>
        <v>{dwID=124115,nFrame=52,szNote="阴山大草原",[3]={},[4]={},aFocus={{dwMapID=-1,nMaxDistance=0,tRelation={bAll=false,bEnemy=true,bAlly=false,},tLife={bEnable=true,szOperator="&gt;=",nValue=10,},},},},</v>
      </c>
    </row>
    <row r="272" spans="3:22" x14ac:dyDescent="0.15">
      <c r="C272">
        <v>124116</v>
      </c>
      <c r="D272">
        <v>52</v>
      </c>
      <c r="I272" t="s">
        <v>18</v>
      </c>
      <c r="U272" t="s">
        <v>1825</v>
      </c>
      <c r="V272" s="36" t="str">
        <f t="shared" si="4"/>
        <v>{dwID=124116,nFrame=52,szNote="阴山大草原",[3]={},[4]={},aFocus={{dwMapID=-1,nMaxDistance=0,tRelation={bAll=false,bEnemy=true,bAlly=false,},tLife={bEnable=true,szOperator="&gt;=",nValue=10,},},},},</v>
      </c>
    </row>
    <row r="273" spans="1:22" x14ac:dyDescent="0.15">
      <c r="C273">
        <v>124117</v>
      </c>
      <c r="D273">
        <v>52</v>
      </c>
      <c r="I273" t="s">
        <v>18</v>
      </c>
      <c r="U273" t="s">
        <v>1825</v>
      </c>
      <c r="V273" s="36" t="str">
        <f t="shared" si="4"/>
        <v>{dwID=124117,nFrame=52,szNote="阴山大草原",[3]={},[4]={},aFocus={{dwMapID=-1,nMaxDistance=0,tRelation={bAll=false,bEnemy=true,bAlly=false,},tLife={bEnable=true,szOperator="&gt;=",nValue=10,},},},},</v>
      </c>
    </row>
    <row r="274" spans="1:22" x14ac:dyDescent="0.15">
      <c r="C274">
        <v>124118</v>
      </c>
      <c r="D274">
        <v>52</v>
      </c>
      <c r="I274" t="s">
        <v>18</v>
      </c>
      <c r="U274" t="s">
        <v>1825</v>
      </c>
      <c r="V274" s="36" t="str">
        <f t="shared" si="4"/>
        <v>{dwID=124118,nFrame=52,szNote="阴山大草原",[3]={},[4]={},aFocus={{dwMapID=-1,nMaxDistance=0,tRelation={bAll=false,bEnemy=true,bAlly=false,},tLife={bEnable=true,szOperator="&gt;=",nValue=10,},},},},</v>
      </c>
    </row>
    <row r="275" spans="1:22" x14ac:dyDescent="0.15">
      <c r="C275">
        <v>124119</v>
      </c>
      <c r="D275">
        <v>52</v>
      </c>
      <c r="I275" t="s">
        <v>18</v>
      </c>
      <c r="U275" t="s">
        <v>1825</v>
      </c>
      <c r="V275" s="36" t="str">
        <f t="shared" si="4"/>
        <v>{dwID=124119,nFrame=52,szNote="阴山大草原",[3]={},[4]={},aFocus={{dwMapID=-1,nMaxDistance=0,tRelation={bAll=false,bEnemy=true,bAlly=false,},tLife={bEnable=true,szOperator="&gt;=",nValue=10,},},},},</v>
      </c>
    </row>
    <row r="276" spans="1:22" x14ac:dyDescent="0.15">
      <c r="C276">
        <v>124120</v>
      </c>
      <c r="D276">
        <v>52</v>
      </c>
      <c r="I276" t="s">
        <v>18</v>
      </c>
      <c r="U276" t="s">
        <v>1825</v>
      </c>
      <c r="V276" s="36" t="str">
        <f t="shared" si="4"/>
        <v>{dwID=124120,nFrame=52,szNote="阴山大草原",[3]={},[4]={},aFocus={{dwMapID=-1,nMaxDistance=0,tRelation={bAll=false,bEnemy=true,bAlly=false,},tLife={bEnable=true,szOperator="&gt;=",nValue=10,},},},},</v>
      </c>
    </row>
    <row r="277" spans="1:22" x14ac:dyDescent="0.15">
      <c r="C277">
        <v>124121</v>
      </c>
      <c r="D277">
        <v>52</v>
      </c>
      <c r="I277" t="s">
        <v>18</v>
      </c>
      <c r="U277" t="s">
        <v>1825</v>
      </c>
      <c r="V277" s="36" t="str">
        <f t="shared" si="4"/>
        <v>{dwID=124121,nFrame=52,szNote="阴山大草原",[3]={},[4]={},aFocus={{dwMapID=-1,nMaxDistance=0,tRelation={bAll=false,bEnemy=true,bAlly=false,},tLife={bEnable=true,szOperator="&gt;=",nValue=10,},},},},</v>
      </c>
    </row>
    <row r="278" spans="1:22" x14ac:dyDescent="0.15">
      <c r="C278">
        <v>124122</v>
      </c>
      <c r="D278">
        <v>52</v>
      </c>
      <c r="I278" t="s">
        <v>18</v>
      </c>
      <c r="U278" t="s">
        <v>1825</v>
      </c>
      <c r="V278" s="36" t="str">
        <f t="shared" si="4"/>
        <v>{dwID=124122,nFrame=52,szNote="阴山大草原",[3]={},[4]={},aFocus={{dwMapID=-1,nMaxDistance=0,tRelation={bAll=false,bEnemy=true,bAlly=false,},tLife={bEnable=true,szOperator="&gt;=",nValue=10,},},},},</v>
      </c>
    </row>
    <row r="279" spans="1:22" x14ac:dyDescent="0.15">
      <c r="C279">
        <v>124123</v>
      </c>
      <c r="D279">
        <v>52</v>
      </c>
      <c r="I279" t="s">
        <v>18</v>
      </c>
      <c r="U279" t="s">
        <v>1825</v>
      </c>
      <c r="V279" s="36" t="str">
        <f t="shared" si="4"/>
        <v>{dwID=124123,nFrame=52,szNote="阴山大草原",[3]={},[4]={},aFocus={{dwMapID=-1,nMaxDistance=0,tRelation={bAll=false,bEnemy=true,bAlly=false,},tLife={bEnable=true,szOperator="&gt;=",nValue=10,},},},},</v>
      </c>
    </row>
    <row r="280" spans="1:22" x14ac:dyDescent="0.15">
      <c r="C280">
        <v>124124</v>
      </c>
      <c r="D280">
        <v>52</v>
      </c>
      <c r="I280" t="s">
        <v>18</v>
      </c>
      <c r="U280" t="s">
        <v>1825</v>
      </c>
      <c r="V280" s="36" t="str">
        <f t="shared" si="4"/>
        <v>{dwID=124124,nFrame=52,szNote="阴山大草原",[3]={},[4]={},aFocus={{dwMapID=-1,nMaxDistance=0,tRelation={bAll=false,bEnemy=true,bAlly=false,},tLife={bEnable=true,szOperator="&gt;=",nValue=10,},},},},</v>
      </c>
    </row>
    <row r="281" spans="1:22" x14ac:dyDescent="0.15">
      <c r="C281">
        <v>124260</v>
      </c>
      <c r="D281">
        <v>52</v>
      </c>
      <c r="I281" t="s">
        <v>18</v>
      </c>
      <c r="U281" t="s">
        <v>1825</v>
      </c>
      <c r="V281" s="36" t="str">
        <f t="shared" si="4"/>
        <v>{dwID=124260,nFrame=52,szNote="阴山大草原",[3]={},[4]={},aFocus={{dwMapID=-1,nMaxDistance=0,tRelation={bAll=false,bEnemy=true,bAlly=false,},tLife={bEnable=true,szOperator="&gt;=",nValue=10,},},},},</v>
      </c>
    </row>
    <row r="282" spans="1:22" x14ac:dyDescent="0.15">
      <c r="C282">
        <v>124261</v>
      </c>
      <c r="D282">
        <v>52</v>
      </c>
      <c r="I282" t="s">
        <v>18</v>
      </c>
      <c r="U282" t="s">
        <v>1825</v>
      </c>
      <c r="V282" s="36" t="str">
        <f t="shared" si="4"/>
        <v>{dwID=124261,nFrame=52,szNote="阴山大草原",[3]={},[4]={},aFocus={{dwMapID=-1,nMaxDistance=0,tRelation={bAll=false,bEnemy=true,bAlly=false,},tLife={bEnable=true,szOperator="&gt;=",nValue=10,},},},},</v>
      </c>
    </row>
    <row r="283" spans="1:22" x14ac:dyDescent="0.15">
      <c r="C283">
        <v>124270</v>
      </c>
      <c r="D283">
        <v>52</v>
      </c>
      <c r="I283" t="s">
        <v>18</v>
      </c>
      <c r="U283" t="s">
        <v>1825</v>
      </c>
      <c r="V283" s="36" t="str">
        <f t="shared" si="4"/>
        <v>{dwID=124270,nFrame=52,szNote="阴山大草原",[3]={},[4]={},aFocus={{dwMapID=-1,nMaxDistance=0,tRelation={bAll=false,bEnemy=true,bAlly=false,},tLife={bEnable=true,szOperator="&gt;=",nValue=10,},},},},</v>
      </c>
    </row>
    <row r="284" spans="1:22" x14ac:dyDescent="0.15">
      <c r="C284">
        <v>124271</v>
      </c>
      <c r="D284">
        <v>52</v>
      </c>
      <c r="I284" t="s">
        <v>18</v>
      </c>
      <c r="U284" t="s">
        <v>1825</v>
      </c>
      <c r="V284" s="36" t="str">
        <f t="shared" si="4"/>
        <v>{dwID=124271,nFrame=52,szNote="阴山大草原",[3]={},[4]={},aFocus={{dwMapID=-1,nMaxDistance=0,tRelation={bAll=false,bEnemy=true,bAlly=false,},tLife={bEnable=true,szOperator="&gt;=",nValue=10,},},},},</v>
      </c>
    </row>
    <row r="285" spans="1:22" x14ac:dyDescent="0.15">
      <c r="C285">
        <v>123871</v>
      </c>
      <c r="D285">
        <v>47</v>
      </c>
      <c r="I285" t="s">
        <v>2116</v>
      </c>
      <c r="U285" t="s">
        <v>1710</v>
      </c>
      <c r="V285" s="36" t="str">
        <f t="shared" si="4"/>
        <v>{dwID=123871,nFrame=47,szNote="小珍",[3]={},[4]={},aFocus={{dwMapID=-1,szDisplay="分线·传送",nMaxDistance=6,tRelation={bAll=false,bEnemy=false,bAlly=true,},tLife={bEnable=false,szOperator="&gt;",nValue=0,},},},},</v>
      </c>
    </row>
    <row r="286" spans="1:22" x14ac:dyDescent="0.15">
      <c r="C286">
        <v>123867</v>
      </c>
      <c r="D286">
        <v>47</v>
      </c>
      <c r="I286" t="s">
        <v>2117</v>
      </c>
      <c r="U286" t="s">
        <v>1710</v>
      </c>
      <c r="V286" s="36" t="str">
        <f t="shared" si="4"/>
        <v>{dwID=123867,nFrame=47,szNote="小曾",[3]={},[4]={},aFocus={{dwMapID=-1,szDisplay="分线·传送",nMaxDistance=6,tRelation={bAll=false,bEnemy=false,bAlly=true,},tLife={bEnable=false,szOperator="&gt;",nValue=0,},},},},</v>
      </c>
    </row>
    <row r="287" spans="1:22" x14ac:dyDescent="0.15">
      <c r="A287" t="s">
        <v>613</v>
      </c>
      <c r="B287">
        <v>656</v>
      </c>
      <c r="V287" s="36" t="str">
        <f t="shared" si="4"/>
        <v>},[656]={</v>
      </c>
    </row>
    <row r="288" spans="1:22" x14ac:dyDescent="0.15">
      <c r="C288">
        <v>123840</v>
      </c>
      <c r="D288">
        <v>52</v>
      </c>
      <c r="I288" t="s">
        <v>1706</v>
      </c>
      <c r="J288" t="s">
        <v>1655</v>
      </c>
      <c r="P288">
        <v>1</v>
      </c>
      <c r="U288" t="s">
        <v>1707</v>
      </c>
      <c r="V288" s="36" t="str">
        <f t="shared" si="4"/>
        <v>{dwID=123840,nFrame=52,szNote="大旗·云台营",col={0,255,0,},[3]={bScreenHead=true,},[4]={},aFocus={{dwMapID=-1,szDisplay="大旗·云台营",nMaxDistance=20,tRelation={bAll=true,bEnemy=false,bAlly=false,},tLife={bEnable=false,szOperator="&gt;",nValue=0,},},},},</v>
      </c>
    </row>
    <row r="289" spans="3:22" x14ac:dyDescent="0.15">
      <c r="C289">
        <v>123841</v>
      </c>
      <c r="D289">
        <v>52</v>
      </c>
      <c r="I289" t="s">
        <v>1708</v>
      </c>
      <c r="J289" t="s">
        <v>1655</v>
      </c>
      <c r="P289">
        <v>1</v>
      </c>
      <c r="U289" t="s">
        <v>1709</v>
      </c>
      <c r="V289" s="36" t="str">
        <f t="shared" si="4"/>
        <v>{dwID=123841,nFrame=52,szNote="大旗·高阳营",col={0,255,0,},[3]={bScreenHead=true,},[4]={},aFocus={{dwMapID=-1,szDisplay="大旗·高阳营",nMaxDistance=20,tRelation={bAll=true,bEnemy=false,bAlly=false,},tLife={bEnable=false,szOperator="&gt;",nValue=0,},},},},</v>
      </c>
    </row>
    <row r="290" spans="3:22" x14ac:dyDescent="0.15">
      <c r="C290">
        <v>123976</v>
      </c>
      <c r="D290">
        <v>47</v>
      </c>
      <c r="I290" t="s">
        <v>2123</v>
      </c>
      <c r="P290">
        <v>1</v>
      </c>
      <c r="U290" t="s">
        <v>1830</v>
      </c>
      <c r="V290" s="36" t="str">
        <f t="shared" si="4"/>
        <v>{dwID=123976,nFrame=47,szNote="恶人谷大将",[3]={bScreenHead=true,},[4]={},aFocus={{dwMapID=-1,nMaxDistance=60,tRelation={bAll=false,bEnemy=true,bAlly=false,},tLife={bEnable=false,szOperator="&gt;",nValue=0,},},{dwMapID=-1,nMaxDistance=30,tRelation={bAll=false,bEnemy=false,bAlly=true,},tLife={bEnable=true,szOperator="&lt;",nValue=100,},},},},</v>
      </c>
    </row>
    <row r="291" spans="3:22" x14ac:dyDescent="0.15">
      <c r="C291">
        <v>123975</v>
      </c>
      <c r="D291">
        <v>47</v>
      </c>
      <c r="I291" t="s">
        <v>2124</v>
      </c>
      <c r="P291">
        <v>1</v>
      </c>
      <c r="U291" t="s">
        <v>1830</v>
      </c>
      <c r="V291" s="36" t="str">
        <f t="shared" si="4"/>
        <v>{dwID=123975,nFrame=47,szNote="浩气盟大将",[3]={bScreenHead=true,},[4]={},aFocus={{dwMapID=-1,nMaxDistance=60,tRelation={bAll=false,bEnemy=true,bAlly=false,},tLife={bEnable=false,szOperator="&gt;",nValue=0,},},{dwMapID=-1,nMaxDistance=30,tRelation={bAll=false,bEnemy=false,bAlly=true,},tLife={bEnable=true,szOperator="&lt;",nValue=100,},},},},</v>
      </c>
    </row>
    <row r="292" spans="3:22" x14ac:dyDescent="0.15">
      <c r="C292">
        <v>124280</v>
      </c>
      <c r="D292">
        <v>52</v>
      </c>
      <c r="I292" t="s">
        <v>613</v>
      </c>
      <c r="U292" t="s">
        <v>1825</v>
      </c>
      <c r="V292" s="36" t="str">
        <f t="shared" si="4"/>
        <v>{dwID=124280,nFrame=52,szNote="阴山大草原·分线",[3]={},[4]={},aFocus={{dwMapID=-1,nMaxDistance=0,tRelation={bAll=false,bEnemy=true,bAlly=false,},tLife={bEnable=true,szOperator="&gt;=",nValue=10,},},},},</v>
      </c>
    </row>
    <row r="293" spans="3:22" x14ac:dyDescent="0.15">
      <c r="C293">
        <v>124281</v>
      </c>
      <c r="D293">
        <v>52</v>
      </c>
      <c r="I293" t="s">
        <v>613</v>
      </c>
      <c r="U293" t="s">
        <v>1825</v>
      </c>
      <c r="V293" s="36" t="str">
        <f t="shared" si="4"/>
        <v>{dwID=124281,nFrame=52,szNote="阴山大草原·分线",[3]={},[4]={},aFocus={{dwMapID=-1,nMaxDistance=0,tRelation={bAll=false,bEnemy=true,bAlly=false,},tLife={bEnable=true,szOperator="&gt;=",nValue=10,},},},},</v>
      </c>
    </row>
    <row r="294" spans="3:22" x14ac:dyDescent="0.15">
      <c r="C294">
        <v>124290</v>
      </c>
      <c r="D294">
        <v>52</v>
      </c>
      <c r="I294" t="s">
        <v>613</v>
      </c>
      <c r="U294" t="s">
        <v>1825</v>
      </c>
      <c r="V294" s="36" t="str">
        <f t="shared" si="4"/>
        <v>{dwID=124290,nFrame=52,szNote="阴山大草原·分线",[3]={},[4]={},aFocus={{dwMapID=-1,nMaxDistance=0,tRelation={bAll=false,bEnemy=true,bAlly=false,},tLife={bEnable=true,szOperator="&gt;=",nValue=10,},},},},</v>
      </c>
    </row>
    <row r="295" spans="3:22" x14ac:dyDescent="0.15">
      <c r="C295">
        <v>124291</v>
      </c>
      <c r="D295">
        <v>52</v>
      </c>
      <c r="I295" t="s">
        <v>613</v>
      </c>
      <c r="U295" t="s">
        <v>1825</v>
      </c>
      <c r="V295" s="36" t="str">
        <f t="shared" si="4"/>
        <v>{dwID=124291,nFrame=52,szNote="阴山大草原·分线",[3]={},[4]={},aFocus={{dwMapID=-1,nMaxDistance=0,tRelation={bAll=false,bEnemy=true,bAlly=false,},tLife={bEnable=true,szOperator="&gt;=",nValue=10,},},},},</v>
      </c>
    </row>
    <row r="296" spans="3:22" x14ac:dyDescent="0.15">
      <c r="C296">
        <v>124109</v>
      </c>
      <c r="D296">
        <v>52</v>
      </c>
      <c r="I296" t="s">
        <v>613</v>
      </c>
      <c r="U296" t="s">
        <v>1825</v>
      </c>
      <c r="V296" s="36" t="str">
        <f t="shared" si="4"/>
        <v>{dwID=124109,nFrame=52,szNote="阴山大草原·分线",[3]={},[4]={},aFocus={{dwMapID=-1,nMaxDistance=0,tRelation={bAll=false,bEnemy=true,bAlly=false,},tLife={bEnable=true,szOperator="&gt;=",nValue=10,},},},},</v>
      </c>
    </row>
    <row r="297" spans="3:22" x14ac:dyDescent="0.15">
      <c r="C297">
        <v>124110</v>
      </c>
      <c r="D297">
        <v>52</v>
      </c>
      <c r="I297" t="s">
        <v>613</v>
      </c>
      <c r="U297" t="s">
        <v>1825</v>
      </c>
      <c r="V297" s="36" t="str">
        <f t="shared" si="4"/>
        <v>{dwID=124110,nFrame=52,szNote="阴山大草原·分线",[3]={},[4]={},aFocus={{dwMapID=-1,nMaxDistance=0,tRelation={bAll=false,bEnemy=true,bAlly=false,},tLife={bEnable=true,szOperator="&gt;=",nValue=10,},},},},</v>
      </c>
    </row>
    <row r="298" spans="3:22" x14ac:dyDescent="0.15">
      <c r="C298">
        <v>124111</v>
      </c>
      <c r="D298">
        <v>52</v>
      </c>
      <c r="I298" t="s">
        <v>613</v>
      </c>
      <c r="U298" t="s">
        <v>1825</v>
      </c>
      <c r="V298" s="36" t="str">
        <f t="shared" si="4"/>
        <v>{dwID=124111,nFrame=52,szNote="阴山大草原·分线",[3]={},[4]={},aFocus={{dwMapID=-1,nMaxDistance=0,tRelation={bAll=false,bEnemy=true,bAlly=false,},tLife={bEnable=true,szOperator="&gt;=",nValue=10,},},},},</v>
      </c>
    </row>
    <row r="299" spans="3:22" x14ac:dyDescent="0.15">
      <c r="C299">
        <v>124112</v>
      </c>
      <c r="D299">
        <v>52</v>
      </c>
      <c r="I299" t="s">
        <v>613</v>
      </c>
      <c r="U299" t="s">
        <v>1825</v>
      </c>
      <c r="V299" s="36" t="str">
        <f t="shared" si="4"/>
        <v>{dwID=124112,nFrame=52,szNote="阴山大草原·分线",[3]={},[4]={},aFocus={{dwMapID=-1,nMaxDistance=0,tRelation={bAll=false,bEnemy=true,bAlly=false,},tLife={bEnable=true,szOperator="&gt;=",nValue=10,},},},},</v>
      </c>
    </row>
    <row r="300" spans="3:22" x14ac:dyDescent="0.15">
      <c r="C300">
        <v>124113</v>
      </c>
      <c r="D300">
        <v>52</v>
      </c>
      <c r="I300" t="s">
        <v>613</v>
      </c>
      <c r="U300" t="s">
        <v>1825</v>
      </c>
      <c r="V300" s="36" t="str">
        <f t="shared" si="4"/>
        <v>{dwID=124113,nFrame=52,szNote="阴山大草原·分线",[3]={},[4]={},aFocus={{dwMapID=-1,nMaxDistance=0,tRelation={bAll=false,bEnemy=true,bAlly=false,},tLife={bEnable=true,szOperator="&gt;=",nValue=10,},},},},</v>
      </c>
    </row>
    <row r="301" spans="3:22" x14ac:dyDescent="0.15">
      <c r="C301">
        <v>124114</v>
      </c>
      <c r="D301">
        <v>52</v>
      </c>
      <c r="I301" t="s">
        <v>613</v>
      </c>
      <c r="U301" t="s">
        <v>1825</v>
      </c>
      <c r="V301" s="36" t="str">
        <f t="shared" si="4"/>
        <v>{dwID=124114,nFrame=52,szNote="阴山大草原·分线",[3]={},[4]={},aFocus={{dwMapID=-1,nMaxDistance=0,tRelation={bAll=false,bEnemy=true,bAlly=false,},tLife={bEnable=true,szOperator="&gt;=",nValue=10,},},},},</v>
      </c>
    </row>
    <row r="302" spans="3:22" x14ac:dyDescent="0.15">
      <c r="C302">
        <v>124115</v>
      </c>
      <c r="D302">
        <v>52</v>
      </c>
      <c r="I302" t="s">
        <v>613</v>
      </c>
      <c r="U302" t="s">
        <v>1825</v>
      </c>
      <c r="V302" s="36" t="str">
        <f t="shared" si="4"/>
        <v>{dwID=124115,nFrame=52,szNote="阴山大草原·分线",[3]={},[4]={},aFocus={{dwMapID=-1,nMaxDistance=0,tRelation={bAll=false,bEnemy=true,bAlly=false,},tLife={bEnable=true,szOperator="&gt;=",nValue=10,},},},},</v>
      </c>
    </row>
    <row r="303" spans="3:22" x14ac:dyDescent="0.15">
      <c r="C303">
        <v>124116</v>
      </c>
      <c r="D303">
        <v>52</v>
      </c>
      <c r="I303" t="s">
        <v>613</v>
      </c>
      <c r="U303" t="s">
        <v>1825</v>
      </c>
      <c r="V303" s="36" t="str">
        <f t="shared" si="4"/>
        <v>{dwID=124116,nFrame=52,szNote="阴山大草原·分线",[3]={},[4]={},aFocus={{dwMapID=-1,nMaxDistance=0,tRelation={bAll=false,bEnemy=true,bAlly=false,},tLife={bEnable=true,szOperator="&gt;=",nValue=10,},},},},</v>
      </c>
    </row>
    <row r="304" spans="3:22" x14ac:dyDescent="0.15">
      <c r="C304">
        <v>124117</v>
      </c>
      <c r="D304">
        <v>52</v>
      </c>
      <c r="I304" t="s">
        <v>613</v>
      </c>
      <c r="U304" t="s">
        <v>1825</v>
      </c>
      <c r="V304" s="36" t="str">
        <f t="shared" si="4"/>
        <v>{dwID=124117,nFrame=52,szNote="阴山大草原·分线",[3]={},[4]={},aFocus={{dwMapID=-1,nMaxDistance=0,tRelation={bAll=false,bEnemy=true,bAlly=false,},tLife={bEnable=true,szOperator="&gt;=",nValue=10,},},},},</v>
      </c>
    </row>
    <row r="305" spans="3:22" x14ac:dyDescent="0.15">
      <c r="C305">
        <v>124118</v>
      </c>
      <c r="D305">
        <v>52</v>
      </c>
      <c r="I305" t="s">
        <v>613</v>
      </c>
      <c r="U305" t="s">
        <v>1825</v>
      </c>
      <c r="V305" s="36" t="str">
        <f t="shared" si="4"/>
        <v>{dwID=124118,nFrame=52,szNote="阴山大草原·分线",[3]={},[4]={},aFocus={{dwMapID=-1,nMaxDistance=0,tRelation={bAll=false,bEnemy=true,bAlly=false,},tLife={bEnable=true,szOperator="&gt;=",nValue=10,},},},},</v>
      </c>
    </row>
    <row r="306" spans="3:22" x14ac:dyDescent="0.15">
      <c r="C306">
        <v>124119</v>
      </c>
      <c r="D306">
        <v>52</v>
      </c>
      <c r="I306" t="s">
        <v>613</v>
      </c>
      <c r="U306" t="s">
        <v>1825</v>
      </c>
      <c r="V306" s="36" t="str">
        <f t="shared" si="4"/>
        <v>{dwID=124119,nFrame=52,szNote="阴山大草原·分线",[3]={},[4]={},aFocus={{dwMapID=-1,nMaxDistance=0,tRelation={bAll=false,bEnemy=true,bAlly=false,},tLife={bEnable=true,szOperator="&gt;=",nValue=10,},},},},</v>
      </c>
    </row>
    <row r="307" spans="3:22" x14ac:dyDescent="0.15">
      <c r="C307">
        <v>124120</v>
      </c>
      <c r="D307">
        <v>52</v>
      </c>
      <c r="I307" t="s">
        <v>613</v>
      </c>
      <c r="U307" t="s">
        <v>1825</v>
      </c>
      <c r="V307" s="36" t="str">
        <f t="shared" si="4"/>
        <v>{dwID=124120,nFrame=52,szNote="阴山大草原·分线",[3]={},[4]={},aFocus={{dwMapID=-1,nMaxDistance=0,tRelation={bAll=false,bEnemy=true,bAlly=false,},tLife={bEnable=true,szOperator="&gt;=",nValue=10,},},},},</v>
      </c>
    </row>
    <row r="308" spans="3:22" x14ac:dyDescent="0.15">
      <c r="C308">
        <v>124121</v>
      </c>
      <c r="D308">
        <v>52</v>
      </c>
      <c r="I308" t="s">
        <v>613</v>
      </c>
      <c r="U308" t="s">
        <v>1825</v>
      </c>
      <c r="V308" s="36" t="str">
        <f t="shared" si="4"/>
        <v>{dwID=124121,nFrame=52,szNote="阴山大草原·分线",[3]={},[4]={},aFocus={{dwMapID=-1,nMaxDistance=0,tRelation={bAll=false,bEnemy=true,bAlly=false,},tLife={bEnable=true,szOperator="&gt;=",nValue=10,},},},},</v>
      </c>
    </row>
    <row r="309" spans="3:22" x14ac:dyDescent="0.15">
      <c r="C309">
        <v>124122</v>
      </c>
      <c r="D309">
        <v>52</v>
      </c>
      <c r="I309" t="s">
        <v>613</v>
      </c>
      <c r="U309" t="s">
        <v>1825</v>
      </c>
      <c r="V309" s="36" t="str">
        <f t="shared" si="4"/>
        <v>{dwID=124122,nFrame=52,szNote="阴山大草原·分线",[3]={},[4]={},aFocus={{dwMapID=-1,nMaxDistance=0,tRelation={bAll=false,bEnemy=true,bAlly=false,},tLife={bEnable=true,szOperator="&gt;=",nValue=10,},},},},</v>
      </c>
    </row>
    <row r="310" spans="3:22" x14ac:dyDescent="0.15">
      <c r="C310">
        <v>124123</v>
      </c>
      <c r="D310">
        <v>52</v>
      </c>
      <c r="I310" t="s">
        <v>613</v>
      </c>
      <c r="U310" t="s">
        <v>1825</v>
      </c>
      <c r="V310" s="36" t="str">
        <f t="shared" si="4"/>
        <v>{dwID=124123,nFrame=52,szNote="阴山大草原·分线",[3]={},[4]={},aFocus={{dwMapID=-1,nMaxDistance=0,tRelation={bAll=false,bEnemy=true,bAlly=false,},tLife={bEnable=true,szOperator="&gt;=",nValue=10,},},},},</v>
      </c>
    </row>
    <row r="311" spans="3:22" x14ac:dyDescent="0.15">
      <c r="C311">
        <v>124124</v>
      </c>
      <c r="D311">
        <v>52</v>
      </c>
      <c r="I311" t="s">
        <v>613</v>
      </c>
      <c r="U311" t="s">
        <v>1825</v>
      </c>
      <c r="V311" s="36" t="str">
        <f t="shared" si="4"/>
        <v>{dwID=124124,nFrame=52,szNote="阴山大草原·分线",[3]={},[4]={},aFocus={{dwMapID=-1,nMaxDistance=0,tRelation={bAll=false,bEnemy=true,bAlly=false,},tLife={bEnable=true,szOperator="&gt;=",nValue=10,},},},},</v>
      </c>
    </row>
    <row r="312" spans="3:22" x14ac:dyDescent="0.15">
      <c r="C312">
        <v>124260</v>
      </c>
      <c r="D312">
        <v>52</v>
      </c>
      <c r="I312" t="s">
        <v>613</v>
      </c>
      <c r="U312" t="s">
        <v>1825</v>
      </c>
      <c r="V312" s="36" t="str">
        <f t="shared" si="4"/>
        <v>{dwID=124260,nFrame=52,szNote="阴山大草原·分线",[3]={},[4]={},aFocus={{dwMapID=-1,nMaxDistance=0,tRelation={bAll=false,bEnemy=true,bAlly=false,},tLife={bEnable=true,szOperator="&gt;=",nValue=10,},},},},</v>
      </c>
    </row>
    <row r="313" spans="3:22" x14ac:dyDescent="0.15">
      <c r="C313">
        <v>124261</v>
      </c>
      <c r="D313">
        <v>52</v>
      </c>
      <c r="I313" t="s">
        <v>613</v>
      </c>
      <c r="U313" t="s">
        <v>1825</v>
      </c>
      <c r="V313" s="36" t="str">
        <f t="shared" si="4"/>
        <v>{dwID=124261,nFrame=52,szNote="阴山大草原·分线",[3]={},[4]={},aFocus={{dwMapID=-1,nMaxDistance=0,tRelation={bAll=false,bEnemy=true,bAlly=false,},tLife={bEnable=true,szOperator="&gt;=",nValue=10,},},},},</v>
      </c>
    </row>
    <row r="314" spans="3:22" x14ac:dyDescent="0.15">
      <c r="C314">
        <v>124270</v>
      </c>
      <c r="D314">
        <v>52</v>
      </c>
      <c r="I314" t="s">
        <v>613</v>
      </c>
      <c r="U314" t="s">
        <v>1825</v>
      </c>
      <c r="V314" s="36" t="str">
        <f t="shared" si="4"/>
        <v>{dwID=124270,nFrame=52,szNote="阴山大草原·分线",[3]={},[4]={},aFocus={{dwMapID=-1,nMaxDistance=0,tRelation={bAll=false,bEnemy=true,bAlly=false,},tLife={bEnable=true,szOperator="&gt;=",nValue=10,},},},},</v>
      </c>
    </row>
    <row r="315" spans="3:22" x14ac:dyDescent="0.15">
      <c r="C315">
        <v>124271</v>
      </c>
      <c r="D315">
        <v>52</v>
      </c>
      <c r="I315" t="s">
        <v>613</v>
      </c>
      <c r="U315" t="s">
        <v>1825</v>
      </c>
      <c r="V315" s="36" t="str">
        <f t="shared" si="4"/>
        <v>{dwID=124271,nFrame=52,szNote="阴山大草原·分线",[3]={},[4]={},aFocus={{dwMapID=-1,nMaxDistance=0,tRelation={bAll=false,bEnemy=true,bAlly=false,},tLife={bEnable=true,szOperator="&gt;=",nValue=10,},},},},</v>
      </c>
    </row>
    <row r="316" spans="3:22" x14ac:dyDescent="0.15">
      <c r="C316">
        <v>123871</v>
      </c>
      <c r="D316">
        <v>47</v>
      </c>
      <c r="I316" t="s">
        <v>2116</v>
      </c>
      <c r="U316" t="s">
        <v>1710</v>
      </c>
      <c r="V316" s="36" t="str">
        <f t="shared" si="4"/>
        <v>{dwID=123871,nFrame=47,szNote="小珍",[3]={},[4]={},aFocus={{dwMapID=-1,szDisplay="分线·传送",nMaxDistance=6,tRelation={bAll=false,bEnemy=false,bAlly=true,},tLife={bEnable=false,szOperator="&gt;",nValue=0,},},},},</v>
      </c>
    </row>
    <row r="317" spans="3:22" x14ac:dyDescent="0.15">
      <c r="C317">
        <v>123867</v>
      </c>
      <c r="D317">
        <v>47</v>
      </c>
      <c r="I317" t="s">
        <v>2117</v>
      </c>
      <c r="U317" t="s">
        <v>1710</v>
      </c>
      <c r="V317" s="36" t="str">
        <f t="shared" si="4"/>
        <v>{dwID=123867,nFrame=47,szNote="小曾",[3]={},[4]={},aFocus={{dwMapID=-1,szDisplay="分线·传送",nMaxDistance=6,tRelation={bAll=false,bEnemy=false,bAlly=true,},tLife={bEnable=false,szOperator="&gt;",nValue=0,},},},},</v>
      </c>
    </row>
    <row r="318" spans="3:22" x14ac:dyDescent="0.15">
      <c r="V318" s="36" t="str">
        <f t="shared" si="4"/>
        <v>},},}</v>
      </c>
    </row>
    <row r="319" spans="3:22" x14ac:dyDescent="0.15">
      <c r="V319" s="36"/>
    </row>
    <row r="320" spans="3:22" x14ac:dyDescent="0.15">
      <c r="V320" s="36"/>
    </row>
    <row r="321" spans="22:22" x14ac:dyDescent="0.15">
      <c r="V321" s="36"/>
    </row>
    <row r="322" spans="22:22" x14ac:dyDescent="0.15">
      <c r="V322" s="36"/>
    </row>
  </sheetData>
  <autoFilter ref="I1:I322" xr:uid="{BDDCBE76-54A9-442B-B7D8-951D4D113F7F}"/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3DCB-4BBF-4D3B-9EF1-C8055A381756}">
  <dimension ref="A1:U31"/>
  <sheetViews>
    <sheetView workbookViewId="0"/>
  </sheetViews>
  <sheetFormatPr defaultRowHeight="13.5" x14ac:dyDescent="0.15"/>
  <cols>
    <col min="7" max="7" width="16.625" customWidth="1"/>
    <col min="9" max="9" width="14" customWidth="1"/>
    <col min="11" max="11" width="11.875" hidden="1" customWidth="1"/>
    <col min="12" max="12" width="10.375" hidden="1" customWidth="1"/>
    <col min="13" max="13" width="5.625" hidden="1" customWidth="1"/>
    <col min="14" max="14" width="8.375" customWidth="1"/>
    <col min="15" max="15" width="14" hidden="1" customWidth="1"/>
    <col min="16" max="16" width="12.875" hidden="1" customWidth="1"/>
    <col min="17" max="17" width="14" hidden="1" customWidth="1"/>
    <col min="18" max="18" width="15" hidden="1" customWidth="1"/>
  </cols>
  <sheetData>
    <row r="1" spans="1:21" x14ac:dyDescent="0.15">
      <c r="A1" t="s">
        <v>0</v>
      </c>
      <c r="B1" t="s">
        <v>1421</v>
      </c>
      <c r="C1" t="s">
        <v>1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3</v>
      </c>
      <c r="J1" t="s">
        <v>1422</v>
      </c>
      <c r="K1" t="s">
        <v>1715</v>
      </c>
      <c r="L1" t="s">
        <v>1716</v>
      </c>
      <c r="M1" t="s">
        <v>1717</v>
      </c>
      <c r="N1" t="s">
        <v>1718</v>
      </c>
      <c r="O1" t="s">
        <v>1719</v>
      </c>
      <c r="P1" t="s">
        <v>1720</v>
      </c>
      <c r="Q1" t="s">
        <v>1721</v>
      </c>
      <c r="R1" t="s">
        <v>1722</v>
      </c>
      <c r="S1" t="s">
        <v>1653</v>
      </c>
      <c r="T1" t="s">
        <v>1823</v>
      </c>
      <c r="U1" t="s">
        <v>1423</v>
      </c>
    </row>
    <row r="2" spans="1:21" s="36" customFormat="1" x14ac:dyDescent="0.15">
      <c r="A2" s="36" t="s">
        <v>2145</v>
      </c>
      <c r="B2" s="36">
        <v>-19</v>
      </c>
      <c r="T2" s="36" t="str">
        <f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[17]={"&amp;IF(K2&lt;&gt;"","szVoice="""&amp;K2&amp;""",","")&amp;IF(L2&gt;0,"bTeamChannel=true,","")&amp;IF(M2&gt;0,"bWhisperChannel=true,","")&amp;IF(N2&gt;0,"bCenterAlarm=true,","")&amp;"},"&amp;"[18]={"&amp;IF(O2&lt;&gt;"","szVoice="""&amp;O2&amp;""",","")&amp;IF(P2&gt;0,"bTeamChannel=true,","")&amp;IF(Q2&gt;0,"bWhisperChannel=true,","")&amp;IF(R2&gt;0,"bCenterAlarm=true,","")&amp;"},"&amp;IF(S2&lt;&gt;"","aFocus={"&amp;S2&amp;"},","")&amp;IF(U2&lt;&gt;"","tCountdown={"&amp;_xlfn.TEXTJOIN("",TRUE,U2:ZZ2)&amp;"},","")&amp;"},")))</f>
        <v>[-19]={</v>
      </c>
    </row>
    <row r="3" spans="1:21" x14ac:dyDescent="0.15">
      <c r="C3">
        <v>5693</v>
      </c>
      <c r="D3">
        <v>47</v>
      </c>
      <c r="G3" t="s">
        <v>1734</v>
      </c>
      <c r="S3" t="s">
        <v>1735</v>
      </c>
      <c r="T3" s="36" t="str">
        <f t="shared" ref="T3:T29" si="0">IF(ISBLANK(B3)=FALSE,IF(ISBLANK(B2),"},["&amp;B3&amp;"]={","["&amp;B3&amp;"]={"),IF(AND(ISBLANK(B3),ISBLANK(D3),ISBLANK(C3),OR(ISBLANK(B2)=FALSE,ISBLANK(D2)=FALSE,ISBLANK(C2)=FALSE)),"},},}",IF(ISBLANK(C3),"","{dwID="&amp;C3&amp;","&amp;"nFrame="&amp;D3&amp;","&amp;IF(E3&gt;0,"nCount="&amp;E3&amp;",","")&amp;IF(F3&gt;0,"bAllLeave=true,","")&amp;IF(G3&lt;&gt;"","szName="""&amp;G3&amp;""",","")&amp;IF(H3&lt;&gt;"","tKungFu={"&amp;H3&amp;"},","")&amp;IF(I3&lt;&gt;"","szNote="""&amp;I3&amp;""",","")&amp;IF(J3&lt;&gt;"","col={"&amp;J3&amp;"},","")&amp;"[17]={"&amp;IF(K3&lt;&gt;"","szVoice="""&amp;K3&amp;""",","")&amp;IF(L3&gt;0,"bTeamChannel=true,","")&amp;IF(M3&gt;0,"bWhisperChannel=true,","")&amp;IF(N3&gt;0,"bCenterAlarm=true,","")&amp;"},"&amp;"[18]={"&amp;IF(O3&lt;&gt;"","szVoice="""&amp;O3&amp;""",","")&amp;IF(P3&gt;0,"bTeamChannel=true,","")&amp;IF(Q3&gt;0,"bWhisperChannel=true,","")&amp;IF(R3&gt;0,"bCenterAlarm=true,","")&amp;"},"&amp;IF(S3&lt;&gt;"","aFocus={"&amp;S3&amp;"},","")&amp;IF(U3&lt;&gt;"","tCountdown={"&amp;_xlfn.TEXTJOIN("",TRUE,U3:ZZ3)&amp;"},","")&amp;"},")))</f>
        <v>{dwID=5693,nFrame=47,szName="物资堆·物资车",[17]={},[18]={},aFocus={{dwMapID=-1,szDisplay="物资堆·物资车",nMaxDistance=30,tRelation={bAll=true,bEnemy=false,bAlly=false,},tLife={bEnable=false,szOperator="&gt;",nValue=0,},},},},</v>
      </c>
    </row>
    <row r="4" spans="1:21" x14ac:dyDescent="0.15">
      <c r="C4">
        <v>5625</v>
      </c>
      <c r="D4">
        <v>47</v>
      </c>
      <c r="G4" t="s">
        <v>1736</v>
      </c>
      <c r="S4" t="s">
        <v>1737</v>
      </c>
      <c r="T4" s="36" t="str">
        <f t="shared" si="0"/>
        <v>{dwID=5625,nFrame=47,szName="物资箱·复活点",[17]={},[18]={},aFocus={{dwMapID=-1,szDisplay="物资箱·复活点",nMaxDistance=30,tRelation={bAll=true,bEnemy=false,bAlly=false,},tLife={bEnable=false,szOperator="&gt;",nValue=0,},},},},</v>
      </c>
    </row>
    <row r="5" spans="1:21" x14ac:dyDescent="0.15">
      <c r="C5">
        <v>5626</v>
      </c>
      <c r="D5">
        <v>47</v>
      </c>
      <c r="G5" t="s">
        <v>1738</v>
      </c>
      <c r="N5">
        <v>1</v>
      </c>
      <c r="S5" t="s">
        <v>1739</v>
      </c>
      <c r="T5" s="36" t="str">
        <f t="shared" si="0"/>
        <v>{dwID=5626,nFrame=47,szName="物资·首领掉落",[17]={bCenterAlarm=true,},[18]={},aFocus={{dwMapID=-1,szDisplay="物资·首领掉落",nMaxDistance=0,tRelation={bAll=true,bEnemy=false,bAlly=false,},tLife={bEnable=false,szOperator="&gt;",nValue=0,},},},},</v>
      </c>
    </row>
    <row r="6" spans="1:21" x14ac:dyDescent="0.15">
      <c r="A6" t="s">
        <v>1657</v>
      </c>
      <c r="B6">
        <v>-7</v>
      </c>
      <c r="T6" s="36" t="str">
        <f t="shared" si="0"/>
        <v>},[-7]={</v>
      </c>
    </row>
    <row r="7" spans="1:21" x14ac:dyDescent="0.15">
      <c r="C7">
        <v>8418</v>
      </c>
      <c r="D7">
        <v>47</v>
      </c>
      <c r="G7" t="s">
        <v>1723</v>
      </c>
      <c r="N7">
        <v>1</v>
      </c>
      <c r="S7" t="s">
        <v>1724</v>
      </c>
      <c r="T7" s="36" t="str">
        <f t="shared" si="0"/>
        <v>{dwID=8418,nFrame=47,szName="狼牙先锋首领掉落",[17]={bCenterAlarm=true,},[18]={},aFocus={{dwMapID=-1,szDisplay="狼牙先锋首领·掉落",nMaxDistance=0,tRelation={bAll=true,bEnemy=false,bAlly=false,},tLife={bEnable=false,szOperator="&gt;",nValue=0,},},},},</v>
      </c>
    </row>
    <row r="8" spans="1:21" x14ac:dyDescent="0.15">
      <c r="C8">
        <v>6971</v>
      </c>
      <c r="D8">
        <v>47</v>
      </c>
      <c r="G8" t="s">
        <v>1725</v>
      </c>
      <c r="N8">
        <v>1</v>
      </c>
      <c r="S8" t="s">
        <v>1726</v>
      </c>
      <c r="T8" s="36" t="str">
        <f t="shared" si="0"/>
        <v>{dwID=6971,nFrame=47,szName="粮仓宝堆",[17]={bCenterAlarm=true,},[18]={},aFocus={{dwMapID=-1,szDisplay="粮仓宝堆",nMaxDistance=0,tRelation={bAll=true,bEnemy=false,bAlly=false,},tLife={bEnable=false,szOperator="&gt;",nValue=0,},},},},</v>
      </c>
    </row>
    <row r="9" spans="1:21" x14ac:dyDescent="0.15">
      <c r="A9" t="s">
        <v>131</v>
      </c>
      <c r="B9">
        <v>21</v>
      </c>
      <c r="T9" s="36" t="str">
        <f t="shared" si="0"/>
        <v>},[21]={</v>
      </c>
    </row>
    <row r="10" spans="1:21" x14ac:dyDescent="0.15">
      <c r="C10">
        <v>3444</v>
      </c>
      <c r="D10">
        <v>47</v>
      </c>
      <c r="I10" t="s">
        <v>1854</v>
      </c>
      <c r="N10">
        <v>1</v>
      </c>
      <c r="S10" t="s">
        <v>1727</v>
      </c>
      <c r="T10" s="36" t="str">
        <f t="shared" si="0"/>
        <v>{dwID=3444,nFrame=47,szNote="方超的信物",[17]={bCenterAlarm=true,},[18]={},aFocus={{dwMapID=-1,szDisplay="方超信物·阵营前置",nMaxDistance=0,tRelation={bAll=true,bEnemy=false,bAlly=false,},tLife={bEnable=false,szOperator="&gt;",nValue=0,},},},},</v>
      </c>
    </row>
    <row r="11" spans="1:21" x14ac:dyDescent="0.15">
      <c r="C11">
        <v>3443</v>
      </c>
      <c r="D11">
        <v>47</v>
      </c>
      <c r="I11" t="s">
        <v>1855</v>
      </c>
      <c r="N11">
        <v>1</v>
      </c>
      <c r="S11" t="s">
        <v>1728</v>
      </c>
      <c r="T11" s="36" t="str">
        <f t="shared" si="0"/>
        <v>{dwID=3443,nFrame=47,szNote="赵新宇的信物",[17]={bCenterAlarm=true,},[18]={},aFocus={{dwMapID=-1,szDisplay="赵新宇信物·阵营前置",nMaxDistance=0,tRelation={bAll=true,bEnemy=false,bAlly=false,},tLife={bEnable=false,szOperator="&gt;",nValue=0,},},},},</v>
      </c>
    </row>
    <row r="12" spans="1:21" x14ac:dyDescent="0.15">
      <c r="C12">
        <v>843</v>
      </c>
      <c r="D12">
        <v>47</v>
      </c>
      <c r="I12" t="s">
        <v>1853</v>
      </c>
      <c r="S12" t="s">
        <v>1729</v>
      </c>
      <c r="T12" s="36" t="str">
        <f t="shared" si="0"/>
        <v>{dwID=843,nFrame=47,szNote="河底的沙石",[17]={},[18]={},aFocus={{dwMapID=-1,szDisplay="河底的沙石·前置",nMaxDistance=20,tRelation={bAll=false,bEnemy=true,bAlly=false,},tLife={bEnable=false,szOperator="&gt;",nValue=0,},},},},</v>
      </c>
    </row>
    <row r="13" spans="1:21" x14ac:dyDescent="0.15">
      <c r="A13" t="s">
        <v>132</v>
      </c>
      <c r="B13">
        <v>22</v>
      </c>
      <c r="T13" s="36" t="str">
        <f t="shared" si="0"/>
        <v>},[22]={</v>
      </c>
    </row>
    <row r="14" spans="1:21" x14ac:dyDescent="0.15">
      <c r="C14">
        <v>843</v>
      </c>
      <c r="D14">
        <v>47</v>
      </c>
      <c r="I14" t="s">
        <v>1853</v>
      </c>
      <c r="S14" t="s">
        <v>1729</v>
      </c>
      <c r="T14" s="36" t="str">
        <f t="shared" si="0"/>
        <v>{dwID=843,nFrame=47,szNote="河底的沙石",[17]={},[18]={},aFocus={{dwMapID=-1,szDisplay="河底的沙石·前置",nMaxDistance=20,tRelation={bAll=false,bEnemy=true,bAlly=false,},tLife={bEnable=false,szOperator="&gt;",nValue=0,},},},},</v>
      </c>
    </row>
    <row r="15" spans="1:21" x14ac:dyDescent="0.15">
      <c r="C15">
        <v>7662</v>
      </c>
      <c r="D15">
        <v>47</v>
      </c>
      <c r="I15" t="s">
        <v>1857</v>
      </c>
      <c r="N15">
        <v>1</v>
      </c>
      <c r="S15" t="s">
        <v>1730</v>
      </c>
      <c r="T15" s="36" t="str">
        <f t="shared" si="0"/>
        <v>{dwID=7662,nFrame=47,szNote="护送奖赏",[17]={bCenterAlarm=true,},[18]={},aFocus={{dwMapID=-1,szDisplay="护送奖赏·粮草先行",nMaxDistance=0,tRelation={bAll=true,bEnemy=false,bAlly=false,},tLife={bEnable=false,szOperator="&gt;",nValue=0,},},},},</v>
      </c>
    </row>
    <row r="16" spans="1:21" x14ac:dyDescent="0.15">
      <c r="C16">
        <v>7663</v>
      </c>
      <c r="D16">
        <v>47</v>
      </c>
      <c r="I16" t="s">
        <v>1856</v>
      </c>
      <c r="N16">
        <v>1</v>
      </c>
      <c r="S16" t="s">
        <v>1824</v>
      </c>
      <c r="T16" s="36" t="str">
        <f t="shared" si="0"/>
        <v>{dwID=7663,nFrame=47,szNote="拦截奖赏",[17]={bCenterAlarm=true,},[18]={},aFocus={{dwMapID=-1,szDisplay="拦截奖赏·粮草先行",nMaxDistance=0,tRelation={bAll=true,bEnemy=false,bAlly=false,},tLife={bEnable=false,szOperator="&gt;",nValue=0,},},},},</v>
      </c>
    </row>
    <row r="17" spans="1:20" x14ac:dyDescent="0.15">
      <c r="C17">
        <v>3444</v>
      </c>
      <c r="D17">
        <v>47</v>
      </c>
      <c r="I17" t="s">
        <v>1854</v>
      </c>
      <c r="N17">
        <v>1</v>
      </c>
      <c r="S17" t="s">
        <v>1727</v>
      </c>
      <c r="T17" s="36" t="str">
        <f t="shared" si="0"/>
        <v>{dwID=3444,nFrame=47,szNote="方超的信物",[17]={bCenterAlarm=true,},[18]={},aFocus={{dwMapID=-1,szDisplay="方超信物·阵营前置",nMaxDistance=0,tRelation={bAll=true,bEnemy=false,bAlly=false,},tLife={bEnable=false,szOperator="&gt;",nValue=0,},},},},</v>
      </c>
    </row>
    <row r="18" spans="1:20" x14ac:dyDescent="0.15">
      <c r="C18">
        <v>3443</v>
      </c>
      <c r="D18">
        <v>47</v>
      </c>
      <c r="I18" t="s">
        <v>1855</v>
      </c>
      <c r="N18">
        <v>1</v>
      </c>
      <c r="S18" t="s">
        <v>1728</v>
      </c>
      <c r="T18" s="36" t="str">
        <f t="shared" si="0"/>
        <v>{dwID=3443,nFrame=47,szNote="赵新宇的信物",[17]={bCenterAlarm=true,},[18]={},aFocus={{dwMapID=-1,szDisplay="赵新宇信物·阵营前置",nMaxDistance=0,tRelation={bAll=true,bEnemy=false,bAlly=false,},tLife={bEnable=false,szOperator="&gt;",nValue=0,},},},},</v>
      </c>
    </row>
    <row r="19" spans="1:20" x14ac:dyDescent="0.15">
      <c r="A19" t="s">
        <v>7</v>
      </c>
      <c r="B19">
        <v>23</v>
      </c>
      <c r="T19" s="36" t="str">
        <f t="shared" si="0"/>
        <v>},[23]={</v>
      </c>
    </row>
    <row r="20" spans="1:20" x14ac:dyDescent="0.15">
      <c r="C20">
        <v>3445</v>
      </c>
      <c r="D20">
        <v>47</v>
      </c>
      <c r="I20" t="s">
        <v>1858</v>
      </c>
      <c r="N20">
        <v>1</v>
      </c>
      <c r="S20" t="s">
        <v>1731</v>
      </c>
      <c r="T20" s="36" t="str">
        <f t="shared" si="0"/>
        <v>{dwID=3445,nFrame=47,szNote="孙永恒的信物",[17]={bCenterAlarm=true,},[18]={},aFocus={{dwMapID=-1,szDisplay="孙永恒信物·阵营前置",nMaxDistance=0,tRelation={bAll=true,bEnemy=false,bAlly=false,},tLife={bEnable=false,szOperator="&gt;",nValue=0,},},},},</v>
      </c>
    </row>
    <row r="21" spans="1:20" x14ac:dyDescent="0.15">
      <c r="C21">
        <v>3442</v>
      </c>
      <c r="D21">
        <v>47</v>
      </c>
      <c r="I21" t="s">
        <v>1859</v>
      </c>
      <c r="N21">
        <v>1</v>
      </c>
      <c r="S21" t="s">
        <v>1732</v>
      </c>
      <c r="T21" s="36" t="str">
        <f t="shared" si="0"/>
        <v>{dwID=3442,nFrame=47,szNote="霸图的信物",[17]={bCenterAlarm=true,},[18]={},aFocus={{dwMapID=-1,szDisplay="霸图的信物·阵营前置",nMaxDistance=0,tRelation={bAll=true,bEnemy=false,bAlly=false,},tLife={bEnable=false,szOperator="&gt;",nValue=0,},},},},</v>
      </c>
    </row>
    <row r="22" spans="1:20" x14ac:dyDescent="0.15">
      <c r="C22">
        <v>6474</v>
      </c>
      <c r="D22">
        <v>47</v>
      </c>
      <c r="I22" t="s">
        <v>1860</v>
      </c>
      <c r="S22" t="s">
        <v>1733</v>
      </c>
      <c r="T22" s="36" t="str">
        <f t="shared" si="0"/>
        <v>{dwID=6474,nFrame=47,szNote="散落的冰魂货箱",[17]={},[18]={},aFocus={{dwMapID=-1,szDisplay="散落的冰魂货箱·前置",nMaxDistance=20,tRelation={bAll=true,bEnemy=false,bAlly=false,},tLife={bEnable=false,szOperator="&gt;",nValue=0,},},},},</v>
      </c>
    </row>
    <row r="23" spans="1:20" x14ac:dyDescent="0.15">
      <c r="A23" t="s">
        <v>136</v>
      </c>
      <c r="B23">
        <v>30</v>
      </c>
      <c r="T23" s="36" t="str">
        <f t="shared" si="0"/>
        <v>},[30]={</v>
      </c>
    </row>
    <row r="24" spans="1:20" x14ac:dyDescent="0.15">
      <c r="C24">
        <v>1519</v>
      </c>
      <c r="D24">
        <v>47</v>
      </c>
      <c r="I24" t="s">
        <v>1861</v>
      </c>
      <c r="S24" t="s">
        <v>1740</v>
      </c>
      <c r="T24" s="36" t="str">
        <f t="shared" si="0"/>
        <v>{dwID=1519,nFrame=47,szNote="冰魂",[17]={},[18]={},aFocus={{dwMapID=-1,szDisplay="冰魂·阵营前置",nMaxDistance=60,tRelation={bAll=true,bEnemy=false,bAlly=false,},tLife={bEnable=false,szOperator="&gt;",nValue=0,},},},},</v>
      </c>
    </row>
    <row r="25" spans="1:20" x14ac:dyDescent="0.15">
      <c r="C25">
        <v>7662</v>
      </c>
      <c r="D25">
        <v>47</v>
      </c>
      <c r="I25" t="s">
        <v>1857</v>
      </c>
      <c r="N25">
        <v>1</v>
      </c>
      <c r="S25" t="s">
        <v>1730</v>
      </c>
      <c r="T25" s="36" t="str">
        <f t="shared" si="0"/>
        <v>{dwID=7662,nFrame=47,szNote="护送奖赏",[17]={bCenterAlarm=true,},[18]={},aFocus={{dwMapID=-1,szDisplay="护送奖赏·粮草先行",nMaxDistance=0,tRelation={bAll=true,bEnemy=false,bAlly=false,},tLife={bEnable=false,szOperator="&gt;",nValue=0,},},},},</v>
      </c>
    </row>
    <row r="26" spans="1:20" x14ac:dyDescent="0.15">
      <c r="C26">
        <v>7663</v>
      </c>
      <c r="D26">
        <v>47</v>
      </c>
      <c r="I26" t="s">
        <v>1856</v>
      </c>
      <c r="N26">
        <v>1</v>
      </c>
      <c r="S26" t="s">
        <v>1824</v>
      </c>
      <c r="T26" s="36" t="str">
        <f t="shared" si="0"/>
        <v>{dwID=7663,nFrame=47,szNote="拦截奖赏",[17]={bCenterAlarm=true,},[18]={},aFocus={{dwMapID=-1,szDisplay="拦截奖赏·粮草先行",nMaxDistance=0,tRelation={bAll=true,bEnemy=false,bAlly=false,},tLife={bEnable=false,szOperator="&gt;",nValue=0,},},},},</v>
      </c>
    </row>
    <row r="27" spans="1:20" x14ac:dyDescent="0.15">
      <c r="C27">
        <v>3445</v>
      </c>
      <c r="D27">
        <v>47</v>
      </c>
      <c r="I27" t="s">
        <v>1858</v>
      </c>
      <c r="N27">
        <v>1</v>
      </c>
      <c r="S27" t="s">
        <v>1731</v>
      </c>
      <c r="T27" s="36" t="str">
        <f t="shared" si="0"/>
        <v>{dwID=3445,nFrame=47,szNote="孙永恒的信物",[17]={bCenterAlarm=true,},[18]={},aFocus={{dwMapID=-1,szDisplay="孙永恒信物·阵营前置",nMaxDistance=0,tRelation={bAll=true,bEnemy=false,bAlly=false,},tLife={bEnable=false,szOperator="&gt;",nValue=0,},},},},</v>
      </c>
    </row>
    <row r="28" spans="1:20" x14ac:dyDescent="0.15">
      <c r="C28">
        <v>3442</v>
      </c>
      <c r="D28">
        <v>47</v>
      </c>
      <c r="I28" t="s">
        <v>1859</v>
      </c>
      <c r="N28">
        <v>1</v>
      </c>
      <c r="S28" t="s">
        <v>1732</v>
      </c>
      <c r="T28" s="36" t="str">
        <f t="shared" si="0"/>
        <v>{dwID=3442,nFrame=47,szNote="霸图的信物",[17]={bCenterAlarm=true,},[18]={},aFocus={{dwMapID=-1,szDisplay="霸图的信物·阵营前置",nMaxDistance=0,tRelation={bAll=true,bEnemy=false,bAlly=false,},tLife={bEnable=false,szOperator="&gt;",nValue=0,},},},},</v>
      </c>
    </row>
    <row r="29" spans="1:20" x14ac:dyDescent="0.15">
      <c r="T29" s="36" t="str">
        <f t="shared" si="0"/>
        <v>},},}</v>
      </c>
    </row>
    <row r="30" spans="1:20" x14ac:dyDescent="0.15">
      <c r="T30" s="36"/>
    </row>
    <row r="31" spans="1:20" x14ac:dyDescent="0.15">
      <c r="T31" s="36"/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AB81-FD57-4F97-A85B-88A947D91C00}">
  <dimension ref="A1:BL81"/>
  <sheetViews>
    <sheetView topLeftCell="S1" workbookViewId="0">
      <selection activeCell="AC3" sqref="AC3"/>
    </sheetView>
  </sheetViews>
  <sheetFormatPr defaultRowHeight="13.5" x14ac:dyDescent="0.15"/>
  <cols>
    <col min="4" max="4" width="52.125" customWidth="1"/>
    <col min="5" max="5" width="50" customWidth="1"/>
    <col min="6" max="9" width="10.625" customWidth="1"/>
    <col min="10" max="11" width="9" customWidth="1"/>
    <col min="12" max="12" width="6.25" customWidth="1"/>
    <col min="13" max="15" width="9" customWidth="1"/>
    <col min="16" max="16" width="18" customWidth="1"/>
    <col min="17" max="17" width="7.125" customWidth="1"/>
    <col min="18" max="18" width="18.125" customWidth="1"/>
    <col min="19" max="19" width="97.25" customWidth="1"/>
    <col min="20" max="20" width="34.875" customWidth="1"/>
  </cols>
  <sheetData>
    <row r="1" spans="1:64" x14ac:dyDescent="0.15">
      <c r="A1" t="s">
        <v>0</v>
      </c>
      <c r="B1" t="s">
        <v>1421</v>
      </c>
      <c r="C1" t="s">
        <v>840</v>
      </c>
      <c r="D1" t="s">
        <v>1424</v>
      </c>
      <c r="E1" t="s">
        <v>3</v>
      </c>
      <c r="F1" t="s">
        <v>1547</v>
      </c>
      <c r="G1" t="s">
        <v>1560</v>
      </c>
      <c r="H1" t="s">
        <v>1549</v>
      </c>
      <c r="I1" t="s">
        <v>1550</v>
      </c>
      <c r="J1" t="s">
        <v>1422</v>
      </c>
      <c r="K1" t="s">
        <v>1425</v>
      </c>
      <c r="L1" t="s">
        <v>1426</v>
      </c>
      <c r="M1" t="s">
        <v>1427</v>
      </c>
      <c r="N1" t="s">
        <v>1428</v>
      </c>
      <c r="O1" t="s">
        <v>1429</v>
      </c>
      <c r="P1" t="s">
        <v>1430</v>
      </c>
      <c r="Q1" t="s">
        <v>1431</v>
      </c>
      <c r="R1" t="s">
        <v>1432</v>
      </c>
      <c r="S1" t="s">
        <v>1423</v>
      </c>
    </row>
    <row r="2" spans="1:64" s="36" customFormat="1" x14ac:dyDescent="0.15">
      <c r="A2" s="36" t="s">
        <v>2145</v>
      </c>
      <c r="B2" s="36">
        <v>-19</v>
      </c>
      <c r="R2" s="36" t="str">
        <f>IF(ISBLANK(B2)=FALSE,IF(ISBLANK(B1),"},["&amp;B2&amp;"]={","["&amp;B2&amp;"]={"),IF(AND(ISBLANK(B2),ISBLANK(D2),ISBLANK(K2),ISBLANK(L2),OR(ISBLANK(B1)=FALSE,ISBLANK(D1)=FALSE,ISBLANK(K1)=FALSE,ISBLANK(L1)=FALSE)),"},},}",IF(ISBLANK(D2),"","{szContent="""&amp;D2&amp;""","&amp;IF(C2&lt;&gt;"","szTarget="""&amp;C2&amp;""",","")&amp;IF(E2&lt;&gt;"","szNote="""&amp;E2&amp;""",","")&amp;IF(J2&lt;&gt;"","col={"&amp;J2&amp;"},","")&amp;IF(K2&gt;0,"bSearch=true,","")&amp;IF(L2&gt;0,"bReg=true,","")&amp;"[14]={"&amp;IF(M2&gt;0,"szVoice="""&amp;M2&amp;""",","")&amp;IF(N2&gt;0,"bTeamChannel=true,","")&amp;IF(O2&gt;0,"bWhisperChannel=true,","")&amp;IF(P2&gt;0,"bCenterAlarm=true,","")&amp;IF(Q2&gt;0,"bScreenHead=true,","")&amp;"},"&amp;IF(S2&lt;&gt;"","tCountdown={"&amp;_xlfn.TEXTJOIN("",TRUE,S2:AAD2)&amp;"},","")&amp;"},")))</f>
        <v>[-19]={</v>
      </c>
    </row>
    <row r="3" spans="1:64" x14ac:dyDescent="0.15">
      <c r="C3" t="s">
        <v>1433</v>
      </c>
      <c r="D3" t="s">
        <v>1434</v>
      </c>
      <c r="E3" t="s">
        <v>1852</v>
      </c>
      <c r="J3" t="s">
        <v>1435</v>
      </c>
      <c r="L3">
        <v>1</v>
      </c>
      <c r="P3">
        <v>1</v>
      </c>
      <c r="R3" s="36" t="str">
        <f t="shared" ref="R3:R61" si="0">IF(ISBLANK(B3)=FALSE,IF(ISBLANK(B2),"},["&amp;B3&amp;"]={","["&amp;B3&amp;"]={"),IF(AND(ISBLANK(B3),ISBLANK(D3),ISBLANK(K3),ISBLANK(L3),OR(ISBLANK(B2)=FALSE,ISBLANK(D2)=FALSE,ISBLANK(K2)=FALSE,ISBLANK(L2)=FALSE)),"},},}",IF(ISBLANK(D3),"","{szContent="""&amp;D3&amp;""","&amp;IF(C3&lt;&gt;"","szTarget="""&amp;C3&amp;""",","")&amp;IF(E3&lt;&gt;"","szNote="""&amp;E3&amp;""",","")&amp;IF(J3&lt;&gt;"","col={"&amp;J3&amp;"},","")&amp;IF(K3&gt;0,"bSearch=true,","")&amp;IF(L3&gt;0,"bReg=true,","")&amp;"[14]={"&amp;IF(M3&gt;0,"szVoice="""&amp;M3&amp;""",","")&amp;IF(N3&gt;0,"bTeamChannel=true,","")&amp;IF(O3&gt;0,"bWhisperChannel=true,","")&amp;IF(P3&gt;0,"bCenterAlarm=true,","")&amp;IF(Q3&gt;0,"bScreenHead=true,","")&amp;"},"&amp;IF(S3&lt;&gt;"","tCountdown={"&amp;_xlfn.TEXTJOIN("",TRUE,S3:AAD3)&amp;"},","")&amp;"},")))</f>
        <v>{szContent="([浩气恶人]-)前线战况焦灼，(.-)，有劳你速速前往支援！",szTarget="%",szNote="{$1}·{$2}·即将到达",col={255,255,100,},bReg=true,[14]={bCenterAlarm=true,},tCountdown={{nClass=14,nIcon=2396,nFrame=-1,szName="",nTime=0.001,nRefresh=2,key="浩气·{$2}·助战",},{nClass=14,nIcon=2396,nFrame=-1,szName="浩气·{$2}·助战",nTime=-1,key="浩气·{$2}·助战",},{nClass=14,nIcon=2396,nFrame=-1,szName="",nTime=0.001,nRefresh=2,key="恶人·{$2}·助战",},{nClass=14,nIcon=2396,nFrame=-1,szName="恶人·{$2}·助战",nTime=-1,key="恶人·{$2}·助战",},{nClass=14,nIcon=2396,nFrame=-1,szName="{$1}·{$2}·助战",nTime=0,key="{$1}·{$2}·助战",},{nClass=14,nIcon=20122,nFrame=7,szName="浩气·{$2}·前来助战",nTime=300,nRefresh=1,key="浩气·{$2}·助战",},{nClass=14,nIcon=20114,nFrame=3,szName="恶人·{$2}·前来助战",nTime=300,nRefresh=1,key="恶人·{$2}·助战",},{nClass=14,nIcon=16834,nFrame=6,szName="{$sender}·{$2}·减伤",nTime=-2,key="{$sender}·{$2}·减伤",},{nClass=14,nIcon=16834,nFrame=6,szName="{$2}·减伤层数已清空",nTime=10,key="{$sender}·{$2}·减伤",},{nClass=14,nIcon=2399,nFrame=2,szName="{$1}·召请CD·{$2}",nTime=1800,key="召请CD·{$2}",},{nClass=14,nIcon=13,nFrame=-1,szName="谢渊·月弄痕·减伤",nTime=-2,key="谢渊·月弄痕·减伤",},{nClass=14,nIcon=13,nFrame=-1,szName="谢渊·游驹·减伤",nTime=-2,key="谢渊·游驹·减伤",},{nClass=14,nIcon=13,nFrame=-1,szName="谢渊·小七·减伤",nTime=-2,key="谢渊·小七·减伤",},{nClass=14,nIcon=13,nFrame=-1,szName="谢渊·张桎辕·减伤",nTime=-2,key="谢渊·张桎辕·减伤",},{nClass=14,nIcon=13,nFrame=-1,szName="谢渊·司空仲平·减伤",nTime=-2,key="谢渊·司空仲平·减伤",},{nClass=14,nIcon=13,nFrame=-1,szName="王遗风·司徒一一·减伤",nTime=-2,key="王遗风·司徒一一·减伤",},{nClass=14,nIcon=13,nFrame=-1,szName="王遗风·白某·减伤",nTime=-2,key="王遗风·白某·减伤",},{nClass=14,nIcon=13,nFrame=-1,szName="王遗风·米丽古丽·减伤",nTime=-2,key="王遗风·米丽古丽·减伤",},{nClass=14,nIcon=13,nFrame=-1,szName="王遗风·陶寒亭·减伤",nTime=-2,key="王遗风·陶寒亭·减伤",},{nClass=14,nIcon=13,nFrame=-1,szName="王遗风·肖药儿·减伤",nTime=-2,key="王遗风·肖药儿·减伤",},},},</v>
      </c>
      <c r="S3" t="s">
        <v>2137</v>
      </c>
      <c r="T3" t="s">
        <v>2138</v>
      </c>
      <c r="U3" t="s">
        <v>2139</v>
      </c>
      <c r="V3" t="s">
        <v>2140</v>
      </c>
      <c r="W3" t="s">
        <v>2141</v>
      </c>
      <c r="X3" t="s">
        <v>1605</v>
      </c>
      <c r="Y3" t="s">
        <v>1606</v>
      </c>
      <c r="Z3" s="36" t="s">
        <v>1947</v>
      </c>
      <c r="AA3" t="s">
        <v>1607</v>
      </c>
      <c r="AB3" t="s">
        <v>1608</v>
      </c>
      <c r="AC3" s="36" t="s">
        <v>1966</v>
      </c>
      <c r="AD3" s="36" t="s">
        <v>1967</v>
      </c>
      <c r="AE3" s="36" t="s">
        <v>1968</v>
      </c>
      <c r="AF3" s="36" t="s">
        <v>1969</v>
      </c>
      <c r="AG3" s="36" t="s">
        <v>1970</v>
      </c>
      <c r="AH3" s="36" t="s">
        <v>1971</v>
      </c>
      <c r="AI3" s="36" t="s">
        <v>1972</v>
      </c>
      <c r="AJ3" s="36" t="s">
        <v>1973</v>
      </c>
      <c r="AK3" s="36" t="s">
        <v>1974</v>
      </c>
      <c r="AL3" s="36" t="s">
        <v>1975</v>
      </c>
      <c r="AM3" s="36"/>
      <c r="AO3" s="36"/>
      <c r="AQ3" s="36"/>
      <c r="AS3" s="36"/>
      <c r="AU3" s="36"/>
    </row>
    <row r="4" spans="1:64" x14ac:dyDescent="0.15">
      <c r="C4" t="s">
        <v>1433</v>
      </c>
      <c r="D4" t="s">
        <v>1436</v>
      </c>
      <c r="E4" t="s">
        <v>1437</v>
      </c>
      <c r="J4" t="s">
        <v>1435</v>
      </c>
      <c r="L4">
        <v>1</v>
      </c>
      <c r="P4">
        <v>1</v>
      </c>
      <c r="R4" s="36" t="str">
        <f t="shared" si="0"/>
        <v>{szContent="(.-)已经尽力，请暂且退回疗伤。",szTarget="%",szNote="{$1}·败退",col={255,255,100,},bReg=true,[14]={bCenterAlarm=true,},tCountdown={{nClass=14,nIcon=13,nFrame=-1,szName="{$sender}·{$1}·减伤",nTime=-2,key="{$sender}·{$1}·减伤",},{nClass=14,nIcon=13,nFrame=-1,nTime=0.001,nRefresh=2,key="谢渊·{$1}·减伤",},{nClass=14,nIcon=13,nFrame=7,szName="谢渊·{$1}·减伤",nTime=-1,key="谢渊·{$1}·减伤",},{nClass=14,nIcon=13,nFrame=-1,szName="",nTime=0.001,nRefresh=2,key="王遗风·{$1}·减伤",},{nClass=14,nIcon=13,nFrame=3,szName="王遗风·{$1}·减伤",nTime=-1,key="王遗风·{$1}·减伤",},{nClass=14,nIcon=13,nFrame=-1,szName="{$sender}·{$1}·减伤",nTime=0,key="{$sender}·{$1}·减伤",},{nClass=14,nIcon=18829,nFrame=7,szName="浩气·{$1}·败退",nTime=10,nRefresh=10,key="谢渊·{$1}·减伤",},{nClass=14,nIcon=18830,nFrame=3,szName="恶人·{$1}·败退",nTime=10,nRefresh=10,key="王遗风·{$1}·减伤",},},},</v>
      </c>
      <c r="S4" t="s">
        <v>1634</v>
      </c>
      <c r="T4" t="s">
        <v>2042</v>
      </c>
      <c r="U4" t="s">
        <v>1545</v>
      </c>
      <c r="V4" t="s">
        <v>2043</v>
      </c>
      <c r="W4" t="s">
        <v>1546</v>
      </c>
      <c r="X4" t="s">
        <v>1635</v>
      </c>
      <c r="Y4" t="s">
        <v>1616</v>
      </c>
      <c r="Z4" t="s">
        <v>1617</v>
      </c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</row>
    <row r="5" spans="1:64" x14ac:dyDescent="0.15">
      <c r="C5" t="s">
        <v>1433</v>
      </c>
      <c r="D5" t="s">
        <v>1438</v>
      </c>
      <c r="E5" t="s">
        <v>1439</v>
      </c>
      <c r="J5" t="s">
        <v>1435</v>
      </c>
      <c r="P5">
        <v>1</v>
      </c>
      <c r="R5" s="36" t="str">
        <f t="shared" si="0"/>
        <v>{szContent="罢了，青山不改，绿水长流，后会有期！",szTarget="%",szNote="{$sender}·败退",col={255,255,100,},[14]={bCenterAlarm=true,},tCountdown={{nClass=14,nIcon=13,nFrame=6,szName="谢渊·{$sender}·减伤",nTime=0,key="谢渊·{$sender}·减伤",},{nClass=14,nIcon=13,nFrame=6,szName="王遗风·{$sender}·减伤",nTime=0,key="王遗风·{$sender}·减伤",},},},</v>
      </c>
      <c r="S5" t="s">
        <v>1572</v>
      </c>
      <c r="T5" t="s">
        <v>1573</v>
      </c>
    </row>
    <row r="6" spans="1:64" x14ac:dyDescent="0.15">
      <c r="C6" t="s">
        <v>1846</v>
      </c>
      <c r="D6" t="s">
        <v>1847</v>
      </c>
      <c r="E6" t="s">
        <v>1850</v>
      </c>
      <c r="F6" t="s">
        <v>1484</v>
      </c>
      <c r="J6" t="s">
        <v>1576</v>
      </c>
      <c r="R6" s="36" t="str">
        <f t="shared" si="0"/>
        <v>{szContent="奉谷主之命，前来相助。",szTarget="%",szNote="恶人·{$sender}·正在助战",col={255,100,100,},[14]={},tCountdown={{nClass=14,nIcon=14724,nFrame=6,szName="王遗风·{$sender}·减伤",nTime=-2,key="王遗风·{$sender}·减伤",},{nClass=14,nIcon=20114,nFrame=3,szName="恶人·{$sender}·正在助战",nTime=300,nRefresh=1,key="恶人·{$sender}·助战",},},},</v>
      </c>
      <c r="S6" s="36" t="s">
        <v>1948</v>
      </c>
      <c r="T6" s="36" t="s">
        <v>1848</v>
      </c>
    </row>
    <row r="7" spans="1:64" x14ac:dyDescent="0.15">
      <c r="C7" t="s">
        <v>1846</v>
      </c>
      <c r="D7" t="s">
        <v>1849</v>
      </c>
      <c r="E7" t="s">
        <v>1851</v>
      </c>
      <c r="F7" t="s">
        <v>1486</v>
      </c>
      <c r="J7" t="s">
        <v>1515</v>
      </c>
      <c r="R7" s="36" t="str">
        <f t="shared" si="0"/>
        <v>{szContent="奉盟主之命，前来相助。",szTarget="%",szNote="浩气·{$sender}·正在助战",col={100,100,255,},[14]={},tCountdown={{nClass=14,nIcon=14724,nFrame=6,szName="谢渊·{$sender}·减伤",nTime=-2,key="谢渊·{$sender}·减伤",},{nClass=14,nIcon=20122,nFrame=3,szName="浩气·{$sender}·正在助战",nTime=300,nRefresh=1,key="浩气·{$sender}·助战",},},},</v>
      </c>
      <c r="S7" s="36" t="s">
        <v>1949</v>
      </c>
      <c r="T7" s="36" t="s">
        <v>2153</v>
      </c>
    </row>
    <row r="8" spans="1:64" x14ac:dyDescent="0.15">
      <c r="D8" t="s">
        <v>1636</v>
      </c>
      <c r="R8" s="36" t="str">
        <f t="shared" si="0"/>
        <v>{szContent="你获得了100点威名、100点战阶。受到了鼓舞，气力值增加500点。",[14]={},tCountdown={{nClass=14,nIcon=13,nFrame=1,szName="拾取间隔",nTime="300,物资车·拾取物资间隔;310,可以拾取物资了",nRefresh=1,key="拾取间隔",},},},</v>
      </c>
      <c r="S8" t="s">
        <v>2148</v>
      </c>
    </row>
    <row r="9" spans="1:64" x14ac:dyDescent="0.15">
      <c r="D9" t="s">
        <v>1637</v>
      </c>
      <c r="R9" s="36" t="str">
        <f t="shared" si="0"/>
        <v>{szContent="你获得了100点威名、100点战阶。受到了鼓舞，气力值消耗减少一段时间。",[14]={},tCountdown={{nClass=14,nIcon=13,nFrame=1,szName="拾取间隔",nTime="300,物资车·拾取物资间隔;310,可以拾取物资了",nRefresh=1,key="拾取间隔",},},},</v>
      </c>
      <c r="S9" t="s">
        <v>2148</v>
      </c>
    </row>
    <row r="10" spans="1:64" x14ac:dyDescent="0.15">
      <c r="A10" t="s">
        <v>8</v>
      </c>
      <c r="B10">
        <v>25</v>
      </c>
      <c r="R10" s="36" t="str">
        <f t="shared" si="0"/>
        <v>},[25]={</v>
      </c>
    </row>
    <row r="11" spans="1:64" x14ac:dyDescent="0.15">
      <c r="C11" t="s">
        <v>1484</v>
      </c>
      <c r="D11" t="s">
        <v>1482</v>
      </c>
      <c r="E11" t="s">
        <v>1487</v>
      </c>
      <c r="F11" t="s">
        <v>1484</v>
      </c>
      <c r="G11" t="s">
        <v>1562</v>
      </c>
      <c r="H11" t="s">
        <v>1552</v>
      </c>
      <c r="I11" t="s">
        <v>1556</v>
      </c>
      <c r="J11" t="s">
        <v>1576</v>
      </c>
      <c r="R11" s="36" t="str">
        <f t="shared" si="0"/>
        <v>{szContent="顾延恶已经尽力，请暂且退回疗伤。",szTarget="王遗风",szNote="浩气·谢烟客·击退·恶人·顾延恶·复活点·烟雨居舍",col={255,100,100,},[14]={},tCountdown={{nClass=14,nIcon=18830,nFrame=5,szName="恶人·顾延恶·退场",nTime=10,nRefresh=5,key="王遗风·顾延恶·减伤",},{nClass=14,nIcon=14724,nFrame=6,szName="谢渊·谢烟客·减伤",nTime="300,谢烟客·烟雨居舍·减伤3层;600,谢烟客·烟雨居舍·减伤2层;900,谢烟客·烟雨居舍·减伤1层",nRefresh=0,key="谢渊·谢烟客·减伤"},},},</v>
      </c>
      <c r="S11" t="str">
        <f>"{nClass=14,nIcon=18830,nFrame=5,szName="""&amp;"恶人·"&amp;""&amp;""&amp;I11&amp;"·退场"",nTime=10,nRefresh=5,key="&amp;"""王遗风·"&amp;I11&amp;""&amp;"·减伤"""&amp;",},"</f>
        <v>{nClass=14,nIcon=18830,nFrame=5,szName="恶人·顾延恶·退场",nTime=10,nRefresh=5,key="王遗风·顾延恶·减伤",},</v>
      </c>
      <c r="T11" t="str">
        <f>"{nClass=14,nIcon=14724,nFrame=6,szName="""&amp;"谢渊"&amp;"·"&amp;""&amp;H11&amp;""&amp;"·减伤"""&amp;",nTime="&amp;"""300,"&amp;""&amp;H11&amp;"·"&amp;G11&amp;"·减伤3层;600,"&amp;""&amp;H11&amp;"·"&amp;G11&amp;"·减伤2层;900,"&amp;""&amp;H11&amp;"·"&amp;G11&amp;"·减伤1层"""&amp;",nRefresh=0,key="""&amp;"谢渊"&amp;"·"&amp;""&amp;H11&amp;""&amp;"·减伤"""&amp;"},"</f>
        <v>{nClass=14,nIcon=14724,nFrame=6,szName="谢渊·谢烟客·减伤",nTime="300,谢烟客·烟雨居舍·减伤3层;600,谢烟客·烟雨居舍·减伤2层;900,谢烟客·烟雨居舍·减伤1层",nRefresh=0,key="谢渊·谢烟客·减伤"},</v>
      </c>
    </row>
    <row r="12" spans="1:64" x14ac:dyDescent="0.15">
      <c r="C12" t="s">
        <v>1484</v>
      </c>
      <c r="D12" t="s">
        <v>1491</v>
      </c>
      <c r="E12" t="s">
        <v>1488</v>
      </c>
      <c r="F12" t="s">
        <v>1484</v>
      </c>
      <c r="G12" t="s">
        <v>1563</v>
      </c>
      <c r="H12" t="s">
        <v>1553</v>
      </c>
      <c r="I12" t="s">
        <v>1557</v>
      </c>
      <c r="J12" t="s">
        <v>1576</v>
      </c>
      <c r="R12" s="36" t="str">
        <f t="shared" si="0"/>
        <v>{szContent="吕沛杰已经尽力，请暂且退回疗伤。",szTarget="王遗风",szNote="浩气·陶杰·击退·恶人·吕沛杰·复活点·七星岩",col={255,100,100,},[14]={},tCountdown={{nClass=14,nIcon=18830,nFrame=5,szName="恶人·吕沛杰·退场",nTime=10,nRefresh=5,key="王遗风·吕沛杰·减伤",},{nClass=14,nIcon=14724,nFrame=6,szName="谢渊·陶杰·减伤",nTime="300,陶杰·七星岩·减伤3层;600,陶杰·七星岩·减伤2层;900,陶杰·七星岩·减伤1层",nRefresh=0,key="谢渊·陶杰·减伤"},},},</v>
      </c>
      <c r="S12" t="str">
        <f t="shared" ref="S12:S14" si="1">"{nClass=14,nIcon=18830,nFrame=5,szName="""&amp;"恶人·"&amp;""&amp;""&amp;I12&amp;"·退场"",nTime=10,nRefresh=5,key="&amp;"""王遗风·"&amp;I12&amp;""&amp;"·减伤"""&amp;",},"</f>
        <v>{nClass=14,nIcon=18830,nFrame=5,szName="恶人·吕沛杰·退场",nTime=10,nRefresh=5,key="王遗风·吕沛杰·减伤",},</v>
      </c>
      <c r="T12" t="str">
        <f>"{nClass=14,nIcon=14724,nFrame=6,szName="""&amp;"谢渊"&amp;"·"&amp;""&amp;H12&amp;""&amp;"·减伤"""&amp;",nTime="&amp;"""300,"&amp;""&amp;H12&amp;"·"&amp;G12&amp;"·减伤3层;600,"&amp;""&amp;H12&amp;"·"&amp;G12&amp;"·减伤2层;900,"&amp;""&amp;H12&amp;"·"&amp;G12&amp;"·减伤1层"""&amp;",nRefresh=0,key="""&amp;"谢渊"&amp;"·"&amp;""&amp;H12&amp;""&amp;"·减伤"""&amp;"},"</f>
        <v>{nClass=14,nIcon=14724,nFrame=6,szName="谢渊·陶杰·减伤",nTime="300,陶杰·七星岩·减伤3层;600,陶杰·七星岩·减伤2层;900,陶杰·七星岩·减伤1层",nRefresh=0,key="谢渊·陶杰·减伤"},</v>
      </c>
    </row>
    <row r="13" spans="1:64" x14ac:dyDescent="0.15">
      <c r="C13" t="s">
        <v>1484</v>
      </c>
      <c r="D13" t="s">
        <v>1492</v>
      </c>
      <c r="E13" t="s">
        <v>1489</v>
      </c>
      <c r="F13" t="s">
        <v>1484</v>
      </c>
      <c r="G13" t="s">
        <v>1564</v>
      </c>
      <c r="H13" t="s">
        <v>1554</v>
      </c>
      <c r="I13" t="s">
        <v>1558</v>
      </c>
      <c r="J13" t="s">
        <v>1576</v>
      </c>
      <c r="R13" s="36" t="str">
        <f t="shared" si="0"/>
        <v>{szContent="陶国栋已经尽力，请暂且退回疗伤。",szTarget="王遗风",szNote="浩气·郑鸥·击退·恶人·陶国栋·复活点·栖霞",col={255,100,100,},[14]={},tCountdown={{nClass=14,nIcon=18830,nFrame=5,szName="恶人·陶国栋·退场",nTime=10,nRefresh=5,key="王遗风·陶国栋·减伤",},{nClass=14,nIcon=14724,nFrame=6,szName="谢渊·郑鸥·减伤",nTime="300,郑鸥·栖霞·减伤3层;600,郑鸥·栖霞·减伤2层;900,郑鸥·栖霞·减伤1层",nRefresh=0,key="谢渊·郑鸥·减伤"},},},</v>
      </c>
      <c r="S13" t="str">
        <f>"{nClass=14,nIcon=18830,nFrame=5,szName="""&amp;"恶人·"&amp;""&amp;""&amp;I13&amp;"·退场"",nTime=10,nRefresh=5,key="&amp;"""王遗风·"&amp;I13&amp;""&amp;"·减伤"""&amp;",},"</f>
        <v>{nClass=14,nIcon=18830,nFrame=5,szName="恶人·陶国栋·退场",nTime=10,nRefresh=5,key="王遗风·陶国栋·减伤",},</v>
      </c>
      <c r="T13" t="str">
        <f>"{nClass=14,nIcon=14724,nFrame=6,szName="""&amp;"谢渊"&amp;"·"&amp;""&amp;H13&amp;""&amp;"·减伤"""&amp;",nTime="&amp;"""300,"&amp;""&amp;H13&amp;"·"&amp;G13&amp;"·减伤3层;600,"&amp;""&amp;H13&amp;"·"&amp;G13&amp;"·减伤2层;900,"&amp;""&amp;H13&amp;"·"&amp;G13&amp;"·减伤1层"""&amp;",nRefresh=0,key="""&amp;"谢渊"&amp;"·"&amp;""&amp;H13&amp;""&amp;"·减伤"""&amp;"},"</f>
        <v>{nClass=14,nIcon=14724,nFrame=6,szName="谢渊·郑鸥·减伤",nTime="300,郑鸥·栖霞·减伤3层;600,郑鸥·栖霞·减伤2层;900,郑鸥·栖霞·减伤1层",nRefresh=0,key="谢渊·郑鸥·减伤"},</v>
      </c>
    </row>
    <row r="14" spans="1:64" x14ac:dyDescent="0.15">
      <c r="C14" t="s">
        <v>1484</v>
      </c>
      <c r="D14" t="s">
        <v>1493</v>
      </c>
      <c r="E14" t="s">
        <v>1490</v>
      </c>
      <c r="F14" t="s">
        <v>1484</v>
      </c>
      <c r="G14" t="s">
        <v>1565</v>
      </c>
      <c r="H14" t="s">
        <v>1555</v>
      </c>
      <c r="I14" t="s">
        <v>1559</v>
      </c>
      <c r="J14" t="s">
        <v>1576</v>
      </c>
      <c r="R14" s="36" t="str">
        <f t="shared" si="0"/>
        <v>{szContent="张一洋已经尽力，请暂且退回疗伤。",szTarget="王遗风",szNote="浩气·周峰·击退·恶人·张一洋·复活点·龙隐山",col={255,100,100,},[14]={},tCountdown={{nClass=14,nIcon=18830,nFrame=5,szName="恶人·张一洋·退场",nTime=10,nRefresh=5,key="王遗风·张一洋·减伤",},{nClass=14,nIcon=14724,nFrame=6,szName="谢渊·周峰·减伤",nTime="300,周峰·龙隐山·减伤3层;600,周峰·龙隐山·减伤2层;900,周峰·龙隐山·减伤1层",nRefresh=0,key="谢渊·周峰·减伤"},},},</v>
      </c>
      <c r="S14" t="str">
        <f t="shared" si="1"/>
        <v>{nClass=14,nIcon=18830,nFrame=5,szName="恶人·张一洋·退场",nTime=10,nRefresh=5,key="王遗风·张一洋·减伤",},</v>
      </c>
      <c r="T14" t="str">
        <f>"{nClass=14,nIcon=14724,nFrame=6,szName="""&amp;"谢渊"&amp;"·"&amp;""&amp;H14&amp;""&amp;"·减伤"""&amp;",nTime="&amp;"""300,"&amp;""&amp;H14&amp;"·"&amp;G14&amp;"·减伤3层;600,"&amp;""&amp;H14&amp;"·"&amp;G14&amp;"·减伤2层;900,"&amp;""&amp;H14&amp;"·"&amp;G14&amp;"·减伤1层"""&amp;",nRefresh=0,key="""&amp;"谢渊"&amp;"·"&amp;""&amp;H14&amp;""&amp;"·减伤"""&amp;"},"</f>
        <v>{nClass=14,nIcon=14724,nFrame=6,szName="谢渊·周峰·减伤",nTime="300,周峰·龙隐山·减伤3层;600,周峰·龙隐山·减伤2层;900,周峰·龙隐山·减伤1层",nRefresh=0,key="谢渊·周峰·减伤"},</v>
      </c>
    </row>
    <row r="15" spans="1:64" x14ac:dyDescent="0.15">
      <c r="C15" t="s">
        <v>1486</v>
      </c>
      <c r="D15" t="s">
        <v>1494</v>
      </c>
      <c r="E15" t="s">
        <v>1481</v>
      </c>
      <c r="F15" t="s">
        <v>1486</v>
      </c>
      <c r="G15" t="s">
        <v>1561</v>
      </c>
      <c r="H15" t="s">
        <v>1556</v>
      </c>
      <c r="I15" t="s">
        <v>1551</v>
      </c>
      <c r="J15" t="s">
        <v>1515</v>
      </c>
      <c r="R15" s="36" t="str">
        <f t="shared" si="0"/>
        <v>{szContent="谢烟客已经尽力，请暂且退回疗伤。",szTarget="谢渊",szNote="恶人·顾延恶·击退·浩气·谢烟客·复活点·烟雨居舍",col={100,100,255,},[14]={},tCountdown={{nClass=14,nIcon=18829,nFrame=7,szName="浩气·谢烟客·退场",nTime=10,nRefresh=5,key="谢渊·谢烟客·减伤",},{nClass=14,nIcon=14724,nFrame=6,szName="王遗风·顾延恶·减伤",nTime="300,顾延恶·烟雨居舍·减伤3层;600,顾延恶·烟雨居舍·减伤2层;900,顾延恶·烟雨居舍·减伤1层",nRefresh=0,key="王遗风·顾延恶·减伤"},},},</v>
      </c>
      <c r="S15" t="str">
        <f>"{nClass=14,nIcon=18829,nFrame=7,szName="""&amp;"浩气·"&amp;""&amp;""&amp;I15&amp;"·退场"",nTime=10,nRefresh=5,key="&amp;"""谢渊·"&amp;I15&amp;""&amp;"·减伤"""&amp;",},"</f>
        <v>{nClass=14,nIcon=18829,nFrame=7,szName="浩气·谢烟客·退场",nTime=10,nRefresh=5,key="谢渊·谢烟客·减伤",},</v>
      </c>
      <c r="T15" t="str">
        <f>"{nClass=14,nIcon=14724,nFrame=6,szName="""&amp;"王遗风"&amp;"·"&amp;""&amp;H15&amp;""&amp;"·减伤"""&amp;",nTime="&amp;"""300,"&amp;""&amp;H15&amp;"·"&amp;G15&amp;"·减伤3层;600,"&amp;""&amp;H15&amp;"·"&amp;G15&amp;"·减伤2层;900,"&amp;""&amp;H15&amp;"·"&amp;G15&amp;"·减伤1层"""&amp;",nRefresh=0,key="""&amp;"王遗风"&amp;"·"&amp;""&amp;H15&amp;""&amp;"·减伤"""&amp;"},"</f>
        <v>{nClass=14,nIcon=14724,nFrame=6,szName="王遗风·顾延恶·减伤",nTime="300,顾延恶·烟雨居舍·减伤3层;600,顾延恶·烟雨居舍·减伤2层;900,顾延恶·烟雨居舍·减伤1层",nRefresh=0,key="王遗风·顾延恶·减伤"},</v>
      </c>
    </row>
    <row r="16" spans="1:64" x14ac:dyDescent="0.15">
      <c r="C16" t="s">
        <v>1486</v>
      </c>
      <c r="D16" t="s">
        <v>1495</v>
      </c>
      <c r="E16" t="s">
        <v>1478</v>
      </c>
      <c r="F16" t="s">
        <v>1486</v>
      </c>
      <c r="G16" t="s">
        <v>1563</v>
      </c>
      <c r="H16" t="s">
        <v>1557</v>
      </c>
      <c r="I16" t="s">
        <v>1991</v>
      </c>
      <c r="J16" t="s">
        <v>1515</v>
      </c>
      <c r="R16" s="36" t="str">
        <f t="shared" si="0"/>
        <v>{szContent="陶杰已经尽力，请暂且退回疗伤。",szTarget="谢渊",szNote="恶人·吕沛杰·击退·浩气·陶杰·复活点·七星岩",col={100,100,255,},[14]={},tCountdown={{nClass=14,nIcon=18829,nFrame=7,szName="浩气·陶杰·退场",nTime=10,nRefresh=5,key="谢渊·陶杰·减伤",},{nClass=14,nIcon=14724,nFrame=6,szName="王遗风·吕沛杰·减伤",nTime="300,吕沛杰·七星岩·减伤3层;600,吕沛杰·七星岩·减伤2层;900,吕沛杰·七星岩·减伤1层",nRefresh=0,key="王遗风·吕沛杰·减伤"},},},</v>
      </c>
      <c r="S16" t="str">
        <f>"{nClass=14,nIcon=18829,nFrame=7,szName="""&amp;"浩气·"&amp;""&amp;""&amp;I16&amp;"·退场"",nTime=10,nRefresh=5,key="&amp;"""谢渊·"&amp;I16&amp;""&amp;"·减伤"""&amp;",},"</f>
        <v>{nClass=14,nIcon=18829,nFrame=7,szName="浩气·陶杰·退场",nTime=10,nRefresh=5,key="谢渊·陶杰·减伤",},</v>
      </c>
      <c r="T16" t="str">
        <f>"{nClass=14,nIcon=14724,nFrame=6,szName="""&amp;"王遗风"&amp;"·"&amp;""&amp;H16&amp;""&amp;"·减伤"""&amp;",nTime="&amp;"""300,"&amp;""&amp;H16&amp;"·"&amp;G16&amp;"·减伤3层;600,"&amp;""&amp;H16&amp;"·"&amp;G16&amp;"·减伤2层;900,"&amp;""&amp;H16&amp;"·"&amp;G16&amp;"·减伤1层"""&amp;",nRefresh=0,key="""&amp;"王遗风"&amp;"·"&amp;""&amp;H16&amp;""&amp;"·减伤"""&amp;"},"</f>
        <v>{nClass=14,nIcon=14724,nFrame=6,szName="王遗风·吕沛杰·减伤",nTime="300,吕沛杰·七星岩·减伤3层;600,吕沛杰·七星岩·减伤2层;900,吕沛杰·七星岩·减伤1层",nRefresh=0,key="王遗风·吕沛杰·减伤"},</v>
      </c>
    </row>
    <row r="17" spans="1:20" x14ac:dyDescent="0.15">
      <c r="C17" t="s">
        <v>1486</v>
      </c>
      <c r="D17" t="s">
        <v>1496</v>
      </c>
      <c r="E17" t="s">
        <v>1479</v>
      </c>
      <c r="F17" t="s">
        <v>1486</v>
      </c>
      <c r="G17" t="s">
        <v>1564</v>
      </c>
      <c r="H17" t="s">
        <v>1558</v>
      </c>
      <c r="I17" t="s">
        <v>1992</v>
      </c>
      <c r="J17" t="s">
        <v>1515</v>
      </c>
      <c r="R17" s="36" t="str">
        <f t="shared" si="0"/>
        <v>{szContent="郑鸥已经尽力，请暂且退回疗伤。",szTarget="谢渊",szNote="恶人·陶国栋·击退·浩气·郑鸥·复活点·栖霞",col={100,100,255,},[14]={},tCountdown={{nClass=14,nIcon=18829,nFrame=7,szName="浩气·郑鸥·退场",nTime=10,nRefresh=5,key="谢渊·郑鸥·减伤",},{nClass=14,nIcon=14724,nFrame=6,szName="王遗风·陶国栋·减伤",nTime="300,陶国栋·栖霞·减伤3层;600,陶国栋·栖霞·减伤2层;900,陶国栋·栖霞·减伤1层",nRefresh=0,key="王遗风·陶国栋·减伤"},},},</v>
      </c>
      <c r="S17" t="str">
        <f>"{nClass=14,nIcon=18829,nFrame=7,szName="""&amp;"浩气·"&amp;""&amp;""&amp;I17&amp;"·退场"",nTime=10,nRefresh=5,key="&amp;"""谢渊·"&amp;I17&amp;""&amp;"·减伤"""&amp;",},"</f>
        <v>{nClass=14,nIcon=18829,nFrame=7,szName="浩气·郑鸥·退场",nTime=10,nRefresh=5,key="谢渊·郑鸥·减伤",},</v>
      </c>
      <c r="T17" t="str">
        <f>"{nClass=14,nIcon=14724,nFrame=6,szName="""&amp;"王遗风"&amp;"·"&amp;""&amp;H17&amp;""&amp;"·减伤"""&amp;",nTime="&amp;"""300,"&amp;""&amp;H17&amp;"·"&amp;G17&amp;"·减伤3层;600,"&amp;""&amp;H17&amp;"·"&amp;G17&amp;"·减伤2层;900,"&amp;""&amp;H17&amp;"·"&amp;G17&amp;"·减伤1层"""&amp;",nRefresh=0,key="""&amp;"王遗风"&amp;"·"&amp;""&amp;H17&amp;""&amp;"·减伤"""&amp;"},"</f>
        <v>{nClass=14,nIcon=14724,nFrame=6,szName="王遗风·陶国栋·减伤",nTime="300,陶国栋·栖霞·减伤3层;600,陶国栋·栖霞·减伤2层;900,陶国栋·栖霞·减伤1层",nRefresh=0,key="王遗风·陶国栋·减伤"},</v>
      </c>
    </row>
    <row r="18" spans="1:20" x14ac:dyDescent="0.15">
      <c r="C18" t="s">
        <v>1486</v>
      </c>
      <c r="D18" t="s">
        <v>1497</v>
      </c>
      <c r="E18" t="s">
        <v>1480</v>
      </c>
      <c r="F18" t="s">
        <v>1486</v>
      </c>
      <c r="G18" t="s">
        <v>1565</v>
      </c>
      <c r="H18" t="s">
        <v>1559</v>
      </c>
      <c r="I18" t="s">
        <v>1993</v>
      </c>
      <c r="J18" t="s">
        <v>1515</v>
      </c>
      <c r="R18" s="36" t="str">
        <f t="shared" si="0"/>
        <v>{szContent="周峰已经尽力，请暂且退回疗伤。",szTarget="谢渊",szNote="恶人·张一洋·击退·浩气·周峰·复活点·龙隐山",col={100,100,255,},[14]={},tCountdown={{nClass=14,nIcon=18829,nFrame=7,szName="浩气·周峰·退场",nTime=10,nRefresh=5,key="谢渊·周峰·减伤",},{nClass=14,nIcon=14724,nFrame=6,szName="王遗风·张一洋·减伤",nTime="300,张一洋·龙隐山·减伤3层;600,张一洋·龙隐山·减伤2层;900,张一洋·龙隐山·减伤1层",nRefresh=0,key="王遗风·张一洋·减伤"},},},</v>
      </c>
      <c r="S18" t="str">
        <f>"{nClass=14,nIcon=18829,nFrame=7,szName="""&amp;"浩气·"&amp;""&amp;""&amp;I18&amp;"·退场"",nTime=10,nRefresh=5,key="&amp;"""谢渊·"&amp;I18&amp;""&amp;"·减伤"""&amp;",},"</f>
        <v>{nClass=14,nIcon=18829,nFrame=7,szName="浩气·周峰·退场",nTime=10,nRefresh=5,key="谢渊·周峰·减伤",},</v>
      </c>
      <c r="T18" t="str">
        <f>"{nClass=14,nIcon=14724,nFrame=6,szName="""&amp;"王遗风"&amp;"·"&amp;""&amp;H18&amp;""&amp;"·减伤"""&amp;",nTime="&amp;"""300,"&amp;""&amp;H18&amp;"·"&amp;G18&amp;"·减伤3层;600,"&amp;""&amp;H18&amp;"·"&amp;G18&amp;"·减伤2层;900,"&amp;""&amp;H18&amp;"·"&amp;G18&amp;"·减伤1层"""&amp;",nRefresh=0,key="""&amp;"王遗风"&amp;"·"&amp;""&amp;H18&amp;""&amp;"·减伤"""&amp;"},"</f>
        <v>{nClass=14,nIcon=14724,nFrame=6,szName="王遗风·张一洋·减伤",nTime="300,张一洋·龙隐山·减伤3层;600,张一洋·龙隐山·减伤2层;900,张一洋·龙隐山·减伤1层",nRefresh=0,key="王遗风·张一洋·减伤"},</v>
      </c>
    </row>
    <row r="19" spans="1:20" x14ac:dyDescent="0.15">
      <c r="A19" t="s">
        <v>9</v>
      </c>
      <c r="B19">
        <v>27</v>
      </c>
      <c r="R19" s="36" t="str">
        <f t="shared" si="0"/>
        <v>},[27]={</v>
      </c>
    </row>
    <row r="20" spans="1:20" x14ac:dyDescent="0.15">
      <c r="C20" t="s">
        <v>1484</v>
      </c>
      <c r="D20" t="s">
        <v>1482</v>
      </c>
      <c r="E20" t="s">
        <v>1499</v>
      </c>
      <c r="F20" t="s">
        <v>1484</v>
      </c>
      <c r="G20" t="s">
        <v>1566</v>
      </c>
      <c r="H20" t="s">
        <v>1551</v>
      </c>
      <c r="I20" t="s">
        <v>1556</v>
      </c>
      <c r="J20" t="s">
        <v>1576</v>
      </c>
      <c r="R20" s="36" t="str">
        <f t="shared" si="0"/>
        <v>{szContent="顾延恶已经尽力，请暂且退回疗伤。",szTarget="王遗风",szNote="浩气·谢烟客·击退·恶人·顾延恶·复活点·平安客栈",col={255,100,100,},[14]={},tCountdown={{nClass=14,nIcon=18830,nFrame=5,szName="恶人·顾延恶·退场",nTime=10,nRefresh=5,key="王遗风·顾延恶·减伤",},{nClass=14,nIcon=14724,nFrame=6,szName="谢渊·谢烟客·减伤",nTime="300,谢烟客·平安客栈·减伤3层;600,谢烟客·平安客栈·减伤2层;900,谢烟客·平安客栈·减伤1层",nRefresh=0,key="谢渊·谢烟客·减伤"},},},</v>
      </c>
      <c r="S20" t="str">
        <f>"{nClass=14,nIcon=18830,nFrame=5,szName="""&amp;"恶人·"&amp;""&amp;""&amp;I20&amp;"·退场"",nTime=10,nRefresh=5,key="&amp;"""王遗风·"&amp;I20&amp;""&amp;"·减伤"""&amp;",},"</f>
        <v>{nClass=14,nIcon=18830,nFrame=5,szName="恶人·顾延恶·退场",nTime=10,nRefresh=5,key="王遗风·顾延恶·减伤",},</v>
      </c>
      <c r="T20" s="36" t="str">
        <f>"{nClass=14,nIcon=14724,nFrame=6,szName="""&amp;"谢渊"&amp;"·"&amp;""&amp;H20&amp;""&amp;"·减伤"""&amp;",nTime="&amp;"""300,"&amp;""&amp;H20&amp;"·"&amp;G20&amp;"·减伤3层;600,"&amp;""&amp;H20&amp;"·"&amp;G20&amp;"·减伤2层;900,"&amp;""&amp;H20&amp;"·"&amp;G20&amp;"·减伤1层"""&amp;",nRefresh=0,key="""&amp;"谢渊"&amp;"·"&amp;""&amp;H20&amp;""&amp;"·减伤"""&amp;"},"</f>
        <v>{nClass=14,nIcon=14724,nFrame=6,szName="谢渊·谢烟客·减伤",nTime="300,谢烟客·平安客栈·减伤3层;600,谢烟客·平安客栈·减伤2层;900,谢烟客·平安客栈·减伤1层",nRefresh=0,key="谢渊·谢烟客·减伤"},</v>
      </c>
    </row>
    <row r="21" spans="1:20" x14ac:dyDescent="0.15">
      <c r="C21" t="s">
        <v>1484</v>
      </c>
      <c r="D21" t="s">
        <v>1491</v>
      </c>
      <c r="E21" t="s">
        <v>1498</v>
      </c>
      <c r="F21" t="s">
        <v>1484</v>
      </c>
      <c r="G21" t="s">
        <v>1567</v>
      </c>
      <c r="H21" t="s">
        <v>1553</v>
      </c>
      <c r="I21" t="s">
        <v>1557</v>
      </c>
      <c r="J21" t="s">
        <v>1576</v>
      </c>
      <c r="R21" s="36" t="str">
        <f t="shared" si="0"/>
        <v>{szContent="吕沛杰已经尽力，请暂且退回疗伤。",szTarget="王遗风",szNote="浩气·陶杰·击退·恶人·吕沛杰·复活点·炎狱山",col={255,100,100,},[14]={},tCountdown={{nClass=14,nIcon=18830,nFrame=5,szName="恶人·吕沛杰·退场",nTime=10,nRefresh=5,key="王遗风·吕沛杰·减伤",},{nClass=14,nIcon=14724,nFrame=6,szName="谢渊·陶杰·减伤",nTime="300,陶杰·炎狱山·减伤3层;600,陶杰·炎狱山·减伤2层;900,陶杰·炎狱山·减伤1层",nRefresh=0,key="谢渊·陶杰·减伤"},},},</v>
      </c>
      <c r="S21" t="str">
        <f t="shared" ref="S21:S23" si="2">"{nClass=14,nIcon=18830,nFrame=5,szName="""&amp;"恶人·"&amp;""&amp;""&amp;I21&amp;"·退场"",nTime=10,nRefresh=5,key="&amp;"""王遗风·"&amp;I21&amp;""&amp;"·减伤"""&amp;",},"</f>
        <v>{nClass=14,nIcon=18830,nFrame=5,szName="恶人·吕沛杰·退场",nTime=10,nRefresh=5,key="王遗风·吕沛杰·减伤",},</v>
      </c>
      <c r="T21" s="36" t="str">
        <f>"{nClass=14,nIcon=14724,nFrame=6,szName="""&amp;"谢渊"&amp;"·"&amp;""&amp;H21&amp;""&amp;"·减伤"""&amp;",nTime="&amp;"""300,"&amp;""&amp;H21&amp;"·"&amp;G21&amp;"·减伤3层;600,"&amp;""&amp;H21&amp;"·"&amp;G21&amp;"·减伤2层;900,"&amp;""&amp;H21&amp;"·"&amp;G21&amp;"·减伤1层"""&amp;",nRefresh=0,key="""&amp;"谢渊"&amp;"·"&amp;""&amp;H21&amp;""&amp;"·减伤"""&amp;"},"</f>
        <v>{nClass=14,nIcon=14724,nFrame=6,szName="谢渊·陶杰·减伤",nTime="300,陶杰·炎狱山·减伤3层;600,陶杰·炎狱山·减伤2层;900,陶杰·炎狱山·减伤1层",nRefresh=0,key="谢渊·陶杰·减伤"},</v>
      </c>
    </row>
    <row r="22" spans="1:20" x14ac:dyDescent="0.15">
      <c r="C22" t="s">
        <v>1484</v>
      </c>
      <c r="D22" t="s">
        <v>1492</v>
      </c>
      <c r="E22" t="s">
        <v>1502</v>
      </c>
      <c r="F22" t="s">
        <v>1484</v>
      </c>
      <c r="G22" t="s">
        <v>1568</v>
      </c>
      <c r="H22" t="s">
        <v>1554</v>
      </c>
      <c r="I22" t="s">
        <v>1558</v>
      </c>
      <c r="J22" t="s">
        <v>1576</v>
      </c>
      <c r="R22" s="36" t="str">
        <f t="shared" si="0"/>
        <v>{szContent="陶国栋已经尽力，请暂且退回疗伤。",szTarget="王遗风",szNote="浩气·郑鸥·击退·恶人·陶国栋·复活点·白骨陵园",col={255,100,100,},[14]={},tCountdown={{nClass=14,nIcon=18830,nFrame=5,szName="恶人·陶国栋·退场",nTime=10,nRefresh=5,key="王遗风·陶国栋·减伤",},{nClass=14,nIcon=14724,nFrame=6,szName="谢渊·郑鸥·减伤",nTime="300,郑鸥·白骨陵园·减伤3层;600,郑鸥·白骨陵园·减伤2层;900,郑鸥·白骨陵园·减伤1层",nRefresh=0,key="谢渊·郑鸥·减伤"},},},</v>
      </c>
      <c r="S22" t="str">
        <f t="shared" si="2"/>
        <v>{nClass=14,nIcon=18830,nFrame=5,szName="恶人·陶国栋·退场",nTime=10,nRefresh=5,key="王遗风·陶国栋·减伤",},</v>
      </c>
      <c r="T22" s="36" t="str">
        <f>"{nClass=14,nIcon=14724,nFrame=6,szName="""&amp;"谢渊"&amp;"·"&amp;""&amp;H22&amp;""&amp;"·减伤"""&amp;",nTime="&amp;"""300,"&amp;""&amp;H22&amp;"·"&amp;G22&amp;"·减伤3层;600,"&amp;""&amp;H22&amp;"·"&amp;G22&amp;"·减伤2层;900,"&amp;""&amp;H22&amp;"·"&amp;G22&amp;"·减伤1层"""&amp;",nRefresh=0,key="""&amp;"谢渊"&amp;"·"&amp;""&amp;H22&amp;""&amp;"·减伤"""&amp;"},"</f>
        <v>{nClass=14,nIcon=14724,nFrame=6,szName="谢渊·郑鸥·减伤",nTime="300,郑鸥·白骨陵园·减伤3层;600,郑鸥·白骨陵园·减伤2层;900,郑鸥·白骨陵园·减伤1层",nRefresh=0,key="谢渊·郑鸥·减伤"},</v>
      </c>
    </row>
    <row r="23" spans="1:20" x14ac:dyDescent="0.15">
      <c r="C23" t="s">
        <v>1484</v>
      </c>
      <c r="D23" t="s">
        <v>1493</v>
      </c>
      <c r="E23" t="s">
        <v>1501</v>
      </c>
      <c r="F23" t="s">
        <v>1484</v>
      </c>
      <c r="G23" t="s">
        <v>1569</v>
      </c>
      <c r="H23" t="s">
        <v>1555</v>
      </c>
      <c r="I23" t="s">
        <v>1559</v>
      </c>
      <c r="J23" t="s">
        <v>1576</v>
      </c>
      <c r="R23" s="36" t="str">
        <f t="shared" si="0"/>
        <v>{szContent="张一洋已经尽力，请暂且退回疗伤。",szTarget="王遗风",szNote="浩气·周峰·击退·恶人·张一洋·复活点·丐王坡",col={255,100,100,},[14]={},tCountdown={{nClass=14,nIcon=18830,nFrame=5,szName="恶人·张一洋·退场",nTime=10,nRefresh=5,key="王遗风·张一洋·减伤",},{nClass=14,nIcon=14724,nFrame=6,szName="谢渊·周峰·减伤",nTime="300,周峰·丐王坡·减伤3层;600,周峰·丐王坡·减伤2层;900,周峰·丐王坡·减伤1层",nRefresh=0,key="谢渊·周峰·减伤"},},},</v>
      </c>
      <c r="S23" t="str">
        <f t="shared" si="2"/>
        <v>{nClass=14,nIcon=18830,nFrame=5,szName="恶人·张一洋·退场",nTime=10,nRefresh=5,key="王遗风·张一洋·减伤",},</v>
      </c>
      <c r="T23" s="36" t="str">
        <f>"{nClass=14,nIcon=14724,nFrame=6,szName="""&amp;"谢渊"&amp;"·"&amp;""&amp;H23&amp;""&amp;"·减伤"""&amp;",nTime="&amp;"""300,"&amp;""&amp;H23&amp;"·"&amp;G23&amp;"·减伤3层;600,"&amp;""&amp;H23&amp;"·"&amp;G23&amp;"·减伤2层;900,"&amp;""&amp;H23&amp;"·"&amp;G23&amp;"·减伤1层"""&amp;",nRefresh=0,key="""&amp;"谢渊"&amp;"·"&amp;""&amp;H23&amp;""&amp;"·减伤"""&amp;"},"</f>
        <v>{nClass=14,nIcon=14724,nFrame=6,szName="谢渊·周峰·减伤",nTime="300,周峰·丐王坡·减伤3层;600,周峰·丐王坡·减伤2层;900,周峰·丐王坡·减伤1层",nRefresh=0,key="谢渊·周峰·减伤"},</v>
      </c>
    </row>
    <row r="24" spans="1:20" x14ac:dyDescent="0.15">
      <c r="C24" t="s">
        <v>1486</v>
      </c>
      <c r="D24" t="s">
        <v>1494</v>
      </c>
      <c r="E24" t="s">
        <v>1500</v>
      </c>
      <c r="F24" t="s">
        <v>1486</v>
      </c>
      <c r="G24" t="s">
        <v>1566</v>
      </c>
      <c r="H24" t="s">
        <v>1556</v>
      </c>
      <c r="I24" t="s">
        <v>1551</v>
      </c>
      <c r="J24" t="s">
        <v>1515</v>
      </c>
      <c r="R24" s="36" t="str">
        <f t="shared" si="0"/>
        <v>{szContent="谢烟客已经尽力，请暂且退回疗伤。",szTarget="谢渊",szNote="恶人·顾延恶·击退·浩气·谢烟客·复活点·平安客栈",col={100,100,255,},[14]={},tCountdown={{nClass=14,nIcon=18829,nFrame=7,szName="浩气·谢烟客·退场",nTime=10,nRefresh=5,key="谢渊·谢烟客·减伤",},{nClass=14,nIcon=14724,nFrame=6,szName="王遗风·顾延恶·减伤",nTime="300,顾延恶·平安客栈·减伤3层;600,顾延恶·平安客栈·减伤2层;900,顾延恶·平安客栈·减伤1层",nRefresh=0,key="王遗风·顾延恶·减伤"},},},</v>
      </c>
      <c r="S24" t="str">
        <f>"{nClass=14,nIcon=18829,nFrame=7,szName="""&amp;"浩气·"&amp;""&amp;""&amp;I24&amp;"·退场"",nTime=10,nRefresh=5,key="&amp;"""谢渊·"&amp;I24&amp;""&amp;"·减伤"""&amp;",},"</f>
        <v>{nClass=14,nIcon=18829,nFrame=7,szName="浩气·谢烟客·退场",nTime=10,nRefresh=5,key="谢渊·谢烟客·减伤",},</v>
      </c>
      <c r="T24" s="36" t="str">
        <f>"{nClass=14,nIcon=14724,nFrame=6,szName="""&amp;"王遗风"&amp;"·"&amp;""&amp;H24&amp;""&amp;"·减伤"""&amp;",nTime="&amp;"""300,"&amp;""&amp;H24&amp;"·"&amp;G24&amp;"·减伤3层;600,"&amp;""&amp;H24&amp;"·"&amp;G24&amp;"·减伤2层;900,"&amp;""&amp;H24&amp;"·"&amp;G24&amp;"·减伤1层"""&amp;",nRefresh=0,key="""&amp;"王遗风"&amp;"·"&amp;""&amp;H24&amp;""&amp;"·减伤"""&amp;"},"</f>
        <v>{nClass=14,nIcon=14724,nFrame=6,szName="王遗风·顾延恶·减伤",nTime="300,顾延恶·平安客栈·减伤3层;600,顾延恶·平安客栈·减伤2层;900,顾延恶·平安客栈·减伤1层",nRefresh=0,key="王遗风·顾延恶·减伤"},</v>
      </c>
    </row>
    <row r="25" spans="1:20" x14ac:dyDescent="0.15">
      <c r="C25" t="s">
        <v>1486</v>
      </c>
      <c r="D25" t="s">
        <v>1495</v>
      </c>
      <c r="E25" t="s">
        <v>1570</v>
      </c>
      <c r="F25" t="s">
        <v>1486</v>
      </c>
      <c r="G25" t="s">
        <v>1567</v>
      </c>
      <c r="H25" t="s">
        <v>1557</v>
      </c>
      <c r="I25" t="s">
        <v>1991</v>
      </c>
      <c r="J25" t="s">
        <v>1515</v>
      </c>
      <c r="R25" s="36" t="str">
        <f t="shared" si="0"/>
        <v>{szContent="陶杰已经尽力，请暂且退回疗伤。",szTarget="谢渊",szNote="恶人·吕沛杰·击退·浩气·陶杰·复活点·炎狱山",col={100,100,255,},[14]={},tCountdown={{nClass=14,nIcon=18829,nFrame=7,szName="浩气·陶杰·退场",nTime=10,nRefresh=5,key="谢渊·陶杰·减伤",},{nClass=14,nIcon=14724,nFrame=6,szName="王遗风·吕沛杰·减伤",nTime="300,吕沛杰·炎狱山·减伤3层;600,吕沛杰·炎狱山·减伤2层;900,吕沛杰·炎狱山·减伤1层",nRefresh=0,key="王遗风·吕沛杰·减伤"},},},</v>
      </c>
      <c r="S25" t="str">
        <f>"{nClass=14,nIcon=18829,nFrame=7,szName="""&amp;"浩气·"&amp;""&amp;""&amp;I25&amp;"·退场"",nTime=10,nRefresh=5,key="&amp;"""谢渊·"&amp;I25&amp;""&amp;"·减伤"""&amp;",},"</f>
        <v>{nClass=14,nIcon=18829,nFrame=7,szName="浩气·陶杰·退场",nTime=10,nRefresh=5,key="谢渊·陶杰·减伤",},</v>
      </c>
      <c r="T25" s="36" t="str">
        <f>"{nClass=14,nIcon=14724,nFrame=6,szName="""&amp;"王遗风"&amp;"·"&amp;""&amp;H25&amp;""&amp;"·减伤"""&amp;",nTime="&amp;"""300,"&amp;""&amp;H25&amp;"·"&amp;G25&amp;"·减伤3层;600,"&amp;""&amp;H25&amp;"·"&amp;G25&amp;"·减伤2层;900,"&amp;""&amp;H25&amp;"·"&amp;G25&amp;"·减伤1层"""&amp;",nRefresh=0,key="""&amp;"王遗风"&amp;"·"&amp;""&amp;H25&amp;""&amp;"·减伤"""&amp;"},"</f>
        <v>{nClass=14,nIcon=14724,nFrame=6,szName="王遗风·吕沛杰·减伤",nTime="300,吕沛杰·炎狱山·减伤3层;600,吕沛杰·炎狱山·减伤2层;900,吕沛杰·炎狱山·减伤1层",nRefresh=0,key="王遗风·吕沛杰·减伤"},</v>
      </c>
    </row>
    <row r="26" spans="1:20" x14ac:dyDescent="0.15">
      <c r="C26" t="s">
        <v>1486</v>
      </c>
      <c r="D26" t="s">
        <v>1496</v>
      </c>
      <c r="E26" t="s">
        <v>1503</v>
      </c>
      <c r="F26" t="s">
        <v>1486</v>
      </c>
      <c r="G26" t="s">
        <v>1568</v>
      </c>
      <c r="H26" t="s">
        <v>1558</v>
      </c>
      <c r="I26" t="s">
        <v>1992</v>
      </c>
      <c r="J26" t="s">
        <v>1515</v>
      </c>
      <c r="R26" s="36" t="str">
        <f t="shared" si="0"/>
        <v>{szContent="郑鸥已经尽力，请暂且退回疗伤。",szTarget="谢渊",szNote="恶人·陶国栋·击退·浩气·郑鸥·复活点·白骨陵园",col={100,100,255,},[14]={},tCountdown={{nClass=14,nIcon=18829,nFrame=7,szName="浩气·郑鸥·退场",nTime=10,nRefresh=5,key="谢渊·郑鸥·减伤",},{nClass=14,nIcon=14724,nFrame=6,szName="王遗风·陶国栋·减伤",nTime="300,陶国栋·白骨陵园·减伤3层;600,陶国栋·白骨陵园·减伤2层;900,陶国栋·白骨陵园·减伤1层",nRefresh=0,key="王遗风·陶国栋·减伤"},},},</v>
      </c>
      <c r="S26" t="str">
        <f>"{nClass=14,nIcon=18829,nFrame=7,szName="""&amp;"浩气·"&amp;""&amp;""&amp;I26&amp;"·退场"",nTime=10,nRefresh=5,key="&amp;"""谢渊·"&amp;I26&amp;""&amp;"·减伤"""&amp;",},"</f>
        <v>{nClass=14,nIcon=18829,nFrame=7,szName="浩气·郑鸥·退场",nTime=10,nRefresh=5,key="谢渊·郑鸥·减伤",},</v>
      </c>
      <c r="T26" s="36" t="str">
        <f>"{nClass=14,nIcon=14724,nFrame=6,szName="""&amp;"王遗风"&amp;"·"&amp;""&amp;H26&amp;""&amp;"·减伤"""&amp;",nTime="&amp;"""300,"&amp;""&amp;H26&amp;"·"&amp;G26&amp;"·减伤3层;600,"&amp;""&amp;H26&amp;"·"&amp;G26&amp;"·减伤2层;900,"&amp;""&amp;H26&amp;"·"&amp;G26&amp;"·减伤1层"""&amp;",nRefresh=0,key="""&amp;"王遗风"&amp;"·"&amp;""&amp;H26&amp;""&amp;"·减伤"""&amp;"},"</f>
        <v>{nClass=14,nIcon=14724,nFrame=6,szName="王遗风·陶国栋·减伤",nTime="300,陶国栋·白骨陵园·减伤3层;600,陶国栋·白骨陵园·减伤2层;900,陶国栋·白骨陵园·减伤1层",nRefresh=0,key="王遗风·陶国栋·减伤"},</v>
      </c>
    </row>
    <row r="27" spans="1:20" x14ac:dyDescent="0.15">
      <c r="C27" t="s">
        <v>1486</v>
      </c>
      <c r="D27" t="s">
        <v>1497</v>
      </c>
      <c r="E27" t="s">
        <v>1571</v>
      </c>
      <c r="F27" t="s">
        <v>1486</v>
      </c>
      <c r="G27" t="s">
        <v>1569</v>
      </c>
      <c r="H27" t="s">
        <v>1559</v>
      </c>
      <c r="I27" t="s">
        <v>1993</v>
      </c>
      <c r="J27" t="s">
        <v>1515</v>
      </c>
      <c r="R27" s="36" t="str">
        <f t="shared" si="0"/>
        <v>{szContent="周峰已经尽力，请暂且退回疗伤。",szTarget="谢渊",szNote="恶人·张一洋·击退·浩气·周峰·复活点·丐王坡",col={100,100,255,},[14]={},tCountdown={{nClass=14,nIcon=18829,nFrame=7,szName="浩气·周峰·退场",nTime=10,nRefresh=5,key="谢渊·周峰·减伤",},{nClass=14,nIcon=14724,nFrame=6,szName="王遗风·张一洋·减伤",nTime="300,张一洋·丐王坡·减伤3层;600,张一洋·丐王坡·减伤2层;900,张一洋·丐王坡·减伤1层",nRefresh=0,key="王遗风·张一洋·减伤"},},},</v>
      </c>
      <c r="S27" t="str">
        <f>"{nClass=14,nIcon=18829,nFrame=7,szName="""&amp;"浩气·"&amp;""&amp;""&amp;I27&amp;"·退场"",nTime=10,nRefresh=5,key="&amp;"""谢渊·"&amp;I27&amp;""&amp;"·减伤"""&amp;",},"</f>
        <v>{nClass=14,nIcon=18829,nFrame=7,szName="浩气·周峰·退场",nTime=10,nRefresh=5,key="谢渊·周峰·减伤",},</v>
      </c>
      <c r="T27" s="36" t="str">
        <f>"{nClass=14,nIcon=14724,nFrame=6,szName="""&amp;"王遗风"&amp;"·"&amp;""&amp;H27&amp;""&amp;"·减伤"""&amp;",nTime="&amp;"""300,"&amp;""&amp;H27&amp;"·"&amp;G27&amp;"·减伤3层;600,"&amp;""&amp;H27&amp;"·"&amp;G27&amp;"·减伤2层;900,"&amp;""&amp;H27&amp;"·"&amp;G27&amp;"·减伤1层"""&amp;",nRefresh=0,key="""&amp;"王遗风"&amp;"·"&amp;""&amp;H27&amp;""&amp;"·减伤"""&amp;"},"</f>
        <v>{nClass=14,nIcon=14724,nFrame=6,szName="王遗风·张一洋·减伤",nTime="300,张一洋·丐王坡·减伤3层;600,张一洋·丐王坡·减伤2层;900,张一洋·丐王坡·减伤1层",nRefresh=0,key="王遗风·张一洋·减伤"},</v>
      </c>
    </row>
    <row r="28" spans="1:20" s="36" customFormat="1" x14ac:dyDescent="0.15">
      <c r="A28" s="36" t="s">
        <v>1658</v>
      </c>
      <c r="B28" s="36">
        <v>-2</v>
      </c>
      <c r="R28" s="36" t="str">
        <f t="shared" si="0"/>
        <v>},[-2]={</v>
      </c>
    </row>
    <row r="29" spans="1:20" s="36" customFormat="1" x14ac:dyDescent="0.15">
      <c r="D29" s="36" t="s">
        <v>2015</v>
      </c>
      <c r="J29" s="36" t="s">
        <v>1448</v>
      </c>
      <c r="R29" s="36" t="str">
        <f t="shared" si="0"/>
        <v>{szContent="分流活动已开启，大侠可以前往龙门荒漠接取阵营攻防前置任务",col={255,100,100,},[14]={},tCountdown={{nClass=14,nIcon=3536,nFrame=3,szName="龙门·攻防前置分流",nTime=30,nRefresh=3600,key="攻防前置分流",},},},</v>
      </c>
      <c r="S29" s="36" t="s">
        <v>2016</v>
      </c>
    </row>
    <row r="30" spans="1:20" s="36" customFormat="1" x14ac:dyDescent="0.15">
      <c r="D30" s="36" t="s">
        <v>2014</v>
      </c>
      <c r="J30" s="36" t="s">
        <v>1741</v>
      </c>
      <c r="R30" s="36" t="str">
        <f t="shared" si="0"/>
        <v>{szContent="分流活动已开启，大侠可以前往巴陵县接取阵营攻防前置任务",col={100,100,255,},[14]={},tCountdown={{nClass=14,nIcon=3536,nFrame=7,szName="巴陵·攻防前置分流",nTime=30,nRefresh=3600,key="攻防前置分流",},},},</v>
      </c>
      <c r="S30" s="36" t="s">
        <v>2017</v>
      </c>
    </row>
    <row r="31" spans="1:20" x14ac:dyDescent="0.15">
      <c r="A31" t="s">
        <v>1657</v>
      </c>
      <c r="B31">
        <v>-7</v>
      </c>
      <c r="R31" s="36" t="str">
        <f t="shared" si="0"/>
        <v>},[-7]={</v>
      </c>
    </row>
    <row r="32" spans="1:20" s="36" customFormat="1" x14ac:dyDescent="0.15">
      <c r="D32" s="36" t="s">
        <v>2015</v>
      </c>
      <c r="J32" s="36" t="s">
        <v>1448</v>
      </c>
      <c r="R32" s="36" t="str">
        <f t="shared" si="0"/>
        <v>{szContent="分流活动已开启，大侠可以前往龙门荒漠接取阵营攻防前置任务",col={255,100,100,},[14]={},tCountdown={{nClass=14,nIcon=3536,nFrame=3,szName="龙门·攻防前置分流",nTime=30,nRefresh=3600,key="攻防前置分流",},},},</v>
      </c>
      <c r="S32" s="36" t="s">
        <v>2016</v>
      </c>
    </row>
    <row r="33" spans="1:19" s="36" customFormat="1" x14ac:dyDescent="0.15">
      <c r="D33" s="36" t="s">
        <v>2014</v>
      </c>
      <c r="J33" s="36" t="s">
        <v>1741</v>
      </c>
      <c r="R33" s="36" t="str">
        <f t="shared" si="0"/>
        <v>{szContent="分流活动已开启，大侠可以前往巴陵县接取阵营攻防前置任务",col={100,100,255,},[14]={},tCountdown={{nClass=14,nIcon=3536,nFrame=7,szName="巴陵·攻防前置分流",nTime=30,nRefresh=3600,key="攻防前置分流",},},},</v>
      </c>
      <c r="S33" s="36" t="s">
        <v>2017</v>
      </c>
    </row>
    <row r="34" spans="1:19" x14ac:dyDescent="0.15">
      <c r="C34" t="s">
        <v>1792</v>
      </c>
      <c r="D34" t="s">
        <v>1793</v>
      </c>
      <c r="E34" t="s">
        <v>1813</v>
      </c>
      <c r="R34" s="36" t="str">
        <f t="shared" si="0"/>
        <v>{szContent="哼，打扰本大爷休息！",szTarget="狼牙先锋首领",szNote="刷新喊话2",[14]={},tCountdown={{nClass=14,nIcon=3556,nFrame=3,szName="狼牙先锋首领·已刷新",nTime=10,nRefresh=120,key="狼牙先锋首领",},},},</v>
      </c>
      <c r="S34" t="s">
        <v>1794</v>
      </c>
    </row>
    <row r="35" spans="1:19" x14ac:dyDescent="0.15">
      <c r="C35" t="s">
        <v>1792</v>
      </c>
      <c r="D35" t="s">
        <v>1795</v>
      </c>
      <c r="E35" t="s">
        <v>1814</v>
      </c>
      <c r="R35" s="36" t="str">
        <f t="shared" si="0"/>
        <v>{szContent="你爷爷我年轻些时候，也是翻云覆雨的江湖响当当一号人物！",szTarget="狼牙先锋首领",szNote="刷新喊话1·可能会与2一起喊",[14]={},tCountdown={{nClass=14,nIcon=3556,nFrame=3,szName="狼牙先锋首领·已刷新",nTime=10,nRefresh=120,key="狼牙先锋首领",},},},</v>
      </c>
      <c r="S35" t="s">
        <v>1794</v>
      </c>
    </row>
    <row r="36" spans="1:19" x14ac:dyDescent="0.15">
      <c r="C36" t="s">
        <v>1792</v>
      </c>
      <c r="D36" t="s">
        <v>1796</v>
      </c>
      <c r="E36" t="s">
        <v>1812</v>
      </c>
      <c r="R36" s="36" t="str">
        <f t="shared" si="0"/>
        <v>{szContent="我竟然败给你们这群小辈！",szTarget="狼牙先锋首领",szNote="禁用此倒计时条，刷新CD与拾取CD合并",[14]={},tCountdown={{nClass=-1,nIcon=3556,nFrame=3,szName="",nTime="10,狼牙先锋首领·已击退;590,狼牙先锋首领·10分钟刷新;600,狼牙先锋首领·即将刷新",key="狼牙先锋首领",},},},</v>
      </c>
      <c r="S36" t="s">
        <v>1797</v>
      </c>
    </row>
    <row r="37" spans="1:19" x14ac:dyDescent="0.15">
      <c r="A37" t="s">
        <v>132</v>
      </c>
      <c r="B37">
        <v>22</v>
      </c>
      <c r="R37" s="36" t="str">
        <f t="shared" si="0"/>
        <v>},[22]={</v>
      </c>
    </row>
    <row r="38" spans="1:19" x14ac:dyDescent="0.15">
      <c r="C38" t="s">
        <v>1811</v>
      </c>
      <c r="D38" t="s">
        <v>1805</v>
      </c>
      <c r="J38" t="s">
        <v>1448</v>
      </c>
      <c r="R38" s="36" t="str">
        <f t="shared" si="0"/>
        <v>{szContent="恶人谷老友们可在我这里传送到恶人谷！",szTarget="赵新宇",col={255,100,100,},[14]={},tCountdown={{nClass=14,nIcon=589,nFrame=7,szName="赵新宇·已刷新",nTime=2,nRefresh=600,key="赵新宇",},},},</v>
      </c>
      <c r="S38" t="s">
        <v>1955</v>
      </c>
    </row>
    <row r="39" spans="1:19" x14ac:dyDescent="0.15">
      <c r="C39" t="s">
        <v>1810</v>
      </c>
      <c r="D39" t="s">
        <v>1799</v>
      </c>
      <c r="J39" t="s">
        <v>1741</v>
      </c>
      <c r="R39" s="36" t="str">
        <f t="shared" si="0"/>
        <v>{szContent="浩气盟侠士们可在我这里传送到浩气盟！",szTarget="方超",col={100,100,255,},[14]={},tCountdown={{nClass=14,nIcon=308,nFrame=3,szName="方超·已刷新",nTime=2,nRefresh=600,key="方超",},},},</v>
      </c>
      <c r="S39" t="s">
        <v>1954</v>
      </c>
    </row>
    <row r="40" spans="1:19" x14ac:dyDescent="0.15">
      <c r="C40" s="36" t="s">
        <v>1806</v>
      </c>
      <c r="D40" t="s">
        <v>1808</v>
      </c>
      <c r="J40" t="s">
        <v>1448</v>
      </c>
      <c r="R40" s="36" t="str">
        <f t="shared" si="0"/>
        <v>{szContent="护送不利，恶人谷的运输小队被浩气盟截下了！",szTarget="管良沧",col={255,100,100,},[14]={},tCountdown={{nClass=14,nIcon=2398,nFrame=7,szName="浩气·劫车奖励",nTime=60,key="粮草先行·恶人谷",},},},</v>
      </c>
      <c r="S40" t="s">
        <v>2058</v>
      </c>
    </row>
    <row r="41" spans="1:19" x14ac:dyDescent="0.15">
      <c r="C41" t="s">
        <v>1806</v>
      </c>
      <c r="D41" t="s">
        <v>1809</v>
      </c>
      <c r="J41" t="s">
        <v>1448</v>
      </c>
      <c r="R41" s="36" t="str">
        <f t="shared" si="0"/>
        <v>{szContent="恶人谷的运输小队成功到达营地！接下来由他们将物资运往更前线，大伙继续加油，收集更多物资！",szTarget="管良沧",col={255,100,100,},[14]={},tCountdown={{nClass=14,nIcon=2398,nFrame=3,szName="恶人·领取护送奖赏",nTime=60,key="粮草先行·恶人谷",},},},</v>
      </c>
      <c r="S41" t="s">
        <v>2057</v>
      </c>
    </row>
    <row r="42" spans="1:19" x14ac:dyDescent="0.15">
      <c r="C42" t="s">
        <v>1806</v>
      </c>
      <c r="D42" t="s">
        <v>1807</v>
      </c>
      <c r="E42" s="36" t="s">
        <v>1953</v>
      </c>
      <c r="J42" t="s">
        <v>1448</v>
      </c>
      <c r="P42">
        <v>1</v>
      </c>
      <c r="R42" s="36" t="str">
        <f t="shared" si="0"/>
        <v>{szContent="恶人谷的运输小队出现了，大伙快前去接送到我方营地，谷主重重有赏！",szTarget="管良沧",szNote="粮草先行·恶人牛车",col={255,100,100,},[14]={bCenterAlarm=true,},tCountdown={{nClass=14,nIcon=15380,nFrame=3,szName="恶人·护送牛车",nTime=337,key="粮草先行·恶人谷",},},},</v>
      </c>
      <c r="S42" t="s">
        <v>2056</v>
      </c>
    </row>
    <row r="43" spans="1:19" x14ac:dyDescent="0.15">
      <c r="C43" t="s">
        <v>1800</v>
      </c>
      <c r="D43" t="s">
        <v>1802</v>
      </c>
      <c r="J43" t="s">
        <v>1741</v>
      </c>
      <c r="R43" s="36" t="str">
        <f t="shared" si="0"/>
        <v>{szContent="护送不利，浩气盟的运输小队被恶人谷截下了！",szTarget="苏才寥",col={100,100,255,},[14]={},tCountdown={{nClass=14,nIcon=2398,nFrame=3,szName="恶人·劫车奖励",nTime=60,key="粮草先行·浩气盟",},},},</v>
      </c>
      <c r="S43" t="s">
        <v>2055</v>
      </c>
    </row>
    <row r="44" spans="1:19" x14ac:dyDescent="0.15">
      <c r="C44" t="s">
        <v>1800</v>
      </c>
      <c r="D44" t="s">
        <v>1803</v>
      </c>
      <c r="J44" t="s">
        <v>1741</v>
      </c>
      <c r="R44" s="36" t="str">
        <f t="shared" si="0"/>
        <v>{szContent="浩气盟的运输小队成功到达营地！接下来由他们将物资运往更前线，大伙继续加油，收集更多物资！",szTarget="苏才寥",col={100,100,255,},[14]={},tCountdown={{nClass=14,nIcon=2397,nFrame=7,szName="浩气·领取护送奖赏",nTime=60,key="粮草先行·浩气盟",},},},</v>
      </c>
      <c r="S44" t="s">
        <v>2054</v>
      </c>
    </row>
    <row r="45" spans="1:19" x14ac:dyDescent="0.15">
      <c r="C45" t="s">
        <v>1800</v>
      </c>
      <c r="D45" t="s">
        <v>1801</v>
      </c>
      <c r="E45" t="s">
        <v>1952</v>
      </c>
      <c r="J45" t="s">
        <v>1741</v>
      </c>
      <c r="P45">
        <v>1</v>
      </c>
      <c r="R45" s="36" t="str">
        <f t="shared" si="0"/>
        <v>{szContent="浩气盟的运输小队出现了，大伙快前去接送到我方营地，盟主重重有赏！",szTarget="苏才寥",szNote="粮草先行·浩气牛车",col={100,100,255,},[14]={bCenterAlarm=true,},tCountdown={{nClass=14,nIcon=15384,nFrame=7,szName="浩气·护送牛车",nTime=337,key="粮草先行·浩气盟",},},},</v>
      </c>
      <c r="S45" t="s">
        <v>2053</v>
      </c>
    </row>
    <row r="46" spans="1:19" x14ac:dyDescent="0.15">
      <c r="A46" t="s">
        <v>136</v>
      </c>
      <c r="B46">
        <v>30</v>
      </c>
      <c r="R46" s="36" t="str">
        <f t="shared" si="0"/>
        <v>},[30]={</v>
      </c>
    </row>
    <row r="47" spans="1:19" x14ac:dyDescent="0.15">
      <c r="C47" t="s">
        <v>1804</v>
      </c>
      <c r="D47" t="s">
        <v>1805</v>
      </c>
      <c r="J47" t="s">
        <v>1448</v>
      </c>
      <c r="R47" s="36" t="str">
        <f t="shared" si="0"/>
        <v>{szContent="恶人谷老友们可在我这里传送到恶人谷！",szTarget="霸图",col={255,100,100,},[14]={},tCountdown={{nClass=14,nIcon=2864,nFrame=7,szName="霸图·已刷新",nTime=2,nRefresh=600,key="霸图",},},},</v>
      </c>
      <c r="S47" t="s">
        <v>1956</v>
      </c>
    </row>
    <row r="48" spans="1:19" x14ac:dyDescent="0.15">
      <c r="C48" t="s">
        <v>1798</v>
      </c>
      <c r="D48" t="s">
        <v>1799</v>
      </c>
      <c r="J48" t="s">
        <v>1741</v>
      </c>
      <c r="R48" s="36" t="str">
        <f t="shared" si="0"/>
        <v>{szContent="浩气盟侠士们可在我这里传送到浩气盟！",szTarget="孙永恒",col={100,100,255,},[14]={},tCountdown={{nClass=14,nIcon=845,nFrame=3,szName="孙永恒·已刷新",nTime=2,nRefresh=600,key="孙永恒",},},},</v>
      </c>
      <c r="S48" t="s">
        <v>1957</v>
      </c>
    </row>
    <row r="49" spans="1:19" x14ac:dyDescent="0.15">
      <c r="C49" s="36" t="s">
        <v>1806</v>
      </c>
      <c r="D49" t="s">
        <v>1808</v>
      </c>
      <c r="J49" t="s">
        <v>1448</v>
      </c>
      <c r="R49" s="36" t="str">
        <f t="shared" si="0"/>
        <v>{szContent="护送不利，恶人谷的运输小队被浩气盟截下了！",szTarget="管良沧",col={255,100,100,},[14]={},tCountdown={{nClass=14,nIcon=2397,nFrame=7,szName="浩气·劫车奖励",nTime=60,key="粮草先行·恶人谷",},},},</v>
      </c>
      <c r="S49" t="s">
        <v>2060</v>
      </c>
    </row>
    <row r="50" spans="1:19" x14ac:dyDescent="0.15">
      <c r="C50" t="s">
        <v>1806</v>
      </c>
      <c r="D50" t="s">
        <v>1809</v>
      </c>
      <c r="J50" t="s">
        <v>1448</v>
      </c>
      <c r="R50" s="36" t="str">
        <f t="shared" si="0"/>
        <v>{szContent="恶人谷的运输小队成功到达营地！接下来由他们将物资运往更前线，大伙继续加油，收集更多物资！",szTarget="管良沧",col={255,100,100,},[14]={},tCountdown={{nClass=14,nIcon=2398,nFrame=3,szName="恶人·领取护送奖赏",nTime=60,key="粮草先行·恶人谷",},},},</v>
      </c>
      <c r="S50" t="s">
        <v>2057</v>
      </c>
    </row>
    <row r="51" spans="1:19" x14ac:dyDescent="0.15">
      <c r="C51" t="s">
        <v>1806</v>
      </c>
      <c r="D51" t="s">
        <v>1807</v>
      </c>
      <c r="E51" s="36" t="s">
        <v>1953</v>
      </c>
      <c r="J51" t="s">
        <v>1448</v>
      </c>
      <c r="P51">
        <v>1</v>
      </c>
      <c r="R51" s="36" t="str">
        <f t="shared" si="0"/>
        <v>{szContent="恶人谷的运输小队出现了，大伙快前去接送到我方营地，谷主重重有赏！",szTarget="管良沧",szNote="粮草先行·恶人牛车",col={255,100,100,},[14]={bCenterAlarm=true,},tCountdown={{nClass=14,nIcon=15380,nFrame=3,szName="恶人·护送牛车",nTime=557,key="粮草先行·恶人谷",},},},</v>
      </c>
      <c r="S51" t="s">
        <v>2061</v>
      </c>
    </row>
    <row r="52" spans="1:19" x14ac:dyDescent="0.15">
      <c r="C52" t="s">
        <v>1800</v>
      </c>
      <c r="D52" t="s">
        <v>1802</v>
      </c>
      <c r="J52" t="s">
        <v>1741</v>
      </c>
      <c r="R52" s="36" t="str">
        <f t="shared" si="0"/>
        <v>{szContent="护送不利，浩气盟的运输小队被恶人谷截下了！",szTarget="苏才寥",col={100,100,255,},[14]={},tCountdown={{nClass=14,nIcon=2398,nFrame=3,szName="恶人·劫车奖励",nTime=60,key="粮草先行·浩气盟",},},},</v>
      </c>
      <c r="S52" t="s">
        <v>2055</v>
      </c>
    </row>
    <row r="53" spans="1:19" x14ac:dyDescent="0.15">
      <c r="C53" t="s">
        <v>1800</v>
      </c>
      <c r="D53" t="s">
        <v>1803</v>
      </c>
      <c r="J53" t="s">
        <v>1741</v>
      </c>
      <c r="R53" s="36" t="str">
        <f t="shared" si="0"/>
        <v>{szContent="浩气盟的运输小队成功到达营地！接下来由他们将物资运往更前线，大伙继续加油，收集更多物资！",szTarget="苏才寥",col={100,100,255,},[14]={},tCountdown={{nClass=14,nIcon=2397,nFrame=7,szName="浩气·领取护送奖赏",nTime=60,key="粮草先行·浩气盟",},},},</v>
      </c>
      <c r="S53" t="s">
        <v>2054</v>
      </c>
    </row>
    <row r="54" spans="1:19" x14ac:dyDescent="0.15">
      <c r="C54" t="s">
        <v>1800</v>
      </c>
      <c r="D54" t="s">
        <v>1801</v>
      </c>
      <c r="E54" s="36" t="s">
        <v>1952</v>
      </c>
      <c r="J54" t="s">
        <v>1741</v>
      </c>
      <c r="P54">
        <v>1</v>
      </c>
      <c r="R54" s="36" t="str">
        <f t="shared" si="0"/>
        <v>{szContent="浩气盟的运输小队出现了，大伙快前去接送到我方营地，盟主重重有赏！",szTarget="苏才寥",szNote="粮草先行·浩气牛车",col={100,100,255,},[14]={bCenterAlarm=true,},tCountdown={{nClass=14,nIcon=15384,nFrame=7,szName="浩气·护送牛车",nTime=557,key="粮草先行·浩气盟",},},},</v>
      </c>
      <c r="S54" t="s">
        <v>2059</v>
      </c>
    </row>
    <row r="55" spans="1:19" s="36" customFormat="1" x14ac:dyDescent="0.15">
      <c r="A55" s="36" t="s">
        <v>131</v>
      </c>
      <c r="B55" s="36">
        <v>21</v>
      </c>
      <c r="R55" s="36" t="str">
        <f t="shared" si="0"/>
        <v>},[21]={</v>
      </c>
    </row>
    <row r="56" spans="1:19" s="36" customFormat="1" x14ac:dyDescent="0.15">
      <c r="C56" s="36" t="s">
        <v>1811</v>
      </c>
      <c r="D56" s="36" t="s">
        <v>1805</v>
      </c>
      <c r="J56" s="36" t="s">
        <v>1448</v>
      </c>
      <c r="R56" s="36" t="str">
        <f t="shared" si="0"/>
        <v>{szContent="恶人谷老友们可在我这里传送到恶人谷！",szTarget="赵新宇",col={255,100,100,},[14]={},tCountdown={{nClass=14,nIcon=589,nFrame=7,szName="赵新宇·已刷新",nTime=2,nRefresh=600,key="赵新宇",},},},</v>
      </c>
      <c r="S56" s="36" t="s">
        <v>1955</v>
      </c>
    </row>
    <row r="57" spans="1:19" s="36" customFormat="1" x14ac:dyDescent="0.15">
      <c r="C57" s="36" t="s">
        <v>1810</v>
      </c>
      <c r="D57" s="36" t="s">
        <v>1799</v>
      </c>
      <c r="J57" s="36" t="s">
        <v>1741</v>
      </c>
      <c r="R57" s="36" t="str">
        <f t="shared" si="0"/>
        <v>{szContent="浩气盟侠士们可在我这里传送到浩气盟！",szTarget="方超",col={100,100,255,},[14]={},tCountdown={{nClass=14,nIcon=308,nFrame=3,szName="方超·已刷新",nTime=2,nRefresh=600,key="方超",},},},</v>
      </c>
      <c r="S57" s="36" t="s">
        <v>1954</v>
      </c>
    </row>
    <row r="58" spans="1:19" x14ac:dyDescent="0.15">
      <c r="A58" s="36" t="s">
        <v>7</v>
      </c>
      <c r="B58" s="36">
        <v>23</v>
      </c>
      <c r="R58" s="36" t="str">
        <f t="shared" si="0"/>
        <v>},[23]={</v>
      </c>
    </row>
    <row r="59" spans="1:19" s="36" customFormat="1" x14ac:dyDescent="0.15">
      <c r="C59" s="36" t="s">
        <v>1804</v>
      </c>
      <c r="D59" s="36" t="s">
        <v>1805</v>
      </c>
      <c r="J59" s="36" t="s">
        <v>1448</v>
      </c>
      <c r="R59" s="36" t="str">
        <f t="shared" si="0"/>
        <v>{szContent="恶人谷老友们可在我这里传送到恶人谷！",szTarget="霸图",col={255,100,100,},[14]={},tCountdown={{nClass=14,nIcon=2864,nFrame=7,szName="霸图·已刷新",nTime=2,nRefresh=600,key="霸图",},},},</v>
      </c>
      <c r="S59" s="36" t="s">
        <v>1956</v>
      </c>
    </row>
    <row r="60" spans="1:19" s="36" customFormat="1" x14ac:dyDescent="0.15">
      <c r="C60" s="36" t="s">
        <v>1798</v>
      </c>
      <c r="D60" s="36" t="s">
        <v>1799</v>
      </c>
      <c r="J60" s="36" t="s">
        <v>1741</v>
      </c>
      <c r="R60" s="36" t="str">
        <f t="shared" si="0"/>
        <v>{szContent="浩气盟侠士们可在我这里传送到浩气盟！",szTarget="孙永恒",col={100,100,255,},[14]={},tCountdown={{nClass=14,nIcon=845,nFrame=3,szName="孙永恒·已刷新",nTime=2,nRefresh=600,key="孙永恒",},},},</v>
      </c>
      <c r="S60" s="36" t="s">
        <v>1957</v>
      </c>
    </row>
    <row r="61" spans="1:19" x14ac:dyDescent="0.15">
      <c r="R61" s="36" t="str">
        <f t="shared" si="0"/>
        <v>},},}</v>
      </c>
    </row>
    <row r="62" spans="1:19" x14ac:dyDescent="0.15">
      <c r="R62" s="36"/>
    </row>
    <row r="63" spans="1:19" x14ac:dyDescent="0.15">
      <c r="R63" s="36"/>
    </row>
    <row r="64" spans="1:19" x14ac:dyDescent="0.15">
      <c r="R64" s="36"/>
    </row>
    <row r="65" spans="18:18" x14ac:dyDescent="0.15">
      <c r="R65" s="36"/>
    </row>
    <row r="66" spans="18:18" x14ac:dyDescent="0.15">
      <c r="R66" s="36"/>
    </row>
    <row r="67" spans="18:18" x14ac:dyDescent="0.15">
      <c r="R67" s="36"/>
    </row>
    <row r="68" spans="18:18" x14ac:dyDescent="0.15">
      <c r="R68" s="36"/>
    </row>
    <row r="69" spans="18:18" x14ac:dyDescent="0.15">
      <c r="R69" s="36"/>
    </row>
    <row r="70" spans="18:18" x14ac:dyDescent="0.15">
      <c r="R70" s="36"/>
    </row>
    <row r="71" spans="18:18" x14ac:dyDescent="0.15">
      <c r="R71" s="36"/>
    </row>
    <row r="72" spans="18:18" x14ac:dyDescent="0.15">
      <c r="R72" s="36"/>
    </row>
    <row r="73" spans="18:18" x14ac:dyDescent="0.15">
      <c r="R73" s="36"/>
    </row>
    <row r="74" spans="18:18" x14ac:dyDescent="0.15">
      <c r="R74" s="36"/>
    </row>
    <row r="75" spans="18:18" x14ac:dyDescent="0.15">
      <c r="R75" s="36"/>
    </row>
    <row r="76" spans="18:18" x14ac:dyDescent="0.15">
      <c r="R76" s="36"/>
    </row>
    <row r="77" spans="18:18" x14ac:dyDescent="0.15">
      <c r="R77" s="36"/>
    </row>
    <row r="78" spans="18:18" x14ac:dyDescent="0.15">
      <c r="R78" s="36"/>
    </row>
    <row r="79" spans="18:18" x14ac:dyDescent="0.15">
      <c r="R79" s="36"/>
    </row>
    <row r="80" spans="18:18" x14ac:dyDescent="0.15">
      <c r="R80" s="36"/>
    </row>
    <row r="81" spans="18:18" x14ac:dyDescent="0.15">
      <c r="R81" s="36" t="str">
        <f t="shared" ref="R81" si="3">IF(ISBLANK(B81)=FALSE,IF(ISBLANK(B80),"},["&amp;B81&amp;"]={","["&amp;B81&amp;"]={"),IF(AND(ISBLANK(B81),ISBLANK(D81),ISBLANK(K81),ISBLANK(L81),OR(ISBLANK(B80)=FALSE,ISBLANK(D80)=FALSE,ISBLANK(K80)=FALSE,ISBLANK(L80)=FALSE)),"},},}",IF(ISBLANK(D81),"","{szContent="""&amp;D81&amp;""","&amp;IF(C81&lt;&gt;"","szTarget="""&amp;C81&amp;""",","")&amp;IF(E81&lt;&gt;"","szNote="""&amp;E81&amp;""",","")&amp;IF(J81&lt;&gt;"","col={"&amp;J81&amp;"},","")&amp;IF(K81&gt;0,"bSearch=true,","")&amp;IF(L81&gt;0,"bReg=true,","")&amp;"[14]={"&amp;IF(M81&gt;0,"szVoice="""&amp;M81&amp;""",","")&amp;IF(N81&gt;0,"bTeamChannel=true,","")&amp;IF(O81&gt;0,"bWhisperChannel=true,","")&amp;IF(P81&gt;0,"bCenterAlarm=true,","")&amp;IF(Q81&gt;0,"bScreenHead=true,","")&amp;"},"&amp;IF(S81&lt;&gt;"","tCountdown={"&amp;_xlfn.TEXTJOIN("",TRUE,S81:AAD81)&amp;"},","")&amp;"},")))</f>
        <v/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2A71-AE2F-48FF-A98F-0D6E9F4CDE78}">
  <dimension ref="A1:BM186"/>
  <sheetViews>
    <sheetView topLeftCell="Q5" zoomScaleNormal="100" workbookViewId="0">
      <selection activeCell="U34" sqref="U34:U39"/>
    </sheetView>
  </sheetViews>
  <sheetFormatPr defaultRowHeight="13.5" x14ac:dyDescent="0.15"/>
  <cols>
    <col min="3" max="3" width="88" customWidth="1"/>
    <col min="4" max="4" width="51.75" customWidth="1"/>
    <col min="5" max="10" width="10.625" customWidth="1"/>
    <col min="11" max="11" width="13.25" customWidth="1"/>
    <col min="12" max="12" width="5.75" customWidth="1"/>
    <col min="13" max="13" width="9" customWidth="1"/>
    <col min="14" max="16" width="9" hidden="1" customWidth="1"/>
    <col min="17" max="17" width="9" customWidth="1"/>
    <col min="18" max="18" width="9" hidden="1" customWidth="1"/>
    <col min="19" max="19" width="41.375" customWidth="1"/>
    <col min="20" max="20" width="101.375" customWidth="1"/>
    <col min="21" max="21" width="93.125" customWidth="1"/>
    <col min="22" max="22" width="63.5" customWidth="1"/>
    <col min="23" max="23" width="66.625" customWidth="1"/>
    <col min="24" max="24" width="77.625" customWidth="1"/>
    <col min="25" max="25" width="38.375" customWidth="1"/>
  </cols>
  <sheetData>
    <row r="1" spans="1:62" x14ac:dyDescent="0.15">
      <c r="A1" t="s">
        <v>0</v>
      </c>
      <c r="B1" t="s">
        <v>1421</v>
      </c>
      <c r="C1" t="s">
        <v>1424</v>
      </c>
      <c r="D1" t="s">
        <v>3</v>
      </c>
      <c r="E1" t="s">
        <v>1547</v>
      </c>
      <c r="F1" t="s">
        <v>1548</v>
      </c>
      <c r="G1" t="s">
        <v>1832</v>
      </c>
      <c r="H1" t="s">
        <v>1549</v>
      </c>
      <c r="J1" t="s">
        <v>1550</v>
      </c>
      <c r="K1" t="s">
        <v>1422</v>
      </c>
      <c r="L1" t="s">
        <v>1425</v>
      </c>
      <c r="M1" t="s">
        <v>1426</v>
      </c>
      <c r="N1" t="s">
        <v>1427</v>
      </c>
      <c r="O1" t="s">
        <v>1428</v>
      </c>
      <c r="P1" t="s">
        <v>1429</v>
      </c>
      <c r="Q1" t="s">
        <v>1430</v>
      </c>
      <c r="R1" t="s">
        <v>1431</v>
      </c>
      <c r="S1" t="s">
        <v>1440</v>
      </c>
    </row>
    <row r="2" spans="1:62" s="36" customFormat="1" x14ac:dyDescent="0.15">
      <c r="A2" s="36" t="s">
        <v>2145</v>
      </c>
      <c r="B2" s="36">
        <v>-19</v>
      </c>
      <c r="S2" s="36" t="str">
        <f>IF(ISBLANK(B2)=FALSE,IF(ISBLANK(B1),"},["&amp;B2&amp;"]={","["&amp;B2&amp;"]={"),IF(AND(ISBLANK(B2),ISBLANK(C2),ISBLANK(L2),ISBLANK(M2),OR(ISBLANK(B1)=FALSE,ISBLANK(C1)=FALSE,ISBLANK(L1)=FALSE,ISBLANK(M1)=FALSE)),"},},}",IF(ISBLANK(C2),"","{szContent="""&amp;C2&amp;""","&amp;IF(D2&lt;&gt;"","szNote="""&amp;D2&amp;""",","")&amp;IF(K2&lt;&gt;"","col={"&amp;K2&amp;"},","")&amp;IF(L2&gt;0,"bSearch=true,","")&amp;IF(M2&gt;0,"bReg=true,","")&amp;"[20]={"&amp;IF(N2&gt;0,"szVoice="""&amp;N2&amp;""",","")&amp;IF(O2&gt;0,"bTeamChannel=true,","")&amp;IF(P2&gt;0,"bWhisperChannel=true,","")&amp;IF(Q2&gt;0,"bCenterAlarm=true,","")&amp;IF(R2&gt;0,"bScreenHead=true,","")&amp;"},"&amp;IF(T2&lt;&gt;"","tCountdown={"&amp;_xlfn.TEXTJOIN("",TRUE,T2:AAE2)&amp;"},","")&amp;"},")))</f>
        <v>[-19]={</v>
      </c>
    </row>
    <row r="3" spans="1:62" s="36" customFormat="1" x14ac:dyDescent="0.15">
      <c r="C3" s="36" t="s">
        <v>1994</v>
      </c>
      <c r="D3" s="36" t="s">
        <v>1894</v>
      </c>
      <c r="L3" s="36">
        <v>1</v>
      </c>
      <c r="S3" s="36" t="str">
        <f t="shared" ref="S3:S66" si="0">IF(ISBLANK(B3)=FALSE,IF(ISBLANK(B2),"},["&amp;B3&amp;"]={","["&amp;B3&amp;"]={"),IF(AND(ISBLANK(B3),ISBLANK(C3),ISBLANK(L3),ISBLANK(M3),OR(ISBLANK(B2)=FALSE,ISBLANK(C2)=FALSE,ISBLANK(L2)=FALSE,ISBLANK(M2)=FALSE)),"},},}",IF(ISBLANK(C3),"","{szContent="""&amp;C3&amp;""","&amp;IF(D3&lt;&gt;"","szNote="""&amp;D3&amp;""",","")&amp;IF(K3&lt;&gt;"","col={"&amp;K3&amp;"},","")&amp;IF(L3&gt;0,"bSearch=true,","")&amp;IF(M3&gt;0,"bReg=true,","")&amp;"[20]={"&amp;IF(N3&gt;0,"szVoice="""&amp;N3&amp;""",","")&amp;IF(O3&gt;0,"bTeamChannel=true,","")&amp;IF(P3&gt;0,"bWhisperChannel=true,","")&amp;IF(Q3&gt;0,"bCenterAlarm=true,","")&amp;IF(R3&gt;0,"bScreenHead=true,","")&amp;"},"&amp;IF(T3&lt;&gt;"","tCountdown={"&amp;_xlfn.TEXTJOIN("",TRUE,T3:AAE3)&amp;"},","")&amp;"},")))</f>
        <v>{szContent="[团队监控]数据加载成功",szNote="关闭主场首领计时条·开启奇袭首领计时条",bSearch=true,[20]={},tCountdown={{nClass=20,nIcon=13,nFrame=-1,szName="",nTime=0.001,nRefresh=9999,key="谢渊·月弄痕·减伤",},{nClass=20,nIcon=13,nFrame=-1,szName="谢渊·月弄痕·减伤",nTime=-1,key="谢渊·月弄痕·减伤",},{nClass=20,nIcon=13,nFrame=-1,szName="",nTime=0.001,nRefresh=9999,key="谢渊·游驹·减伤",},{nClass=20,nIcon=13,nFrame=-1,szName="谢渊·游驹·减伤",nTime=-1,key="谢渊·游驹·减伤",},{nClass=20,nIcon=13,nFrame=-1,szName="",nTime=0.001,nRefresh=9999,key="谢渊·小七·减伤",},{nClass=20,nIcon=13,nFrame=-1,szName="谢渊·小七·减伤",nTime=-1,key="谢渊·小七·减伤",},{nClass=20,nIcon=13,nFrame=-1,szName="",nTime=0.001,nRefresh=9999,key="谢渊·张桎辕·减伤",},{nClass=20,nIcon=13,nFrame=-1,szName="谢渊·张桎辕·减伤",nTime=-1,key="谢渊·张桎辕·减伤",},{nClass=20,nIcon=13,nFrame=-1,szName="",nTime=0.001,nRefresh=9999,key="谢渊·司空仲平·减伤",},{nClass=20,nIcon=13,nFrame=-1,szName="谢渊·司空仲平·减伤",nTime=-1,key="谢渊·司空仲平·减伤",},{nClass=20,nIcon=13,nFrame=-1,szName="",nTime=0.001,nRefresh=9999,key="王遗风·司徒一一·减伤",},{nClass=20,nIcon=13,nFrame=-1,szName="王遗风·司徒一一·减伤",nTime=-1,key="王遗风·司徒一一·减伤",},{nClass=20,nIcon=13,nFrame=-1,szName="",nTime=0.001,nRefresh=9999,key="王遗风·白某·减伤",},{nClass=20,nIcon=13,nFrame=-1,szName="王遗风·白某·减伤",nTime=-1,key="王遗风·白某·减伤",},{nClass=20,nIcon=13,nFrame=-1,szName="",nTime=0.001,nRefresh=9999,key="王遗风·米丽古丽·减伤",},{nClass=20,nIcon=13,nFrame=-1,szName="王遗风·米丽古丽·减伤",nTime=-1,key="王遗风·米丽古丽·减伤",},{nClass=20,nIcon=13,nFrame=-1,szName="",nTime=0.001,nRefresh=9999,key="王遗风·陶寒亭·减伤",},{nClass=20,nIcon=13,nFrame=-1,szName="王遗风·陶寒亭·减伤",nTime=-1,key="王遗风·陶寒亭·减伤",},{nClass=20,nIcon=13,nFrame=-1,szName="",nTime=0.001,nRefresh=9999,key="王遗风·肖药儿·减伤",},{nClass=20,nIcon=13,nFrame=-1,szName="王遗风·肖药儿·减伤",nTime=-1,key="王遗风·肖药儿·减伤",},{nClass=20,nIcon=13,nFrame=-1,szName="王遗风·伊夜·减伤",nTime=-2,key="王遗风·伊夜·减伤",},{nClass=20,nIcon=13,nFrame=-1,szName="王遗风·丁丁·减伤",nTime=-2,key="王遗风·丁丁·减伤",},{nClass=20,nIcon=13,nFrame=-1,szName="王遗风·岳琅·减伤",nTime=-2,key="王遗风·岳琅·减伤",},{nClass=20,nIcon=13,nFrame=-1,szName="王遗风·毕罗巴·减伤",nTime=-2,key="王遗风·毕罗巴·减伤",},{nClass=20,nIcon=13,nFrame=-1,szName="王遗风·烟·减伤",nTime=-2,key="王遗风·烟·减伤",},{nClass=20,nIcon=13,nFrame=-1,szName="王遗风·独孤修·减伤",nTime=-2,key="王遗风·独孤修·减伤",},{nClass=20,nIcon=13,nFrame=-1,szName="谢渊·韩非池·减伤",nTime=-2,key="谢渊·韩非池·减伤",},{nClass=20,nIcon=13,nFrame=-1,szName="谢渊·赵紫儿·减伤",nTime=-2,key="谢渊·赵紫儿·减伤",},{nClass=20,nIcon=13,nFrame=-1,szName="谢渊·叶镜池·减伤",nTime=-2,key="谢渊·叶镜池·减伤",},{nClass=20,nIcon=13,nFrame=-1,szName="谢渊·郭珠·减伤",nTime=-2,key="谢渊·郭珠·减伤",},{nClass=20,nIcon=13,nFrame=-1,szName="谢渊·穆玄英·减伤",nTime=-2,key="谢渊·穆玄英·减伤",},{nClass=20,nIcon=13,nFrame=-1,szName="谢渊·影·减伤",nTime=-2,key="谢渊·影·减伤",},{nIcon=13,key="金水镇",nTime=-1,szName="金水镇",nClass=20,},{nIcon=13,key="巴陵县",nTime=-1,szName="巴陵县",nClass=20,},{nIcon=13,key="龙门荒漠",nTime=-1,szName="龙门荒漠",nClass=20,},{nIcon=13,key="南屏山",nTime=-1,szName="南屏山",nClass=20,},{nIcon=13,key="昆仑",nTime=-1,szName="昆仑",nClass=20,},{nIcon=13,key="白龙口",nTime=-1,szName="白龙口",nClass=20,},{nIcon=13,key="无量山",nTime=-1,szName="无量山",nClass=20,},{nIcon=13,key="黑龙沼",nTime=-1,szName="黑龙沼",nClass=20,},{nIcon=13,key="阴山大草原",nTime=-1,szName="阴山大草原",nClass=20,},{nIcon=13,key="黑戈壁",nTime=-1,szName="黑戈壁",nClass=20,},{nIcon=13,key="鲲鹏岛",nTime=-1,szName="鲲鹏岛",nClass=20,},},},</v>
      </c>
      <c r="T3" s="36" t="s">
        <v>2026</v>
      </c>
      <c r="U3" s="36" t="s">
        <v>1838</v>
      </c>
      <c r="V3" s="36" t="s">
        <v>2027</v>
      </c>
      <c r="W3" s="36" t="s">
        <v>1839</v>
      </c>
      <c r="X3" s="36" t="s">
        <v>2028</v>
      </c>
      <c r="Y3" s="36" t="s">
        <v>1840</v>
      </c>
      <c r="Z3" s="36" t="s">
        <v>2029</v>
      </c>
      <c r="AA3" s="36" t="s">
        <v>1842</v>
      </c>
      <c r="AB3" s="36" t="s">
        <v>2030</v>
      </c>
      <c r="AC3" s="36" t="s">
        <v>1841</v>
      </c>
      <c r="AD3" s="36" t="s">
        <v>2031</v>
      </c>
      <c r="AE3" s="36" t="s">
        <v>1950</v>
      </c>
      <c r="AF3" s="36" t="s">
        <v>2032</v>
      </c>
      <c r="AG3" s="36" t="s">
        <v>1843</v>
      </c>
      <c r="AH3" s="36" t="s">
        <v>2033</v>
      </c>
      <c r="AI3" s="36" t="s">
        <v>1844</v>
      </c>
      <c r="AJ3" s="36" t="s">
        <v>2034</v>
      </c>
      <c r="AK3" s="36" t="s">
        <v>1845</v>
      </c>
      <c r="AL3" s="36" t="s">
        <v>2035</v>
      </c>
      <c r="AM3" s="36" t="s">
        <v>1951</v>
      </c>
      <c r="AN3" s="36" t="s">
        <v>1995</v>
      </c>
      <c r="AO3" s="36" t="s">
        <v>1996</v>
      </c>
      <c r="AP3" s="36" t="s">
        <v>1997</v>
      </c>
      <c r="AQ3" s="36" t="s">
        <v>1998</v>
      </c>
      <c r="AR3" s="36" t="s">
        <v>1999</v>
      </c>
      <c r="AS3" s="36" t="s">
        <v>2000</v>
      </c>
      <c r="AT3" s="36" t="s">
        <v>2001</v>
      </c>
      <c r="AU3" s="36" t="s">
        <v>2002</v>
      </c>
      <c r="AV3" s="36" t="s">
        <v>2003</v>
      </c>
      <c r="AW3" s="36" t="s">
        <v>2004</v>
      </c>
      <c r="AX3" s="36" t="s">
        <v>2005</v>
      </c>
      <c r="AY3" s="36" t="s">
        <v>2006</v>
      </c>
      <c r="AZ3" s="36" t="s">
        <v>2062</v>
      </c>
      <c r="BA3" s="36" t="s">
        <v>2063</v>
      </c>
      <c r="BB3" s="36" t="s">
        <v>2064</v>
      </c>
      <c r="BC3" s="36" t="s">
        <v>2065</v>
      </c>
      <c r="BD3" s="36" t="s">
        <v>2066</v>
      </c>
      <c r="BE3" s="36" t="s">
        <v>2067</v>
      </c>
      <c r="BF3" s="36" t="s">
        <v>2068</v>
      </c>
      <c r="BG3" s="36" t="s">
        <v>2069</v>
      </c>
      <c r="BH3" s="36" t="s">
        <v>2070</v>
      </c>
      <c r="BI3" s="36" t="s">
        <v>2071</v>
      </c>
      <c r="BJ3" s="36" t="s">
        <v>2072</v>
      </c>
    </row>
    <row r="4" spans="1:62" x14ac:dyDescent="0.15">
      <c r="C4" t="s">
        <v>1582</v>
      </c>
      <c r="D4" t="s">
        <v>1583</v>
      </c>
      <c r="K4" t="s">
        <v>1435</v>
      </c>
      <c r="S4" s="36" t="str">
        <f t="shared" si="0"/>
        <v>{szContent="本场攻防“奇袭场”已结束，浩气盟侠士和恶人谷侠士经过一场恶战，势均力敌，最终打为平手，暂时休战！\n",szNote="奇袭场·平手",col={255,255,100,},[20]={},tCountdown={{nClass=20,nIcon=2401,nFrame=0,szName="奇袭场·平手",nTime=10,nRefresh=2,key="奇袭场",},{nClass=20,nIcon=17135,nFrame=0,szName="拾取间隔",nTime=0,key="拾取间隔",},},},</v>
      </c>
      <c r="T4" t="s">
        <v>1837</v>
      </c>
      <c r="U4" t="s">
        <v>1834</v>
      </c>
    </row>
    <row r="5" spans="1:62" x14ac:dyDescent="0.15">
      <c r="C5" t="s">
        <v>1581</v>
      </c>
      <c r="D5" t="s">
        <v>1584</v>
      </c>
      <c r="K5" t="s">
        <v>1435</v>
      </c>
      <c r="S5" s="36" t="str">
        <f t="shared" si="0"/>
        <v>{szContent="本场攻防“主战场”已结束，浩气盟侠士和恶人谷侠士经过一场恶战，势均力敌，最终打为平手，暂时休战！\n",szNote="主战场·平手",col={255,255,100,},[20]={},tCountdown={{nClass=20,nIcon=2401,nFrame=0,szName="主战场·平手",nTime=10,nRefresh=2,key="主战场",},{nClass=20,nIcon=17135,nFrame=0,szName="拾取间隔",nTime=0,key="拾取间隔",},},},</v>
      </c>
      <c r="T5" t="s">
        <v>1585</v>
      </c>
      <c r="U5" t="s">
        <v>1834</v>
      </c>
    </row>
    <row r="6" spans="1:62" x14ac:dyDescent="0.15">
      <c r="C6" t="s">
        <v>1577</v>
      </c>
      <c r="D6" t="s">
        <v>1579</v>
      </c>
      <c r="K6" t="s">
        <v>1435</v>
      </c>
      <c r="M6">
        <v>1</v>
      </c>
      <c r="S6" s="36" t="str">
        <f t="shared" si="0"/>
        <v>{szContent="^本场攻防“([主战奇袭场]+)”已结束，([浩气盟恶人谷]+)[侠士们众志成城和，]-([大完险胜]+)([浩气盟恶人谷]+)[！，]+",szNote="{$1}·{$2}{$3}",col={255,255,100,},bReg=true,[20]={},tCountdown={{nClass=20,nIcon=2400,nFrame=0,szName="{$1}·{$2}{$3}",nTime=10,nRefresh=2,key="{$1}",},{nClass=20,nIcon=13,nFrame=0,szName="拾取间隔",nTime=0,key="拾取间隔",},},},</v>
      </c>
      <c r="T6" t="s">
        <v>1578</v>
      </c>
      <c r="U6" t="s">
        <v>2149</v>
      </c>
    </row>
    <row r="7" spans="1:62" x14ac:dyDescent="0.15">
      <c r="C7" t="s">
        <v>1871</v>
      </c>
      <c r="D7" t="s">
        <v>1872</v>
      </c>
      <c r="K7" t="s">
        <v>1435</v>
      </c>
      <c r="Q7">
        <v>1</v>
      </c>
      <c r="S7" s="36" t="str">
        <f t="shared" si="0"/>
        <v>{szContent="本场恶人谷攻防即将结束，昆仑物资运送暂且休整，等待下一场攻防开启！\n",szNote="攻防即将结束",col={255,255,100,},[20]={bCenterAlarm=true,},tCountdown={{nClass=20,nIcon=2401,nFrame=0,szName="本场攻防即将结束",nTime=60,nRefresh=2,key="攻防活动",},},},</v>
      </c>
      <c r="T7" t="s">
        <v>1978</v>
      </c>
    </row>
    <row r="8" spans="1:62" x14ac:dyDescent="0.15">
      <c r="C8" t="s">
        <v>1870</v>
      </c>
      <c r="D8" t="s">
        <v>1872</v>
      </c>
      <c r="K8" t="s">
        <v>1435</v>
      </c>
      <c r="Q8">
        <v>1</v>
      </c>
      <c r="S8" s="36" t="str">
        <f t="shared" si="0"/>
        <v>{szContent="本场浩气盟攻防即将结束，南屏山物资运送暂且休整，等待下一场攻防开启！\n",szNote="攻防即将结束",col={255,255,100,},[20]={bCenterAlarm=true,},tCountdown={{nClass=20,nIcon=2401,nFrame=0,szName="本场攻防即将结束",nTime=60,nRefresh=2,key="攻防活动",},},},</v>
      </c>
      <c r="T8" t="s">
        <v>1978</v>
      </c>
    </row>
    <row r="9" spans="1:62" x14ac:dyDescent="0.15">
      <c r="C9" t="s">
        <v>1742</v>
      </c>
      <c r="D9" t="s">
        <v>1743</v>
      </c>
      <c r="K9" t="s">
        <v>1435</v>
      </c>
      <c r="L9">
        <v>1</v>
      </c>
      <c r="Q9">
        <v>1</v>
      </c>
      <c r="S9" s="36" t="str">
        <f t="shared" si="0"/>
        <v>{szContent="侠士 [{$me}] 在拾取复活点物资时意外获得了[便携装置·神机车]。",szNote="便携装置·神机车",col={255,255,100,},bSearch=true,[20]={bCenterAlarm=true,},tCountdown={{nClass=20,nIcon=134,nFrame=0,szName="获得[便携装置·神机车]",nTime=10,nRefresh=1,key="拾取复活点物资",},},},</v>
      </c>
      <c r="T9" t="s">
        <v>1878</v>
      </c>
    </row>
    <row r="10" spans="1:62" s="36" customFormat="1" x14ac:dyDescent="0.15">
      <c r="C10" s="36" t="s">
        <v>2008</v>
      </c>
      <c r="D10" s="36" t="s">
        <v>2009</v>
      </c>
      <c r="K10" s="36" t="s">
        <v>1435</v>
      </c>
      <c r="L10" s="36">
        <v>1</v>
      </c>
      <c r="S10" s="36" t="str">
        <f t="shared" si="0"/>
        <v>{szContent="浩气盟物资车已被拦截，车内装大量物资，望侠士们前来拾取，切莫错过。",szNote="浩气·物资车·被截",col={255,255,100,},bSearch=true,[20]={},tCountdown={{nClass=20,nIcon=2398,nFrame=3,szName="恶人·截车奖励",nTime=10,nRefresh=2,key="恶人·物资车·运达",},},},</v>
      </c>
      <c r="T10" s="36" t="s">
        <v>2010</v>
      </c>
    </row>
    <row r="11" spans="1:62" s="36" customFormat="1" x14ac:dyDescent="0.15">
      <c r="C11" s="36" t="s">
        <v>2011</v>
      </c>
      <c r="D11" s="36" t="s">
        <v>2012</v>
      </c>
      <c r="K11" s="36" t="s">
        <v>1435</v>
      </c>
      <c r="L11" s="36">
        <v>1</v>
      </c>
      <c r="S11" s="36" t="str">
        <f t="shared" si="0"/>
        <v>{szContent="恶人谷物资车已被拦截，车内装大量物资，望侠士们前来拾取，切莫错过。",szNote="恶人·物资车·被截",col={255,255,100,},bSearch=true,[20]={},tCountdown={{nClass=20,nIcon=2397,nFrame=7,szName="浩气·截车奖励",nTime=10,nRefresh=2,key="浩气·物资车·运达",},},},</v>
      </c>
      <c r="T11" s="36" t="s">
        <v>2013</v>
      </c>
    </row>
    <row r="12" spans="1:62" x14ac:dyDescent="0.15">
      <c r="C12" t="s">
        <v>1441</v>
      </c>
      <c r="D12" t="s">
        <v>1976</v>
      </c>
      <c r="K12" t="s">
        <v>1435</v>
      </c>
      <c r="M12">
        <v>1</v>
      </c>
      <c r="S12" s="36" t="str">
        <f t="shared" si="0"/>
        <v>{szContent="(.-)力不能敌，暂时败退。(.-)进攻顺利，此战有功，请即刻回营，准备下一步战略。",szNote="{$1}·败退|{$2}·回营",col={255,255,100,},bReg=true,[20]={},tCountdown={{nClass=20,nIcon=13,nFrame=7,szName="浩气·{$2}·助战",nTime=0,key="浩气·{$2}·助战",},{nClass=20,nIcon=13,nFrame=3,szName="恶人·{$2}·助战",nTime=0,key="恶人·{$2}·助战",},},},</v>
      </c>
      <c r="T12" t="s">
        <v>1442</v>
      </c>
      <c r="U12" t="s">
        <v>1443</v>
      </c>
    </row>
    <row r="13" spans="1:62" x14ac:dyDescent="0.15">
      <c r="C13" t="s">
        <v>1444</v>
      </c>
      <c r="D13" t="s">
        <v>1977</v>
      </c>
      <c r="K13" t="s">
        <v>1435</v>
      </c>
      <c r="M13">
        <v>1</v>
      </c>
      <c r="S13" s="36" t="str">
        <f t="shared" si="0"/>
        <v>{szContent="(.-)误入埋伏，防守不利，暂时败退。请(.-)暂且撤回驻守之地，务必小心防守。",szNote="{$1}·败退|{$2}·回防",col={255,255,100,},bReg=true,[20]={},tCountdown={{nClass=20,nIcon=13,nFrame=7,szName="浩气·{$2}·助战",nTime=0,key="浩气·{$2}·助战",},{nClass=20,nIcon=13,nFrame=3,szName="恶人·{$2}·助战",nTime=0,key="恶人·{$2}·助战",},},},</v>
      </c>
      <c r="T13" t="s">
        <v>1442</v>
      </c>
      <c r="U13" t="s">
        <v>1443</v>
      </c>
    </row>
    <row r="14" spans="1:62" x14ac:dyDescent="0.15">
      <c r="C14" t="s">
        <v>1445</v>
      </c>
      <c r="D14" t="s">
        <v>1580</v>
      </c>
      <c r="K14" t="s">
        <v>1435</v>
      </c>
      <c r="M14">
        <v>1</v>
      </c>
      <c r="S14" s="36" t="str">
        <f t="shared" si="0"/>
        <v>{szContent="(.-)出手协助众人酣战一场",szNote="{$1}·回防",col={255,255,100,},bReg=true,[20]={},tCountdown={{nClass=20,nIcon=13,nFrame=7,szName="浩气·{$1}·助战",nTime=0,key="浩气·{$1}·助战",},{nClass=20,nIcon=13,nFrame=3,szName="恶人·{$1}·助战",nTime=0,key="恶人·{$1}·助战",},},},</v>
      </c>
      <c r="T14" t="s">
        <v>1446</v>
      </c>
      <c r="U14" t="s">
        <v>1447</v>
      </c>
    </row>
    <row r="15" spans="1:62" x14ac:dyDescent="0.15">
      <c r="C15" t="s">
        <v>1574</v>
      </c>
      <c r="D15" t="s">
        <v>1575</v>
      </c>
      <c r="K15" t="s">
        <v>1435</v>
      </c>
      <c r="M15">
        <v>1</v>
      </c>
      <c r="Q15">
        <v>1</v>
      </c>
      <c r="S15" s="36" t="str">
        <f t="shared" si="0"/>
        <v>{szContent="战况焦灼，瞬息万变，([浩气恶人]+)[盟谷]-侠士%[(.-)%]特请%[(.-)%]前来助战",szNote="{$1}·正在召请·{$3}",col={255,255,100,},bReg=true,[20]={bCenterAlarm=true,},tCountdown={{nClass=20,nIcon=13345,nFrame=0,szName="{$1}·正在召请·{$3}",nTime=10,key="{$1}·{$3}·助战",},},},</v>
      </c>
      <c r="T15" t="s">
        <v>1609</v>
      </c>
    </row>
    <row r="16" spans="1:62" x14ac:dyDescent="0.15">
      <c r="C16" t="s">
        <v>1458</v>
      </c>
      <c r="D16" t="s">
        <v>1513</v>
      </c>
      <c r="E16" t="s">
        <v>1484</v>
      </c>
      <c r="F16" t="s">
        <v>1618</v>
      </c>
      <c r="G16" t="s">
        <v>1831</v>
      </c>
      <c r="H16" t="s">
        <v>1835</v>
      </c>
      <c r="I16" t="s">
        <v>1833</v>
      </c>
      <c r="J16" t="s">
        <v>1836</v>
      </c>
      <c r="K16" t="s">
        <v>1448</v>
      </c>
      <c r="L16">
        <v>1</v>
      </c>
      <c r="S16" s="36" t="str">
        <f t="shared" si="0"/>
        <v>{szContent="的带领下，成功击退韩非池！",szNote="奇袭·恶人·伊夜·击退·浩气·韩非池·首领",col={255,100,100,},bSearch=true,[20]={},tCountdown={{nClass=20,nIcon=18829,nFrame=7,szName="浩气·韩非池·退场",nTime=10,key="谢渊·韩非池·减伤",},{nClass=20,nIcon=2399,nFrame=2,szName="召请CD·伊夜",nTime=0,key="召请CD·伊夜",},{nClass=20,nIcon=14724,nFrame=3,szName="王遗风·伊夜·减伤",nTime="300,恶人·伊夜·减伤3层;600,恶人·伊夜·减伤2层;900,恶人·伊夜·减伤1层",nRefresh=0,key="王遗风·伊夜·减伤",},},},</v>
      </c>
      <c r="T16" t="str">
        <f>"{nClass=20,nIcon=18829,nFrame=7,szName="""&amp;""&amp;I16&amp;"·"&amp;J16&amp;"·退场"",nTime=10,key="&amp;"""谢渊·"&amp;J16&amp;"·减伤"""&amp;",},"</f>
        <v>{nClass=20,nIcon=18829,nFrame=7,szName="浩气·韩非池·退场",nTime=10,key="谢渊·韩非池·减伤",},</v>
      </c>
      <c r="U16" t="str">
        <f>"{nClass=20,nIcon=2399,nFrame=2,szName="&amp;"""召请CD·"&amp;H16&amp;""",nTime=0,key="&amp;"""召请CD·"&amp;H16&amp;""",},"</f>
        <v>{nClass=20,nIcon=2399,nFrame=2,szName="召请CD·伊夜",nTime=0,key="召请CD·伊夜",},</v>
      </c>
      <c r="V16" t="str">
        <f t="shared" ref="V16:V27" si="1">"{nClass=20,nIcon=14724,nFrame=3,szName="""&amp;E16&amp;"·"&amp;""&amp;H16&amp;"·减伤"""&amp;",nTime="&amp;"""300,"&amp;G16&amp;"·"&amp;H16&amp;"·减伤3层;600,"&amp;G16&amp;"·"&amp;H16&amp;"·减伤2层;900,"&amp;G16&amp;"·"&amp;H16&amp;"·减伤1层"""&amp;",nRefresh=0,key="""&amp;""&amp;E16&amp;"·"&amp;""&amp;H16&amp;"·减伤"""&amp;",},"</f>
        <v>{nClass=20,nIcon=14724,nFrame=3,szName="王遗风·伊夜·减伤",nTime="300,恶人·伊夜·减伤3层;600,恶人·伊夜·减伤2层;900,恶人·伊夜·减伤1层",nRefresh=0,key="王遗风·伊夜·减伤",},</v>
      </c>
    </row>
    <row r="17" spans="3:22" x14ac:dyDescent="0.15">
      <c r="C17" t="s">
        <v>1450</v>
      </c>
      <c r="D17" t="s">
        <v>1507</v>
      </c>
      <c r="E17" t="s">
        <v>1484</v>
      </c>
      <c r="F17" t="s">
        <v>1618</v>
      </c>
      <c r="G17" t="s">
        <v>1831</v>
      </c>
      <c r="H17" t="s">
        <v>1543</v>
      </c>
      <c r="I17" t="s">
        <v>1833</v>
      </c>
      <c r="J17" t="s">
        <v>1523</v>
      </c>
      <c r="K17" t="s">
        <v>1448</v>
      </c>
      <c r="L17">
        <v>1</v>
      </c>
      <c r="S17" s="36" t="str">
        <f t="shared" si="0"/>
        <v>{szContent="的带领下，成功击退赵紫儿！",szNote="奇袭·恶人·丁丁·击退·浩气·赵紫儿·首领",col={255,100,100,},bSearch=true,[20]={},tCountdown={{nClass=20,nIcon=18829,nFrame=7,szName="浩气·赵紫儿·退场",nTime=10,key="谢渊·赵紫儿·减伤",},{nClass=20,nIcon=2399,nFrame=2,szName="召请CD·丁丁",nTime=0,key="召请CD·丁丁",},{nClass=20,nIcon=14724,nFrame=3,szName="王遗风·丁丁·减伤",nTime="300,恶人·丁丁·减伤3层;600,恶人·丁丁·减伤2层;900,恶人·丁丁·减伤1层",nRefresh=0,key="王遗风·丁丁·减伤",},},},</v>
      </c>
      <c r="T17" t="str">
        <f t="shared" ref="T17:T27" si="2">"{nClass=20,nIcon=18829,nFrame=7,szName="""&amp;""&amp;I17&amp;"·"&amp;J17&amp;"·退场"",nTime=10,key="&amp;"""谢渊·"&amp;J17&amp;"·减伤"""&amp;",},"</f>
        <v>{nClass=20,nIcon=18829,nFrame=7,szName="浩气·赵紫儿·退场",nTime=10,key="谢渊·赵紫儿·减伤",},</v>
      </c>
      <c r="U17" t="str">
        <f t="shared" ref="U17:U39" si="3">"{nClass=20,nIcon=2399,nFrame=2,szName="&amp;"""召请CD·"&amp;H17&amp;""",nTime=0,key="&amp;"""召请CD·"&amp;H17&amp;""",},"</f>
        <v>{nClass=20,nIcon=2399,nFrame=2,szName="召请CD·丁丁",nTime=0,key="召请CD·丁丁",},</v>
      </c>
      <c r="V17" t="str">
        <f t="shared" si="1"/>
        <v>{nClass=20,nIcon=14724,nFrame=3,szName="王遗风·丁丁·减伤",nTime="300,恶人·丁丁·减伤3层;600,恶人·丁丁·减伤2层;900,恶人·丁丁·减伤1层",nRefresh=0,key="王遗风·丁丁·减伤",},</v>
      </c>
    </row>
    <row r="18" spans="3:22" x14ac:dyDescent="0.15">
      <c r="C18" t="s">
        <v>1451</v>
      </c>
      <c r="D18" t="s">
        <v>1505</v>
      </c>
      <c r="E18" t="s">
        <v>1484</v>
      </c>
      <c r="F18" t="s">
        <v>1618</v>
      </c>
      <c r="G18" t="s">
        <v>1831</v>
      </c>
      <c r="H18" t="s">
        <v>1535</v>
      </c>
      <c r="I18" t="s">
        <v>1833</v>
      </c>
      <c r="J18" t="s">
        <v>1524</v>
      </c>
      <c r="K18" t="s">
        <v>1448</v>
      </c>
      <c r="L18">
        <v>1</v>
      </c>
      <c r="S18" s="36" t="str">
        <f t="shared" si="0"/>
        <v>{szContent="的带领下，成功击退叶镜池！",szNote="奇袭·恶人·岳琅·击退·浩气·叶镜池·首领",col={255,100,100,},bSearch=true,[20]={},tCountdown={{nClass=20,nIcon=18829,nFrame=7,szName="浩气·叶镜池·退场",nTime=10,key="谢渊·叶镜池·减伤",},{nClass=20,nIcon=2399,nFrame=2,szName="召请CD·岳琅",nTime=0,key="召请CD·岳琅",},{nClass=20,nIcon=14724,nFrame=3,szName="王遗风·岳琅·减伤",nTime="300,恶人·岳琅·减伤3层;600,恶人·岳琅·减伤2层;900,恶人·岳琅·减伤1层",nRefresh=0,key="王遗风·岳琅·减伤",},},},</v>
      </c>
      <c r="T18" t="str">
        <f t="shared" si="2"/>
        <v>{nClass=20,nIcon=18829,nFrame=7,szName="浩气·叶镜池·退场",nTime=10,key="谢渊·叶镜池·减伤",},</v>
      </c>
      <c r="U18" t="str">
        <f t="shared" si="3"/>
        <v>{nClass=20,nIcon=2399,nFrame=2,szName="召请CD·岳琅",nTime=0,key="召请CD·岳琅",},</v>
      </c>
      <c r="V18" t="str">
        <f t="shared" si="1"/>
        <v>{nClass=20,nIcon=14724,nFrame=3,szName="王遗风·岳琅·减伤",nTime="300,恶人·岳琅·减伤3层;600,恶人·岳琅·减伤2层;900,恶人·岳琅·减伤1层",nRefresh=0,key="王遗风·岳琅·减伤",},</v>
      </c>
    </row>
    <row r="19" spans="3:22" x14ac:dyDescent="0.15">
      <c r="C19" t="s">
        <v>1452</v>
      </c>
      <c r="D19" t="s">
        <v>1509</v>
      </c>
      <c r="E19" t="s">
        <v>1484</v>
      </c>
      <c r="F19" t="s">
        <v>1618</v>
      </c>
      <c r="G19" t="s">
        <v>1831</v>
      </c>
      <c r="H19" t="s">
        <v>1536</v>
      </c>
      <c r="I19" t="s">
        <v>1833</v>
      </c>
      <c r="J19" t="s">
        <v>1525</v>
      </c>
      <c r="K19" t="s">
        <v>1448</v>
      </c>
      <c r="L19">
        <v>1</v>
      </c>
      <c r="S19" s="36" t="str">
        <f t="shared" si="0"/>
        <v>{szContent="的带领下，成功击退郭珠！",szNote="奇袭·恶人·毕罗巴·击退·浩气·郭珠·首领",col={255,100,100,},bSearch=true,[20]={},tCountdown={{nClass=20,nIcon=18829,nFrame=7,szName="浩气·郭珠·退场",nTime=10,key="谢渊·郭珠·减伤",},{nClass=20,nIcon=2399,nFrame=2,szName="召请CD·毕罗巴",nTime=0,key="召请CD·毕罗巴",},{nClass=20,nIcon=14724,nFrame=3,szName="王遗风·毕罗巴·减伤",nTime="300,恶人·毕罗巴·减伤3层;600,恶人·毕罗巴·减伤2层;900,恶人·毕罗巴·减伤1层",nRefresh=0,key="王遗风·毕罗巴·减伤",},},},</v>
      </c>
      <c r="T19" t="str">
        <f t="shared" si="2"/>
        <v>{nClass=20,nIcon=18829,nFrame=7,szName="浩气·郭珠·退场",nTime=10,key="谢渊·郭珠·减伤",},</v>
      </c>
      <c r="U19" t="str">
        <f t="shared" si="3"/>
        <v>{nClass=20,nIcon=2399,nFrame=2,szName="召请CD·毕罗巴",nTime=0,key="召请CD·毕罗巴",},</v>
      </c>
      <c r="V19" t="str">
        <f t="shared" si="1"/>
        <v>{nClass=20,nIcon=14724,nFrame=3,szName="王遗风·毕罗巴·减伤",nTime="300,恶人·毕罗巴·减伤3层;600,恶人·毕罗巴·减伤2层;900,恶人·毕罗巴·减伤1层",nRefresh=0,key="王遗风·毕罗巴·减伤",},</v>
      </c>
    </row>
    <row r="20" spans="3:22" x14ac:dyDescent="0.15">
      <c r="C20" t="s">
        <v>1453</v>
      </c>
      <c r="D20" t="s">
        <v>1514</v>
      </c>
      <c r="E20" t="s">
        <v>1484</v>
      </c>
      <c r="F20" t="s">
        <v>1618</v>
      </c>
      <c r="G20" t="s">
        <v>1831</v>
      </c>
      <c r="H20" t="s">
        <v>1534</v>
      </c>
      <c r="I20" t="s">
        <v>1833</v>
      </c>
      <c r="J20" t="s">
        <v>1526</v>
      </c>
      <c r="K20" t="s">
        <v>1448</v>
      </c>
      <c r="L20">
        <v>1</v>
      </c>
      <c r="S20" s="36" t="str">
        <f t="shared" si="0"/>
        <v>{szContent="的带领下，成功击退穆玄英！",szNote="奇袭·恶人·烟·击退·浩气·穆玄英·首领",col={255,100,100,},bSearch=true,[20]={},tCountdown={{nClass=20,nIcon=18829,nFrame=7,szName="浩气·穆玄英·退场",nTime=10,key="谢渊·穆玄英·减伤",},{nClass=20,nIcon=2399,nFrame=2,szName="召请CD·烟",nTime=0,key="召请CD·烟",},{nClass=20,nIcon=14724,nFrame=3,szName="王遗风·烟·减伤",nTime="300,恶人·烟·减伤3层;600,恶人·烟·减伤2层;900,恶人·烟·减伤1层",nRefresh=0,key="王遗风·烟·减伤",},},},</v>
      </c>
      <c r="T20" t="str">
        <f t="shared" si="2"/>
        <v>{nClass=20,nIcon=18829,nFrame=7,szName="浩气·穆玄英·退场",nTime=10,key="谢渊·穆玄英·减伤",},</v>
      </c>
      <c r="U20" t="str">
        <f t="shared" si="3"/>
        <v>{nClass=20,nIcon=2399,nFrame=2,szName="召请CD·烟",nTime=0,key="召请CD·烟",},</v>
      </c>
      <c r="V20" t="str">
        <f t="shared" si="1"/>
        <v>{nClass=20,nIcon=14724,nFrame=3,szName="王遗风·烟·减伤",nTime="300,恶人·烟·减伤3层;600,恶人·烟·减伤2层;900,恶人·烟·减伤1层",nRefresh=0,key="王遗风·烟·减伤",},</v>
      </c>
    </row>
    <row r="21" spans="3:22" x14ac:dyDescent="0.15">
      <c r="C21" t="s">
        <v>1449</v>
      </c>
      <c r="D21" t="s">
        <v>1511</v>
      </c>
      <c r="E21" t="s">
        <v>1484</v>
      </c>
      <c r="F21" t="s">
        <v>1618</v>
      </c>
      <c r="G21" t="s">
        <v>1831</v>
      </c>
      <c r="H21" t="s">
        <v>1537</v>
      </c>
      <c r="I21" t="s">
        <v>1833</v>
      </c>
      <c r="J21" t="s">
        <v>1528</v>
      </c>
      <c r="K21" t="s">
        <v>1448</v>
      </c>
      <c r="L21">
        <v>1</v>
      </c>
      <c r="S21" s="36" t="str">
        <f t="shared" si="0"/>
        <v>{szContent="的带领下，成功击退影！",szNote="奇袭·恶人·独孤修·击退·浩气·影·首领",col={255,100,100,},bSearch=true,[20]={},tCountdown={{nClass=20,nIcon=18829,nFrame=7,szName="浩气·影·退场",nTime=10,key="谢渊·影·减伤",},{nClass=20,nIcon=2399,nFrame=2,szName="召请CD·独孤修",nTime=0,key="召请CD·独孤修",},{nClass=20,nIcon=14724,nFrame=3,szName="王遗风·独孤修·减伤",nTime="300,恶人·独孤修·减伤3层;600,恶人·独孤修·减伤2层;900,恶人·独孤修·减伤1层",nRefresh=0,key="王遗风·独孤修·减伤",},},},</v>
      </c>
      <c r="T21" t="str">
        <f t="shared" si="2"/>
        <v>{nClass=20,nIcon=18829,nFrame=7,szName="浩气·影·退场",nTime=10,key="谢渊·影·减伤",},</v>
      </c>
      <c r="U21" t="str">
        <f t="shared" si="3"/>
        <v>{nClass=20,nIcon=2399,nFrame=2,szName="召请CD·独孤修",nTime=0,key="召请CD·独孤修",},</v>
      </c>
      <c r="V21" t="str">
        <f t="shared" si="1"/>
        <v>{nClass=20,nIcon=14724,nFrame=3,szName="王遗风·独孤修·减伤",nTime="300,恶人·独孤修·减伤3层;600,恶人·独孤修·减伤2层;900,恶人·独孤修·减伤1层",nRefresh=0,key="王遗风·独孤修·减伤",},</v>
      </c>
    </row>
    <row r="22" spans="3:22" x14ac:dyDescent="0.15">
      <c r="C22" t="s">
        <v>1461</v>
      </c>
      <c r="D22" t="s">
        <v>1476</v>
      </c>
      <c r="E22" t="s">
        <v>1484</v>
      </c>
      <c r="F22" t="s">
        <v>1619</v>
      </c>
      <c r="G22" t="s">
        <v>1831</v>
      </c>
      <c r="H22" t="s">
        <v>1483</v>
      </c>
      <c r="I22" t="s">
        <v>1833</v>
      </c>
      <c r="J22" t="s">
        <v>1485</v>
      </c>
      <c r="K22" t="s">
        <v>1448</v>
      </c>
      <c r="L22">
        <v>1</v>
      </c>
      <c r="S22" s="36" t="str">
        <f t="shared" si="0"/>
        <v>{szContent="的带领下，成功击退谢渊！",szNote="主场·恶人·王遗风·击退·浩气·谢渊·首领",col={255,100,100,},bSearch=true,[20]={},tCountdown={{nClass=20,nIcon=18829,nFrame=7,szName="浩气·谢渊·退场",nTime=10,key="谢渊·谢渊·减伤",},{nClass=20,nIcon=2399,nFrame=2,szName="召请CD·王遗风",nTime=0,key="召请CD·王遗风",},{nClass=20,nIcon=14724,nFrame=3,szName="王遗风·王遗风·减伤",nTime="300,恶人·王遗风·减伤3层;600,恶人·王遗风·减伤2层;900,恶人·王遗风·减伤1层",nRefresh=0,key="王遗风·王遗风·减伤",},},},</v>
      </c>
      <c r="T22" t="str">
        <f t="shared" si="2"/>
        <v>{nClass=20,nIcon=18829,nFrame=7,szName="浩气·谢渊·退场",nTime=10,key="谢渊·谢渊·减伤",},</v>
      </c>
      <c r="U22" t="str">
        <f t="shared" si="3"/>
        <v>{nClass=20,nIcon=2399,nFrame=2,szName="召请CD·王遗风",nTime=0,key="召请CD·王遗风",},</v>
      </c>
      <c r="V22" t="str">
        <f t="shared" si="1"/>
        <v>{nClass=20,nIcon=14724,nFrame=3,szName="王遗风·王遗风·减伤",nTime="300,恶人·王遗风·减伤3层;600,恶人·王遗风·减伤2层;900,恶人·王遗风·减伤1层",nRefresh=0,key="王遗风·王遗风·减伤",},</v>
      </c>
    </row>
    <row r="23" spans="3:22" x14ac:dyDescent="0.15">
      <c r="C23" t="s">
        <v>1462</v>
      </c>
      <c r="D23" t="s">
        <v>1472</v>
      </c>
      <c r="E23" t="s">
        <v>1484</v>
      </c>
      <c r="F23" t="s">
        <v>1619</v>
      </c>
      <c r="G23" t="s">
        <v>1831</v>
      </c>
      <c r="H23" t="s">
        <v>1630</v>
      </c>
      <c r="I23" t="s">
        <v>1833</v>
      </c>
      <c r="J23" t="s">
        <v>1529</v>
      </c>
      <c r="K23" t="s">
        <v>1448</v>
      </c>
      <c r="L23">
        <v>1</v>
      </c>
      <c r="S23" s="36" t="str">
        <f t="shared" si="0"/>
        <v>{szContent="的带领下，成功击退司空仲平！",szNote="主场·恶人·肖药儿·击退·浩气·司空仲平·首领",col={255,100,100,},bSearch=true,[20]={},tCountdown={{nClass=20,nIcon=18829,nFrame=7,szName="浩气·司空仲平·退场",nTime=10,key="谢渊·司空仲平·减伤",},{nClass=20,nIcon=2399,nFrame=2,szName="召请CD·肖药儿",nTime=0,key="召请CD·肖药儿",},{nClass=20,nIcon=14724,nFrame=3,szName="王遗风·肖药儿·减伤",nTime="300,恶人·肖药儿·减伤3层;600,恶人·肖药儿·减伤2层;900,恶人·肖药儿·减伤1层",nRefresh=0,key="王遗风·肖药儿·减伤",},},},</v>
      </c>
      <c r="T23" t="str">
        <f t="shared" si="2"/>
        <v>{nClass=20,nIcon=18829,nFrame=7,szName="浩气·司空仲平·退场",nTime=10,key="谢渊·司空仲平·减伤",},</v>
      </c>
      <c r="U23" t="str">
        <f t="shared" si="3"/>
        <v>{nClass=20,nIcon=2399,nFrame=2,szName="召请CD·肖药儿",nTime=0,key="召请CD·肖药儿",},</v>
      </c>
      <c r="V23" t="str">
        <f t="shared" si="1"/>
        <v>{nClass=20,nIcon=14724,nFrame=3,szName="王遗风·肖药儿·减伤",nTime="300,恶人·肖药儿·减伤3层;600,恶人·肖药儿·减伤2层;900,恶人·肖药儿·减伤1层",nRefresh=0,key="王遗风·肖药儿·减伤",},</v>
      </c>
    </row>
    <row r="24" spans="3:22" x14ac:dyDescent="0.15">
      <c r="C24" t="s">
        <v>1463</v>
      </c>
      <c r="D24" t="s">
        <v>1477</v>
      </c>
      <c r="E24" t="s">
        <v>1484</v>
      </c>
      <c r="F24" t="s">
        <v>1619</v>
      </c>
      <c r="G24" t="s">
        <v>1831</v>
      </c>
      <c r="H24" t="s">
        <v>1539</v>
      </c>
      <c r="I24" t="s">
        <v>1833</v>
      </c>
      <c r="J24" t="s">
        <v>1530</v>
      </c>
      <c r="K24" t="s">
        <v>1448</v>
      </c>
      <c r="L24">
        <v>1</v>
      </c>
      <c r="S24" s="36" t="str">
        <f t="shared" si="0"/>
        <v>{szContent="的带领下，成功击退月弄痕！",szNote="主场·恶人·司徒一一·击退·浩气·月弄痕·首领",col={255,100,100,},bSearch=true,[20]={},tCountdown={{nClass=20,nIcon=18829,nFrame=7,szName="浩气·月弄痕·退场",nTime=10,key="谢渊·月弄痕·减伤",},{nClass=20,nIcon=2399,nFrame=2,szName="召请CD·司徒一一",nTime=0,key="召请CD·司徒一一",},{nClass=20,nIcon=14724,nFrame=3,szName="王遗风·司徒一一·减伤",nTime="300,恶人·司徒一一·减伤3层;600,恶人·司徒一一·减伤2层;900,恶人·司徒一一·减伤1层",nRefresh=0,key="王遗风·司徒一一·减伤",},},},</v>
      </c>
      <c r="T24" t="str">
        <f t="shared" si="2"/>
        <v>{nClass=20,nIcon=18829,nFrame=7,szName="浩气·月弄痕·退场",nTime=10,key="谢渊·月弄痕·减伤",},</v>
      </c>
      <c r="U24" t="str">
        <f t="shared" si="3"/>
        <v>{nClass=20,nIcon=2399,nFrame=2,szName="召请CD·司徒一一",nTime=0,key="召请CD·司徒一一",},</v>
      </c>
      <c r="V24" t="str">
        <f t="shared" si="1"/>
        <v>{nClass=20,nIcon=14724,nFrame=3,szName="王遗风·司徒一一·减伤",nTime="300,恶人·司徒一一·减伤3层;600,恶人·司徒一一·减伤2层;900,恶人·司徒一一·减伤1层",nRefresh=0,key="王遗风·司徒一一·减伤",},</v>
      </c>
    </row>
    <row r="25" spans="3:22" x14ac:dyDescent="0.15">
      <c r="C25" t="s">
        <v>1464</v>
      </c>
      <c r="D25" t="s">
        <v>1473</v>
      </c>
      <c r="E25" t="s">
        <v>1484</v>
      </c>
      <c r="F25" t="s">
        <v>1619</v>
      </c>
      <c r="G25" t="s">
        <v>1831</v>
      </c>
      <c r="H25" t="s">
        <v>1541</v>
      </c>
      <c r="I25" t="s">
        <v>1833</v>
      </c>
      <c r="J25" t="s">
        <v>1531</v>
      </c>
      <c r="K25" t="s">
        <v>1448</v>
      </c>
      <c r="L25">
        <v>1</v>
      </c>
      <c r="S25" s="36" t="str">
        <f t="shared" si="0"/>
        <v>{szContent="的带领下，成功击退张桎辕！",szNote="主场·恶人·陶寒亭·击退·浩气·张桎辕·首领",col={255,100,100,},bSearch=true,[20]={},tCountdown={{nClass=20,nIcon=18829,nFrame=7,szName="浩气·张桎辕·退场",nTime=10,key="谢渊·张桎辕·减伤",},{nClass=20,nIcon=2399,nFrame=2,szName="召请CD·陶寒亭",nTime=0,key="召请CD·陶寒亭",},{nClass=20,nIcon=14724,nFrame=3,szName="王遗风·陶寒亭·减伤",nTime="300,恶人·陶寒亭·减伤3层;600,恶人·陶寒亭·减伤2层;900,恶人·陶寒亭·减伤1层",nRefresh=0,key="王遗风·陶寒亭·减伤",},},},</v>
      </c>
      <c r="T25" t="str">
        <f t="shared" si="2"/>
        <v>{nClass=20,nIcon=18829,nFrame=7,szName="浩气·张桎辕·退场",nTime=10,key="谢渊·张桎辕·减伤",},</v>
      </c>
      <c r="U25" t="str">
        <f t="shared" si="3"/>
        <v>{nClass=20,nIcon=2399,nFrame=2,szName="召请CD·陶寒亭",nTime=0,key="召请CD·陶寒亭",},</v>
      </c>
      <c r="V25" t="str">
        <f t="shared" si="1"/>
        <v>{nClass=20,nIcon=14724,nFrame=3,szName="王遗风·陶寒亭·减伤",nTime="300,恶人·陶寒亭·减伤3层;600,恶人·陶寒亭·减伤2层;900,恶人·陶寒亭·减伤1层",nRefresh=0,key="王遗风·陶寒亭·减伤",},</v>
      </c>
    </row>
    <row r="26" spans="3:22" x14ac:dyDescent="0.15">
      <c r="C26" t="s">
        <v>1471</v>
      </c>
      <c r="D26" t="s">
        <v>1474</v>
      </c>
      <c r="E26" t="s">
        <v>1484</v>
      </c>
      <c r="F26" t="s">
        <v>1619</v>
      </c>
      <c r="G26" t="s">
        <v>1831</v>
      </c>
      <c r="H26" t="s">
        <v>1544</v>
      </c>
      <c r="I26" t="s">
        <v>1833</v>
      </c>
      <c r="J26" t="s">
        <v>1532</v>
      </c>
      <c r="K26" t="s">
        <v>1448</v>
      </c>
      <c r="L26">
        <v>1</v>
      </c>
      <c r="S26" s="36" t="str">
        <f t="shared" si="0"/>
        <v>{szContent="的带领下，成功击退小七！",szNote="主场·恶人·米丽古丽·击退·浩气·小七·首领",col={255,100,100,},bSearch=true,[20]={},tCountdown={{nClass=20,nIcon=18829,nFrame=7,szName="浩气·小七·退场",nTime=10,key="谢渊·小七·减伤",},{nClass=20,nIcon=2399,nFrame=2,szName="召请CD·米丽古丽",nTime=0,key="召请CD·米丽古丽",},{nClass=20,nIcon=14724,nFrame=3,szName="王遗风·米丽古丽·减伤",nTime="300,恶人·米丽古丽·减伤3层;600,恶人·米丽古丽·减伤2层;900,恶人·米丽古丽·减伤1层",nRefresh=0,key="王遗风·米丽古丽·减伤",},},},</v>
      </c>
      <c r="T26" t="str">
        <f t="shared" si="2"/>
        <v>{nClass=20,nIcon=18829,nFrame=7,szName="浩气·小七·退场",nTime=10,key="谢渊·小七·减伤",},</v>
      </c>
      <c r="U26" t="str">
        <f t="shared" si="3"/>
        <v>{nClass=20,nIcon=2399,nFrame=2,szName="召请CD·米丽古丽",nTime=0,key="召请CD·米丽古丽",},</v>
      </c>
      <c r="V26" t="str">
        <f t="shared" si="1"/>
        <v>{nClass=20,nIcon=14724,nFrame=3,szName="王遗风·米丽古丽·减伤",nTime="300,恶人·米丽古丽·减伤3层;600,恶人·米丽古丽·减伤2层;900,恶人·米丽古丽·减伤1层",nRefresh=0,key="王遗风·米丽古丽·减伤",},</v>
      </c>
    </row>
    <row r="27" spans="3:22" x14ac:dyDescent="0.15">
      <c r="C27" t="s">
        <v>1460</v>
      </c>
      <c r="D27" t="s">
        <v>1475</v>
      </c>
      <c r="E27" t="s">
        <v>1484</v>
      </c>
      <c r="F27" t="s">
        <v>1619</v>
      </c>
      <c r="G27" t="s">
        <v>1831</v>
      </c>
      <c r="H27" t="s">
        <v>1540</v>
      </c>
      <c r="I27" t="s">
        <v>1833</v>
      </c>
      <c r="J27" t="s">
        <v>1533</v>
      </c>
      <c r="K27" t="s">
        <v>1448</v>
      </c>
      <c r="L27">
        <v>1</v>
      </c>
      <c r="S27" s="36" t="str">
        <f t="shared" si="0"/>
        <v>{szContent="的带领下，成功击退游驹！",szNote="主场·恶人·白某·击退·浩气·游驹·首领",col={255,100,100,},bSearch=true,[20]={},tCountdown={{nClass=20,nIcon=18829,nFrame=7,szName="浩气·游驹·退场",nTime=10,key="谢渊·游驹·减伤",},{nClass=20,nIcon=2399,nFrame=2,szName="召请CD·白某",nTime=0,key="召请CD·白某",},{nClass=20,nIcon=14724,nFrame=3,szName="王遗风·白某·减伤",nTime="300,恶人·白某·减伤3层;600,恶人·白某·减伤2层;900,恶人·白某·减伤1层",nRefresh=0,key="王遗风·白某·减伤",},},},</v>
      </c>
      <c r="T27" t="str">
        <f t="shared" si="2"/>
        <v>{nClass=20,nIcon=18829,nFrame=7,szName="浩气·游驹·退场",nTime=10,key="谢渊·游驹·减伤",},</v>
      </c>
      <c r="U27" t="str">
        <f t="shared" si="3"/>
        <v>{nClass=20,nIcon=2399,nFrame=2,szName="召请CD·白某",nTime=0,key="召请CD·白某",},</v>
      </c>
      <c r="V27" t="str">
        <f t="shared" si="1"/>
        <v>{nClass=20,nIcon=14724,nFrame=3,szName="王遗风·白某·减伤",nTime="300,恶人·白某·减伤3层;600,恶人·白某·减伤2层;900,恶人·白某·减伤1层",nRefresh=0,key="王遗风·白某·减伤",},</v>
      </c>
    </row>
    <row r="28" spans="3:22" x14ac:dyDescent="0.15">
      <c r="C28" t="s">
        <v>1459</v>
      </c>
      <c r="D28" t="s">
        <v>1512</v>
      </c>
      <c r="E28" t="s">
        <v>1486</v>
      </c>
      <c r="F28" t="s">
        <v>1618</v>
      </c>
      <c r="G28" t="s">
        <v>1833</v>
      </c>
      <c r="H28" t="s">
        <v>1527</v>
      </c>
      <c r="I28" t="s">
        <v>1831</v>
      </c>
      <c r="J28" t="s">
        <v>1538</v>
      </c>
      <c r="K28" t="s">
        <v>1515</v>
      </c>
      <c r="L28">
        <v>1</v>
      </c>
      <c r="S28" s="36" t="str">
        <f t="shared" si="0"/>
        <v>{szContent="的带领下，成功击退伊夜！",szNote="奇袭·浩气·韩非池·击退·恶人·伊夜·首领",col={100,100,255,},bSearch=true,[20]={},tCountdown={{nClass=20,nIcon=18830,nFrame=5,szName="恶人·伊夜·退场",nTime=10,key="王遗风·伊夜·减伤",},{nClass=20,nIcon=2399,nFrame=2,szName="召请CD·韩非池",nTime=0,key="召请CD·韩非池",},{nClass=20,nIcon=14724,nFrame=7,szName="谢渊·韩非池·减伤",nTime="300,浩气·韩非池·减伤3层;600,浩气·韩非池·减伤2层;900,浩气·韩非池·减伤1层",nRefresh=0,key="谢渊·韩非池·减伤",},},},</v>
      </c>
      <c r="T28" t="str">
        <f>"{nClass=20,nIcon=18830,nFrame=5,szName="""&amp;""&amp;I28&amp;"·"&amp;J28&amp;"·退场"",nTime=10,key="&amp;"""王遗风·"&amp;J28&amp;"·减伤"""&amp;",},"</f>
        <v>{nClass=20,nIcon=18830,nFrame=5,szName="恶人·伊夜·退场",nTime=10,key="王遗风·伊夜·减伤",},</v>
      </c>
      <c r="U28" t="str">
        <f t="shared" si="3"/>
        <v>{nClass=20,nIcon=2399,nFrame=2,szName="召请CD·韩非池",nTime=0,key="召请CD·韩非池",},</v>
      </c>
      <c r="V28" t="str">
        <f t="shared" ref="V28:V39" si="4">"{nClass=20,nIcon=14724,nFrame=7,szName="""&amp;E28&amp;"·"&amp;""&amp;H28&amp;"·减伤"""&amp;",nTime="&amp;"""300,"&amp;G28&amp;"·"&amp;H28&amp;"·减伤3层;600,"&amp;G28&amp;"·"&amp;H28&amp;"·减伤2层;900,"&amp;G28&amp;"·"&amp;H28&amp;"·减伤1层"""&amp;",nRefresh=0,key="""&amp;""&amp;E28&amp;"·"&amp;""&amp;H28&amp;"·减伤"""&amp;",},"</f>
        <v>{nClass=20,nIcon=14724,nFrame=7,szName="谢渊·韩非池·减伤",nTime="300,浩气·韩非池·减伤3层;600,浩气·韩非池·减伤2层;900,浩气·韩非池·减伤1层",nRefresh=0,key="谢渊·韩非池·减伤",},</v>
      </c>
    </row>
    <row r="29" spans="3:22" x14ac:dyDescent="0.15">
      <c r="C29" t="s">
        <v>1465</v>
      </c>
      <c r="D29" t="s">
        <v>1522</v>
      </c>
      <c r="E29" t="s">
        <v>1486</v>
      </c>
      <c r="F29" t="s">
        <v>1618</v>
      </c>
      <c r="G29" t="s">
        <v>1833</v>
      </c>
      <c r="H29" t="s">
        <v>1621</v>
      </c>
      <c r="I29" t="s">
        <v>1831</v>
      </c>
      <c r="J29" t="s">
        <v>1626</v>
      </c>
      <c r="K29" t="s">
        <v>1515</v>
      </c>
      <c r="L29">
        <v>1</v>
      </c>
      <c r="S29" s="36" t="str">
        <f t="shared" si="0"/>
        <v>{szContent="的带领下，成功击退烟！",szNote="奇袭·浩气·穆玄英·击退·恶人·烟·首领",col={100,100,255,},bSearch=true,[20]={},tCountdown={{nClass=20,nIcon=18830,nFrame=5,szName="恶人·烟·退场",nTime=10,key="王遗风·烟·减伤",},{nClass=20,nIcon=2399,nFrame=2,szName="召请CD·穆玄英",nTime=0,key="召请CD·穆玄英",},{nClass=20,nIcon=14724,nFrame=7,szName="谢渊·穆玄英·减伤",nTime="300,浩气·穆玄英·减伤3层;600,浩气·穆玄英·减伤2层;900,浩气·穆玄英·减伤1层",nRefresh=0,key="谢渊·穆玄英·减伤",},},},</v>
      </c>
      <c r="T29" t="str">
        <f t="shared" ref="T29:T39" si="5">"{nClass=20,nIcon=18830,nFrame=5,szName="""&amp;""&amp;I29&amp;"·"&amp;J29&amp;"·退场"",nTime=10,key="&amp;"""王遗风·"&amp;J29&amp;"·减伤"""&amp;",},"</f>
        <v>{nClass=20,nIcon=18830,nFrame=5,szName="恶人·烟·退场",nTime=10,key="王遗风·烟·减伤",},</v>
      </c>
      <c r="U29" t="str">
        <f t="shared" si="3"/>
        <v>{nClass=20,nIcon=2399,nFrame=2,szName="召请CD·穆玄英",nTime=0,key="召请CD·穆玄英",},</v>
      </c>
      <c r="V29" t="str">
        <f t="shared" si="4"/>
        <v>{nClass=20,nIcon=14724,nFrame=7,szName="谢渊·穆玄英·减伤",nTime="300,浩气·穆玄英·减伤3层;600,浩气·穆玄英·减伤2层;900,浩气·穆玄英·减伤1层",nRefresh=0,key="谢渊·穆玄英·减伤",},</v>
      </c>
    </row>
    <row r="30" spans="3:22" x14ac:dyDescent="0.15">
      <c r="C30" t="s">
        <v>1456</v>
      </c>
      <c r="D30" t="s">
        <v>1504</v>
      </c>
      <c r="E30" t="s">
        <v>1486</v>
      </c>
      <c r="F30" t="s">
        <v>1618</v>
      </c>
      <c r="G30" t="s">
        <v>1833</v>
      </c>
      <c r="H30" t="s">
        <v>1622</v>
      </c>
      <c r="I30" t="s">
        <v>1831</v>
      </c>
      <c r="J30" t="s">
        <v>1627</v>
      </c>
      <c r="K30" t="s">
        <v>1515</v>
      </c>
      <c r="L30">
        <v>1</v>
      </c>
      <c r="S30" s="36" t="str">
        <f t="shared" si="0"/>
        <v>{szContent="的带领下，成功击退岳琅！",szNote="奇袭·浩气·叶镜池·击退·恶人·岳琅·首领",col={100,100,255,},bSearch=true,[20]={},tCountdown={{nClass=20,nIcon=18830,nFrame=5,szName="恶人·岳琅·退场",nTime=10,key="王遗风·岳琅·减伤",},{nClass=20,nIcon=2399,nFrame=2,szName="召请CD·叶镜池",nTime=0,key="召请CD·叶镜池",},{nClass=20,nIcon=14724,nFrame=7,szName="谢渊·叶镜池·减伤",nTime="300,浩气·叶镜池·减伤3层;600,浩气·叶镜池·减伤2层;900,浩气·叶镜池·减伤1层",nRefresh=0,key="谢渊·叶镜池·减伤",},},},</v>
      </c>
      <c r="T30" t="str">
        <f t="shared" si="5"/>
        <v>{nClass=20,nIcon=18830,nFrame=5,szName="恶人·岳琅·退场",nTime=10,key="王遗风·岳琅·减伤",},</v>
      </c>
      <c r="U30" t="str">
        <f t="shared" si="3"/>
        <v>{nClass=20,nIcon=2399,nFrame=2,szName="召请CD·叶镜池",nTime=0,key="召请CD·叶镜池",},</v>
      </c>
      <c r="V30" t="str">
        <f t="shared" si="4"/>
        <v>{nClass=20,nIcon=14724,nFrame=7,szName="谢渊·叶镜池·减伤",nTime="300,浩气·叶镜池·减伤3层;600,浩气·叶镜池·减伤2层;900,浩气·叶镜池·减伤1层",nRefresh=0,key="谢渊·叶镜池·减伤",},</v>
      </c>
    </row>
    <row r="31" spans="3:22" x14ac:dyDescent="0.15">
      <c r="C31" t="s">
        <v>1457</v>
      </c>
      <c r="D31" t="s">
        <v>1506</v>
      </c>
      <c r="E31" t="s">
        <v>1486</v>
      </c>
      <c r="F31" t="s">
        <v>1618</v>
      </c>
      <c r="G31" t="s">
        <v>1833</v>
      </c>
      <c r="H31" t="s">
        <v>1523</v>
      </c>
      <c r="I31" t="s">
        <v>1831</v>
      </c>
      <c r="J31" t="s">
        <v>1543</v>
      </c>
      <c r="K31" t="s">
        <v>1515</v>
      </c>
      <c r="L31">
        <v>1</v>
      </c>
      <c r="S31" s="36" t="str">
        <f t="shared" si="0"/>
        <v>{szContent="的带领下，成功击退丁丁！",szNote="奇袭·浩气·赵紫儿·击退·恶人·丁丁·首领",col={100,100,255,},bSearch=true,[20]={},tCountdown={{nClass=20,nIcon=18830,nFrame=5,szName="恶人·丁丁·退场",nTime=10,key="王遗风·丁丁·减伤",},{nClass=20,nIcon=2399,nFrame=2,szName="召请CD·赵紫儿",nTime=0,key="召请CD·赵紫儿",},{nClass=20,nIcon=14724,nFrame=7,szName="谢渊·赵紫儿·减伤",nTime="300,浩气·赵紫儿·减伤3层;600,浩气·赵紫儿·减伤2层;900,浩气·赵紫儿·减伤1层",nRefresh=0,key="谢渊·赵紫儿·减伤",},},},</v>
      </c>
      <c r="T31" t="str">
        <f t="shared" si="5"/>
        <v>{nClass=20,nIcon=18830,nFrame=5,szName="恶人·丁丁·退场",nTime=10,key="王遗风·丁丁·减伤",},</v>
      </c>
      <c r="U31" t="str">
        <f t="shared" si="3"/>
        <v>{nClass=20,nIcon=2399,nFrame=2,szName="召请CD·赵紫儿",nTime=0,key="召请CD·赵紫儿",},</v>
      </c>
      <c r="V31" t="str">
        <f t="shared" si="4"/>
        <v>{nClass=20,nIcon=14724,nFrame=7,szName="谢渊·赵紫儿·减伤",nTime="300,浩气·赵紫儿·减伤3层;600,浩气·赵紫儿·减伤2层;900,浩气·赵紫儿·减伤1层",nRefresh=0,key="谢渊·赵紫儿·减伤",},</v>
      </c>
    </row>
    <row r="32" spans="3:22" x14ac:dyDescent="0.15">
      <c r="C32" t="s">
        <v>1454</v>
      </c>
      <c r="D32" t="s">
        <v>1508</v>
      </c>
      <c r="E32" t="s">
        <v>1486</v>
      </c>
      <c r="F32" t="s">
        <v>1618</v>
      </c>
      <c r="G32" t="s">
        <v>1833</v>
      </c>
      <c r="H32" t="s">
        <v>1624</v>
      </c>
      <c r="I32" t="s">
        <v>1831</v>
      </c>
      <c r="J32" t="s">
        <v>1628</v>
      </c>
      <c r="K32" t="s">
        <v>1515</v>
      </c>
      <c r="L32">
        <v>1</v>
      </c>
      <c r="S32" s="36" t="str">
        <f t="shared" si="0"/>
        <v>{szContent="的带领下，成功击退毕罗巴！",szNote="奇袭·浩气·郭珠·击退·恶人·毕罗巴·首领",col={100,100,255,},bSearch=true,[20]={},tCountdown={{nClass=20,nIcon=18830,nFrame=5,szName="恶人·毕罗巴·退场",nTime=10,key="王遗风·毕罗巴·减伤",},{nClass=20,nIcon=2399,nFrame=2,szName="召请CD·郭珠",nTime=0,key="召请CD·郭珠",},{nClass=20,nIcon=14724,nFrame=7,szName="谢渊·郭珠·减伤",nTime="300,浩气·郭珠·减伤3层;600,浩气·郭珠·减伤2层;900,浩气·郭珠·减伤1层",nRefresh=0,key="谢渊·郭珠·减伤",},},},</v>
      </c>
      <c r="T32" t="str">
        <f t="shared" si="5"/>
        <v>{nClass=20,nIcon=18830,nFrame=5,szName="恶人·毕罗巴·退场",nTime=10,key="王遗风·毕罗巴·减伤",},</v>
      </c>
      <c r="U32" t="str">
        <f t="shared" si="3"/>
        <v>{nClass=20,nIcon=2399,nFrame=2,szName="召请CD·郭珠",nTime=0,key="召请CD·郭珠",},</v>
      </c>
      <c r="V32" t="str">
        <f t="shared" si="4"/>
        <v>{nClass=20,nIcon=14724,nFrame=7,szName="谢渊·郭珠·减伤",nTime="300,浩气·郭珠·减伤3层;600,浩气·郭珠·减伤2层;900,浩气·郭珠·减伤1层",nRefresh=0,key="谢渊·郭珠·减伤",},</v>
      </c>
    </row>
    <row r="33" spans="1:65" x14ac:dyDescent="0.15">
      <c r="C33" t="s">
        <v>1455</v>
      </c>
      <c r="D33" t="s">
        <v>1510</v>
      </c>
      <c r="E33" t="s">
        <v>1486</v>
      </c>
      <c r="F33" t="s">
        <v>1618</v>
      </c>
      <c r="G33" t="s">
        <v>1833</v>
      </c>
      <c r="H33" t="s">
        <v>1623</v>
      </c>
      <c r="I33" t="s">
        <v>1831</v>
      </c>
      <c r="J33" t="s">
        <v>1625</v>
      </c>
      <c r="K33" t="s">
        <v>1515</v>
      </c>
      <c r="L33">
        <v>1</v>
      </c>
      <c r="S33" s="36" t="str">
        <f t="shared" si="0"/>
        <v>{szContent="的带领下，成功击退独孤修！",szNote="奇袭·浩气·影·击退·恶人·独孤修·首领",col={100,100,255,},bSearch=true,[20]={},tCountdown={{nClass=20,nIcon=18830,nFrame=5,szName="恶人·独孤修·退场",nTime=10,key="王遗风·独孤修·减伤",},{nClass=20,nIcon=2399,nFrame=2,szName="召请CD·影",nTime=0,key="召请CD·影",},{nClass=20,nIcon=14724,nFrame=7,szName="谢渊·影·减伤",nTime="300,浩气·影·减伤3层;600,浩气·影·减伤2层;900,浩气·影·减伤1层",nRefresh=0,key="谢渊·影·减伤",},},},</v>
      </c>
      <c r="T33" t="str">
        <f t="shared" si="5"/>
        <v>{nClass=20,nIcon=18830,nFrame=5,szName="恶人·独孤修·退场",nTime=10,key="王遗风·独孤修·减伤",},</v>
      </c>
      <c r="U33" t="str">
        <f t="shared" si="3"/>
        <v>{nClass=20,nIcon=2399,nFrame=2,szName="召请CD·影",nTime=0,key="召请CD·影",},</v>
      </c>
      <c r="V33" t="str">
        <f t="shared" si="4"/>
        <v>{nClass=20,nIcon=14724,nFrame=7,szName="谢渊·影·减伤",nTime="300,浩气·影·减伤3层;600,浩气·影·减伤2层;900,浩气·影·减伤1层",nRefresh=0,key="谢渊·影·减伤",},</v>
      </c>
    </row>
    <row r="34" spans="1:65" x14ac:dyDescent="0.15">
      <c r="C34" t="s">
        <v>1468</v>
      </c>
      <c r="D34" t="s">
        <v>1521</v>
      </c>
      <c r="E34" t="s">
        <v>1486</v>
      </c>
      <c r="F34" t="s">
        <v>1619</v>
      </c>
      <c r="G34" t="s">
        <v>1833</v>
      </c>
      <c r="H34" t="s">
        <v>1485</v>
      </c>
      <c r="I34" t="s">
        <v>1831</v>
      </c>
      <c r="J34" t="s">
        <v>1483</v>
      </c>
      <c r="K34" t="s">
        <v>1515</v>
      </c>
      <c r="L34">
        <v>1</v>
      </c>
      <c r="S34" s="36" t="str">
        <f t="shared" si="0"/>
        <v>{szContent="的带领下，成功击退王遗风！",szNote="主场·浩气·谢渊·击退·恶人·王遗风·首领",col={100,100,255,},bSearch=true,[20]={},tCountdown={{nClass=20,nIcon=18830,nFrame=5,szName="恶人·王遗风·退场",nTime=10,key="王遗风·王遗风·减伤",},{nClass=20,nIcon=2399,nFrame=2,szName="召请CD·谢渊",nTime=0,key="召请CD·谢渊",},{nClass=20,nIcon=14724,nFrame=7,szName="谢渊·谢渊·减伤",nTime="300,浩气·谢渊·减伤3层;600,浩气·谢渊·减伤2层;900,浩气·谢渊·减伤1层",nRefresh=0,key="谢渊·谢渊·减伤",},},},</v>
      </c>
      <c r="T34" t="str">
        <f t="shared" si="5"/>
        <v>{nClass=20,nIcon=18830,nFrame=5,szName="恶人·王遗风·退场",nTime=10,key="王遗风·王遗风·减伤",},</v>
      </c>
      <c r="U34" t="str">
        <f t="shared" si="3"/>
        <v>{nClass=20,nIcon=2399,nFrame=2,szName="召请CD·谢渊",nTime=0,key="召请CD·谢渊",},</v>
      </c>
      <c r="V34" t="str">
        <f t="shared" si="4"/>
        <v>{nClass=20,nIcon=14724,nFrame=7,szName="谢渊·谢渊·减伤",nTime="300,浩气·谢渊·减伤3层;600,浩气·谢渊·减伤2层;900,浩气·谢渊·减伤1层",nRefresh=0,key="谢渊·谢渊·减伤",},</v>
      </c>
    </row>
    <row r="35" spans="1:65" x14ac:dyDescent="0.15">
      <c r="C35" t="s">
        <v>1470</v>
      </c>
      <c r="D35" t="s">
        <v>1516</v>
      </c>
      <c r="E35" t="s">
        <v>1486</v>
      </c>
      <c r="F35" t="s">
        <v>1619</v>
      </c>
      <c r="G35" t="s">
        <v>1833</v>
      </c>
      <c r="H35" t="s">
        <v>1631</v>
      </c>
      <c r="I35" t="s">
        <v>1831</v>
      </c>
      <c r="J35" t="s">
        <v>1539</v>
      </c>
      <c r="K35" t="s">
        <v>1515</v>
      </c>
      <c r="L35">
        <v>1</v>
      </c>
      <c r="S35" s="36" t="str">
        <f t="shared" si="0"/>
        <v>{szContent="的带领下，成功击退司徒一一！",szNote="主场·浩气·月弄痕·击退·恶人·司徒一一·首领",col={100,100,255,},bSearch=true,[20]={},tCountdown={{nClass=20,nIcon=18830,nFrame=5,szName="恶人·司徒一一·退场",nTime=10,key="王遗风·司徒一一·减伤",},{nClass=20,nIcon=2399,nFrame=2,szName="召请CD·月弄痕",nTime=0,key="召请CD·月弄痕",},{nClass=20,nIcon=14724,nFrame=7,szName="谢渊·月弄痕·减伤",nTime="300,浩气·月弄痕·减伤3层;600,浩气·月弄痕·减伤2层;900,浩气·月弄痕·减伤1层",nRefresh=0,key="谢渊·月弄痕·减伤",},},},</v>
      </c>
      <c r="T35" t="str">
        <f t="shared" si="5"/>
        <v>{nClass=20,nIcon=18830,nFrame=5,szName="恶人·司徒一一·退场",nTime=10,key="王遗风·司徒一一·减伤",},</v>
      </c>
      <c r="U35" t="str">
        <f t="shared" si="3"/>
        <v>{nClass=20,nIcon=2399,nFrame=2,szName="召请CD·月弄痕",nTime=0,key="召请CD·月弄痕",},</v>
      </c>
      <c r="V35" t="str">
        <f t="shared" si="4"/>
        <v>{nClass=20,nIcon=14724,nFrame=7,szName="谢渊·月弄痕·减伤",nTime="300,浩气·月弄痕·减伤3层;600,浩气·月弄痕·减伤2层;900,浩气·月弄痕·减伤1层",nRefresh=0,key="谢渊·月弄痕·减伤",},</v>
      </c>
    </row>
    <row r="36" spans="1:65" x14ac:dyDescent="0.15">
      <c r="C36" t="s">
        <v>1469</v>
      </c>
      <c r="D36" t="s">
        <v>1517</v>
      </c>
      <c r="E36" t="s">
        <v>1486</v>
      </c>
      <c r="F36" t="s">
        <v>1619</v>
      </c>
      <c r="G36" t="s">
        <v>1833</v>
      </c>
      <c r="H36" t="s">
        <v>1632</v>
      </c>
      <c r="I36" t="s">
        <v>1831</v>
      </c>
      <c r="J36" t="s">
        <v>1540</v>
      </c>
      <c r="K36" t="s">
        <v>1515</v>
      </c>
      <c r="L36">
        <v>1</v>
      </c>
      <c r="S36" s="36" t="str">
        <f t="shared" si="0"/>
        <v>{szContent="的带领下，成功击退白某！",szNote="主场·浩气·游驹·击退·恶人·白某·首领",col={100,100,255,},bSearch=true,[20]={},tCountdown={{nClass=20,nIcon=18830,nFrame=5,szName="恶人·白某·退场",nTime=10,key="王遗风·白某·减伤",},{nClass=20,nIcon=2399,nFrame=2,szName="召请CD·游驹",nTime=0,key="召请CD·游驹",},{nClass=20,nIcon=14724,nFrame=7,szName="谢渊·游驹·减伤",nTime="300,浩气·游驹·减伤3层;600,浩气·游驹·减伤2层;900,浩气·游驹·减伤1层",nRefresh=0,key="谢渊·游驹·减伤",},},},</v>
      </c>
      <c r="T36" t="str">
        <f t="shared" si="5"/>
        <v>{nClass=20,nIcon=18830,nFrame=5,szName="恶人·白某·退场",nTime=10,key="王遗风·白某·减伤",},</v>
      </c>
      <c r="U36" t="str">
        <f t="shared" si="3"/>
        <v>{nClass=20,nIcon=2399,nFrame=2,szName="召请CD·游驹",nTime=0,key="召请CD·游驹",},</v>
      </c>
      <c r="V36" t="str">
        <f t="shared" si="4"/>
        <v>{nClass=20,nIcon=14724,nFrame=7,szName="谢渊·游驹·减伤",nTime="300,浩气·游驹·减伤3层;600,浩气·游驹·减伤2层;900,浩气·游驹·减伤1层",nRefresh=0,key="谢渊·游驹·减伤",},</v>
      </c>
    </row>
    <row r="37" spans="1:65" x14ac:dyDescent="0.15">
      <c r="C37" t="s">
        <v>1620</v>
      </c>
      <c r="D37" t="s">
        <v>1518</v>
      </c>
      <c r="E37" t="s">
        <v>1486</v>
      </c>
      <c r="F37" t="s">
        <v>1619</v>
      </c>
      <c r="G37" t="s">
        <v>1833</v>
      </c>
      <c r="H37" t="s">
        <v>1532</v>
      </c>
      <c r="I37" t="s">
        <v>1831</v>
      </c>
      <c r="J37" t="s">
        <v>1544</v>
      </c>
      <c r="K37" t="s">
        <v>1515</v>
      </c>
      <c r="L37">
        <v>1</v>
      </c>
      <c r="S37" s="36" t="str">
        <f t="shared" si="0"/>
        <v>{szContent="的带领下，成功击退米丽古丽！",szNote="主场·浩气·小七·击退·恶人·米丽古丽·首领",col={100,100,255,},bSearch=true,[20]={},tCountdown={{nClass=20,nIcon=18830,nFrame=5,szName="恶人·米丽古丽·退场",nTime=10,key="王遗风·米丽古丽·减伤",},{nClass=20,nIcon=2399,nFrame=2,szName="召请CD·小七",nTime=0,key="召请CD·小七",},{nClass=20,nIcon=14724,nFrame=7,szName="谢渊·小七·减伤",nTime="300,浩气·小七·减伤3层;600,浩气·小七·减伤2层;900,浩气·小七·减伤1层",nRefresh=0,key="谢渊·小七·减伤",},},},</v>
      </c>
      <c r="T37" t="str">
        <f t="shared" si="5"/>
        <v>{nClass=20,nIcon=18830,nFrame=5,szName="恶人·米丽古丽·退场",nTime=10,key="王遗风·米丽古丽·减伤",},</v>
      </c>
      <c r="U37" t="str">
        <f t="shared" si="3"/>
        <v>{nClass=20,nIcon=2399,nFrame=2,szName="召请CD·小七",nTime=0,key="召请CD·小七",},</v>
      </c>
      <c r="V37" t="str">
        <f t="shared" si="4"/>
        <v>{nClass=20,nIcon=14724,nFrame=7,szName="谢渊·小七·减伤",nTime="300,浩气·小七·减伤3层;600,浩气·小七·减伤2层;900,浩气·小七·减伤1层",nRefresh=0,key="谢渊·小七·减伤",},</v>
      </c>
    </row>
    <row r="38" spans="1:65" x14ac:dyDescent="0.15">
      <c r="C38" t="s">
        <v>1467</v>
      </c>
      <c r="D38" t="s">
        <v>1519</v>
      </c>
      <c r="E38" t="s">
        <v>1486</v>
      </c>
      <c r="F38" t="s">
        <v>1619</v>
      </c>
      <c r="G38" t="s">
        <v>1833</v>
      </c>
      <c r="H38" t="s">
        <v>1531</v>
      </c>
      <c r="I38" t="s">
        <v>1831</v>
      </c>
      <c r="J38" t="s">
        <v>1541</v>
      </c>
      <c r="K38" t="s">
        <v>1515</v>
      </c>
      <c r="L38">
        <v>1</v>
      </c>
      <c r="S38" s="36" t="str">
        <f t="shared" si="0"/>
        <v>{szContent="的带领下，成功击退陶寒亭！",szNote="主场·浩气·张桎辕·击退·恶人·陶寒亭·首领",col={100,100,255,},bSearch=true,[20]={},tCountdown={{nClass=20,nIcon=18830,nFrame=5,szName="恶人·陶寒亭·退场",nTime=10,key="王遗风·陶寒亭·减伤",},{nClass=20,nIcon=2399,nFrame=2,szName="召请CD·张桎辕",nTime=0,key="召请CD·张桎辕",},{nClass=20,nIcon=14724,nFrame=7,szName="谢渊·张桎辕·减伤",nTime="300,浩气·张桎辕·减伤3层;600,浩气·张桎辕·减伤2层;900,浩气·张桎辕·减伤1层",nRefresh=0,key="谢渊·张桎辕·减伤",},},},</v>
      </c>
      <c r="T38" t="str">
        <f t="shared" si="5"/>
        <v>{nClass=20,nIcon=18830,nFrame=5,szName="恶人·陶寒亭·退场",nTime=10,key="王遗风·陶寒亭·减伤",},</v>
      </c>
      <c r="U38" t="str">
        <f t="shared" si="3"/>
        <v>{nClass=20,nIcon=2399,nFrame=2,szName="召请CD·张桎辕",nTime=0,key="召请CD·张桎辕",},</v>
      </c>
      <c r="V38" t="str">
        <f t="shared" si="4"/>
        <v>{nClass=20,nIcon=14724,nFrame=7,szName="谢渊·张桎辕·减伤",nTime="300,浩气·张桎辕·减伤3层;600,浩气·张桎辕·减伤2层;900,浩气·张桎辕·减伤1层",nRefresh=0,key="谢渊·张桎辕·减伤",},</v>
      </c>
    </row>
    <row r="39" spans="1:65" x14ac:dyDescent="0.15">
      <c r="C39" t="s">
        <v>1466</v>
      </c>
      <c r="D39" t="s">
        <v>1520</v>
      </c>
      <c r="E39" t="s">
        <v>1486</v>
      </c>
      <c r="F39" t="s">
        <v>1619</v>
      </c>
      <c r="G39" t="s">
        <v>1833</v>
      </c>
      <c r="H39" t="s">
        <v>1529</v>
      </c>
      <c r="I39" t="s">
        <v>1831</v>
      </c>
      <c r="J39" t="s">
        <v>1542</v>
      </c>
      <c r="K39" t="s">
        <v>1515</v>
      </c>
      <c r="L39">
        <v>1</v>
      </c>
      <c r="S39" s="36" t="str">
        <f t="shared" si="0"/>
        <v>{szContent="的带领下，成功击退肖药儿！",szNote="主场·浩气·司空仲平·击退·恶人·肖药儿·首领",col={100,100,255,},bSearch=true,[20]={},tCountdown={{nClass=20,nIcon=18830,nFrame=5,szName="恶人·肖药儿·退场",nTime=10,key="王遗风·肖药儿·减伤",},{nClass=20,nIcon=2399,nFrame=2,szName="召请CD·司空仲平",nTime=0,key="召请CD·司空仲平",},{nClass=20,nIcon=14724,nFrame=7,szName="谢渊·司空仲平·减伤",nTime="300,浩气·司空仲平·减伤3层;600,浩气·司空仲平·减伤2层;900,浩气·司空仲平·减伤1层",nRefresh=0,key="谢渊·司空仲平·减伤",},},},</v>
      </c>
      <c r="T39" t="str">
        <f t="shared" si="5"/>
        <v>{nClass=20,nIcon=18830,nFrame=5,szName="恶人·肖药儿·退场",nTime=10,key="王遗风·肖药儿·减伤",},</v>
      </c>
      <c r="U39" t="str">
        <f t="shared" si="3"/>
        <v>{nClass=20,nIcon=2399,nFrame=2,szName="召请CD·司空仲平",nTime=0,key="召请CD·司空仲平",},</v>
      </c>
      <c r="V39" t="str">
        <f t="shared" si="4"/>
        <v>{nClass=20,nIcon=14724,nFrame=7,szName="谢渊·司空仲平·减伤",nTime="300,浩气·司空仲平·减伤3层;600,浩气·司空仲平·减伤2层;900,浩气·司空仲平·减伤1层",nRefresh=0,key="谢渊·司空仲平·减伤",},</v>
      </c>
    </row>
    <row r="40" spans="1:65" x14ac:dyDescent="0.15">
      <c r="A40" t="s">
        <v>619</v>
      </c>
      <c r="B40">
        <v>25</v>
      </c>
      <c r="S40" s="36" t="str">
        <f t="shared" si="0"/>
        <v>},[25]={</v>
      </c>
    </row>
    <row r="41" spans="1:65" x14ac:dyDescent="0.15">
      <c r="C41" t="s">
        <v>1629</v>
      </c>
      <c r="D41" t="s">
        <v>1894</v>
      </c>
      <c r="S41" s="36" t="str">
        <f t="shared" si="0"/>
        <v>{szContent="你已进入地图【浩气盟】。",szNote="关闭主场首领计时条·开启奇袭首领计时条",[20]={},tCountdown={{nClass=20,nIcon=13,nFrame=-1,szName="",nTime=0.001,nRefresh=9999,key="谢渊·月弄痕·减伤",},{nClass=20,nIcon=13,nFrame=-1,szName="谢渊·月弄痕·减伤",nTime=-1,key="谢渊·月弄痕·减伤",},{nClass=20,nIcon=13,nFrame=-1,szName="",nTime=0.001,nRefresh=9999,key="谢渊·游驹·减伤",},{nClass=20,nIcon=13,nFrame=-1,szName="谢渊·游驹·减伤",nTime=-1,key="谢渊·游驹·减伤",},{nClass=20,nIcon=13,nFrame=-1,szName="",nTime=0.001,nRefresh=9999,key="谢渊·小七·减伤",},{nClass=20,nIcon=13,nFrame=-1,szName="谢渊·小七·减伤",nTime=-1,key="谢渊·小七·减伤",},{nClass=20,nIcon=13,nFrame=-1,szName="",nTime=0.001,nRefresh=9999,key="谢渊·张桎辕·减伤",},{nClass=20,nIcon=13,nFrame=-1,szName="谢渊·张桎辕·减伤",nTime=-1,key="谢渊·张桎辕·减伤",},{nClass=20,nIcon=13,nFrame=-1,szName="",nTime=0.001,nRefresh=9999,key="谢渊·司空仲平·减伤",},{nClass=20,nIcon=13,nFrame=-1,szName="谢渊·司空仲平·减伤",nTime=-1,key="谢渊·司空仲平·减伤",},{nClass=20,nIcon=13,nFrame=-1,szName="",nTime=0.001,nRefresh=9999,key="王遗风·司徒一一·减伤",},{nClass=20,nIcon=13,nFrame=-1,szName="王遗风·司徒一一·减伤",nTime=-1,key="王遗风·司徒一一·减伤",},{nClass=20,nIcon=13,nFrame=-1,szName="",nTime=0.001,nRefresh=9999,key="王遗风·白某·减伤",},{nClass=20,nIcon=13,nFrame=-1,szName="王遗风·白某·减伤",nTime=-1,key="王遗风·白某·减伤",},{nClass=20,nIcon=13,nFrame=-1,szName="",nTime=0.001,nRefresh=9999,key="王遗风·米丽古丽·减伤",},{nClass=20,nIcon=13,nFrame=-1,szName="王遗风·米丽古丽·减伤",nTime=-1,key="王遗风·米丽古丽·减伤",},{nClass=20,nIcon=13,nFrame=-1,szName="",nTime=0.001,nRefresh=9999,key="王遗风·陶寒亭·减伤",},{nClass=20,nIcon=13,nFrame=-1,szName="王遗风·陶寒亭·减伤",nTime=-1,key="王遗风·陶寒亭·减伤",},{nClass=20,nIcon=13,nFrame=-1,szName="",nTime=0.001,nRefresh=9999,key="王遗风·肖药儿·减伤",},{nClass=20,nIcon=13,nFrame=-1,szName="王遗风·肖药儿·减伤",nTime=-1,key="王遗风·肖药儿·减伤",},{nClass=20,nIcon=13,nFrame=-1,szName="王遗风·伊夜·减伤",nTime=0,key="王遗风·伊夜·减伤",},{nClass=20,nIcon=13,nFrame=-1,szName="王遗风·丁丁·减伤",nTime=0,key="王遗风·丁丁·减伤",},{nClass=20,nIcon=13,nFrame=-1,szName="王遗风·岳琅·减伤",nTime=0,key="王遗风·岳琅·减伤",},{nClass=20,nIcon=13,nFrame=-1,szName="王遗风·毕罗巴·减伤",nTime=0,key="王遗风·毕罗巴·减伤",},{nClass=20,nIcon=13,nFrame=-1,szName="王遗风·烟·减伤",nTime=0,key="王遗风·烟·减伤",},{nClass=20,nIcon=13,nFrame=-1,szName="王遗风·独孤修·减伤",nTime=0,key="王遗风·独孤修·减伤",},{nClass=20,nIcon=13,nFrame=-1,szName="谢渊·韩非池·减伤",nTime=0,key="谢渊·韩非池·减伤",},{nClass=20,nIcon=13,nFrame=-1,szName="谢渊·赵紫儿·减伤",nTime=0,key="谢渊·赵紫儿·减伤",},{nClass=20,nIcon=13,nFrame=-1,szName="谢渊·叶镜池·减伤",nTime=0,key="谢渊·叶镜池·减伤",},{nClass=20,nIcon=13,nFrame=-1,szName="谢渊·郭珠·减伤",nTime=0,key="谢渊·郭珠·减伤",},{nClass=20,nIcon=13,nFrame=-1,szName="谢渊·穆玄英·减伤",nTime=0,key="谢渊·穆玄英·减伤",},{nClass=20,nIcon=13,nFrame=-1,szName="谢渊·影·减伤",nTime=0,key="谢渊·影·减伤",},{nIcon=13,key="金水镇",nTime=-1,szName="金水镇",nClass=20,},{nIcon=13,key="巴陵县",nTime=-1,szName="巴陵县",nClass=20,},{nIcon=13,key="龙门荒漠",nTime=-1,szName="龙门荒漠",nClass=20,},{nIcon=13,key="南屏山",nTime=-1,szName="南屏山",nClass=20,},{nIcon=13,key="昆仑",nTime=-1,szName="昆仑",nClass=20,},{nIcon=13,key="白龙口",nTime=-1,szName="白龙口",nClass=20,},{nIcon=13,key="无量山",nTime=-1,szName="无量山",nClass=20,},{nIcon=13,key="黑龙沼",nTime=-1,szName="黑龙沼",nClass=20,},{nIcon=13,key="阴山大草原",nTime=-1,szName="阴山大草原",nClass=20,},{nIcon=13,key="黑戈壁",nTime=-1,szName="黑戈壁",nClass=20,},{nIcon=13,key="鲲鹏岛",nTime=-1,szName="鲲鹏岛",nClass=20,},},},</v>
      </c>
      <c r="T41" t="s">
        <v>2026</v>
      </c>
      <c r="U41" t="s">
        <v>1838</v>
      </c>
      <c r="V41" t="s">
        <v>2027</v>
      </c>
      <c r="W41" t="s">
        <v>1839</v>
      </c>
      <c r="X41" t="s">
        <v>2028</v>
      </c>
      <c r="Y41" t="s">
        <v>1840</v>
      </c>
      <c r="Z41" t="s">
        <v>2029</v>
      </c>
      <c r="AA41" t="s">
        <v>1842</v>
      </c>
      <c r="AB41" t="s">
        <v>2030</v>
      </c>
      <c r="AC41" t="s">
        <v>1841</v>
      </c>
      <c r="AD41" t="s">
        <v>2031</v>
      </c>
      <c r="AE41" t="s">
        <v>1950</v>
      </c>
      <c r="AF41" t="s">
        <v>2032</v>
      </c>
      <c r="AG41" t="s">
        <v>1843</v>
      </c>
      <c r="AH41" t="s">
        <v>2033</v>
      </c>
      <c r="AI41" t="s">
        <v>1844</v>
      </c>
      <c r="AJ41" t="s">
        <v>2034</v>
      </c>
      <c r="AK41" t="s">
        <v>1845</v>
      </c>
      <c r="AL41" t="s">
        <v>2035</v>
      </c>
      <c r="AM41" s="36" t="s">
        <v>1951</v>
      </c>
      <c r="AN41" t="s">
        <v>1882</v>
      </c>
      <c r="AO41" t="s">
        <v>1883</v>
      </c>
      <c r="AP41" t="s">
        <v>1884</v>
      </c>
      <c r="AQ41" t="s">
        <v>1885</v>
      </c>
      <c r="AR41" t="s">
        <v>1886</v>
      </c>
      <c r="AS41" t="s">
        <v>1887</v>
      </c>
      <c r="AT41" t="s">
        <v>1888</v>
      </c>
      <c r="AU41" t="s">
        <v>1889</v>
      </c>
      <c r="AV41" t="s">
        <v>1890</v>
      </c>
      <c r="AW41" t="s">
        <v>1891</v>
      </c>
      <c r="AX41" t="s">
        <v>1892</v>
      </c>
      <c r="AY41" t="s">
        <v>1893</v>
      </c>
      <c r="AZ41" s="36" t="s">
        <v>2062</v>
      </c>
      <c r="BA41" s="36" t="s">
        <v>2063</v>
      </c>
      <c r="BB41" s="36" t="s">
        <v>2064</v>
      </c>
      <c r="BC41" s="36" t="s">
        <v>2065</v>
      </c>
      <c r="BD41" s="36" t="s">
        <v>2066</v>
      </c>
      <c r="BE41" s="36" t="s">
        <v>2067</v>
      </c>
      <c r="BF41" s="36" t="s">
        <v>2068</v>
      </c>
      <c r="BG41" s="36" t="s">
        <v>2069</v>
      </c>
      <c r="BH41" s="36" t="s">
        <v>2070</v>
      </c>
      <c r="BI41" s="36" t="s">
        <v>2071</v>
      </c>
      <c r="BJ41" s="36" t="s">
        <v>2072</v>
      </c>
      <c r="BK41" s="36"/>
      <c r="BL41" s="36"/>
    </row>
    <row r="42" spans="1:65" x14ac:dyDescent="0.15">
      <c r="C42" t="s">
        <v>1879</v>
      </c>
      <c r="D42" t="s">
        <v>1880</v>
      </c>
      <c r="K42" t="s">
        <v>1435</v>
      </c>
      <c r="Q42">
        <v>1</v>
      </c>
      <c r="S42" s="36" t="str">
        <f t="shared" si="0"/>
        <v>{szContent="王遗风已率恶人谷众首领抵达浩气盟，请各位恶人谷侠士速到浩气盟支援。浩气盟侠士也请速回浩气盟防御！\n",szNote="阵营攻防开始",col={255,255,100,},[20]={bCenterAlarm=true,},tCountdown={{nClass=20,nIcon=2401,nFrame=0,szName="本场攻防·正式开始",nTime=60,nRefresh=2,key="攻防活动",},{nClass=20,nIcon=13,nFrame=-1,nTime=0.001,nRefresh=7200,key="谢渊·穆玄英·减伤",},{nClass=20,nIcon=13,nFrame=-1,szName="谢渊·穆玄英·减伤",nTime=-1,key="谢渊·穆玄英·减伤",},{nClass=20,nIcon=13,nFrame=-1,nTime=0.001,nRefresh=7200,key="谢渊·叶镜池·减伤",},{nClass=20,nIcon=13,nFrame=-1,szName="谢渊·叶镜池·减伤",nTime=-1,key="谢渊·叶镜池·减伤",},{nClass=20,nIcon=13,nFrame=-1,nTime=0.001,nRefresh=7200,key="谢渊·赵紫儿·减伤",},{nClass=20,nIcon=13,nFrame=-1,szName="谢渊·赵紫儿·减伤",nTime=-1,key="谢渊·赵紫儿·减伤",},{nClass=20,nIcon=13,nFrame=-1,nTime=0.001,nRefresh=7200,key="谢渊·郭珠·减伤",},{nClass=20,nIcon=13,nFrame=-1,szName="谢渊·郭珠·减伤",nTime=-1,key="谢渊·郭珠·减伤",},{nClass=20,nIcon=13,nFrame=-1,nTime=0.001,nRefresh=7200,key="谢渊·影·减伤",},{nClass=20,nIcon=13,nFrame=-1,szName="谢渊·影·减伤",nTime=-1,key="谢渊·影·减伤",},{nClass=20,nIcon=13,nFrame=-1,nTime=0.001,nRefresh=7200,key="王遗风·烟·减伤",},{nClass=20,nIcon=13,nFrame=-1,szName="王遗风·烟·减伤",nTime=-1,key="王遗风·烟·减伤",},{nClass=20,nIcon=13,nFrame=-1,nTime=0.001,nRefresh=7200,key="王遗风·岳琅·减伤",},{nClass=20,nIcon=13,nFrame=-1,szName="王遗风·岳琅·减伤",nTime=-1,key="王遗风·岳琅·减伤",},{nClass=20,nIcon=13,nFrame=-1,nTime=0.001,nRefresh=7200,key="王遗风·丁丁·减伤",},{nClass=20,nIcon=13,nFrame=-1,szName="王遗风·丁丁·减伤",nTime=-1,key="王遗风·丁丁·减伤",},{nClass=20,nIcon=13,nFrame=-1,nTime=0.001,nRefresh=7200,key="王遗风·毕罗巴·减伤",},{nClass=20,nIcon=13,nFrame=-1,szName="王遗风·毕罗巴·减伤",nTime=-1,key="王遗风·毕罗巴·减伤",},{nClass=20,nIcon=13,nFrame=-1,nTime=0.001,nRefresh=7200,key="王遗风·独孤修·减伤",},{nClass=20,nIcon=13,nFrame=-1,szName="王遗风·独孤修·减伤",nTime=-1,key="王遗风·独孤修·减伤",},{nClass=20,nIcon=13,nFrame=-1,nTime=0.001,nRefresh=7200,key="王遗风·伊夜·减伤",},{nClass=20,nIcon=13,nFrame=-1,szName="王遗风·伊夜·减伤",nTime=-1,key="王遗风·伊夜·减伤",},{nClass=20,nIcon=13,nFrame=-1,nTime=0.001,nRefresh=7200,key="谢渊·韩非池·减伤",},{nClass=20,nIcon=13,nFrame=-1,szName="谢渊·韩非池·减伤",nTime=-1,key="谢渊·韩非池·减伤",},{nClass=20,nIcon=13,nFrame=-1,szName="谢渊·月弄痕·减伤",nTime=-2,key="谢渊·月弄痕·减伤",},{nClass=20,nIcon=13,nFrame=-1,szName="谢渊·游驹·减伤",nTime=-2,key="谢渊·游驹·减伤",},{nClass=20,nIcon=13,nFrame=-1,szName="谢渊·小七·减伤",nTime=-2,key="谢渊·小七·减伤",},{nClass=20,nIcon=13,nFrame=-1,szName="谢渊·张桎辕·减伤",nTime=-2,key="谢渊·张桎辕·减伤",},{nClass=20,nIcon=13,nFrame=-1,szName="谢渊·司空仲平·减伤",nTime=-2,key="谢渊·司空仲平·减伤",},{nClass=20,nIcon=13,nFrame=-1,szName="王遗风·司徒一一·减伤",nTime=-2,key="王遗风·司徒一一·减伤",},{nClass=20,nIcon=13,nFrame=-1,szName="王遗风·白某·减伤",nTime=-2,key="王遗风·白某·减伤",},{nClass=20,nIcon=13,nFrame=-1,szName="王遗风·米丽古丽·减伤",nTime=-2,key="王遗风·米丽古丽·减伤",},{nClass=20,nIcon=13,nFrame=-1,szName="王遗风·陶寒亭·减伤",nTime=-2,key="王遗风·陶寒亭·减伤",},{nClass=20,nIcon=13,nFrame=-1,szName="王遗风·肖药儿·减伤",nTime=-2,key="王遗风·肖药儿·减伤",},},},</v>
      </c>
      <c r="T42" t="s">
        <v>2188</v>
      </c>
      <c r="U42" s="36" t="s">
        <v>2154</v>
      </c>
      <c r="V42" s="36" t="s">
        <v>2155</v>
      </c>
      <c r="W42" s="36" t="s">
        <v>2156</v>
      </c>
      <c r="X42" s="36" t="s">
        <v>2157</v>
      </c>
      <c r="Y42" s="36" t="s">
        <v>2158</v>
      </c>
      <c r="Z42" s="36" t="s">
        <v>2159</v>
      </c>
      <c r="AA42" s="36" t="s">
        <v>2160</v>
      </c>
      <c r="AB42" s="36" t="s">
        <v>2161</v>
      </c>
      <c r="AC42" s="36" t="s">
        <v>2162</v>
      </c>
      <c r="AD42" s="36" t="s">
        <v>2163</v>
      </c>
      <c r="AE42" s="36" t="s">
        <v>2164</v>
      </c>
      <c r="AF42" s="36" t="s">
        <v>2165</v>
      </c>
      <c r="AG42" s="36" t="s">
        <v>2166</v>
      </c>
      <c r="AH42" s="36" t="s">
        <v>2167</v>
      </c>
      <c r="AI42" s="36" t="s">
        <v>2168</v>
      </c>
      <c r="AJ42" s="36" t="s">
        <v>2169</v>
      </c>
      <c r="AK42" s="36" t="s">
        <v>2170</v>
      </c>
      <c r="AL42" s="36" t="s">
        <v>2171</v>
      </c>
      <c r="AM42" s="36" t="s">
        <v>2172</v>
      </c>
      <c r="AN42" s="36" t="s">
        <v>2173</v>
      </c>
      <c r="AO42" s="36" t="s">
        <v>2174</v>
      </c>
      <c r="AP42" s="36" t="s">
        <v>2175</v>
      </c>
      <c r="AQ42" s="36" t="s">
        <v>2176</v>
      </c>
      <c r="AR42" s="36" t="s">
        <v>2177</v>
      </c>
      <c r="AS42" s="36" t="s">
        <v>2178</v>
      </c>
      <c r="AT42" s="36" t="s">
        <v>2179</v>
      </c>
      <c r="AU42" s="36" t="s">
        <v>2180</v>
      </c>
      <c r="AV42" s="36" t="s">
        <v>2181</v>
      </c>
      <c r="AW42" s="36" t="s">
        <v>2182</v>
      </c>
      <c r="AX42" s="36" t="s">
        <v>2183</v>
      </c>
      <c r="AY42" s="36" t="s">
        <v>2184</v>
      </c>
      <c r="AZ42" s="36" t="s">
        <v>2185</v>
      </c>
      <c r="BA42" s="36" t="s">
        <v>2186</v>
      </c>
      <c r="BB42" s="36" t="s">
        <v>2187</v>
      </c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</row>
    <row r="43" spans="1:65" x14ac:dyDescent="0.15">
      <c r="C43" t="s">
        <v>1746</v>
      </c>
      <c r="K43" t="s">
        <v>1741</v>
      </c>
      <c r="S43" s="36" t="str">
        <f t="shared" si="0"/>
        <v>{szContent="军情速递！浩气盟物资官传来消息，现有一批新物资运至各复活点，望浩气侠士们前来领取，以便增强战斗实力。\n",col={100,100,255,},[20]={},tCountdown={{nClass=20,nIcon=2397,nFrame=7,szName="浩气盟·复活点物资·刷新",nTime=10,nRefresh=2,key="浩气·复活点·运达",},{nClass=20,nIcon=2398,nFrame=3,szName="恶人谷·复活点物资·刷新",nTime=10,nRefresh=2,key="恶人·复活点·运达",}},},</v>
      </c>
      <c r="T43" t="s">
        <v>2143</v>
      </c>
      <c r="U43" t="s">
        <v>2144</v>
      </c>
    </row>
    <row r="44" spans="1:65" s="36" customFormat="1" x14ac:dyDescent="0.15">
      <c r="C44" s="36" t="s">
        <v>1869</v>
      </c>
      <c r="K44" s="36" t="s">
        <v>1448</v>
      </c>
      <c r="S44" s="36" t="str">
        <f t="shared" si="0"/>
        <v>{szContent="军情速递！恶人谷物资车已运达，车内装有大量物资，望侠士们前来拾取，切莫错过。\n",col={255,100,100,},[20]={},tCountdown={{nClass=20,nIcon=2398,nFrame=3,szName="恶人谷·营地物资·刷新",nTime=10,nRefresh=2,key="恶人·物资车·运达",},},},</v>
      </c>
      <c r="T44" s="36" t="s">
        <v>1875</v>
      </c>
    </row>
    <row r="45" spans="1:65" s="36" customFormat="1" x14ac:dyDescent="0.15">
      <c r="C45" s="36" t="s">
        <v>1744</v>
      </c>
      <c r="K45" s="36" t="s">
        <v>1741</v>
      </c>
      <c r="S45" s="36" t="str">
        <f t="shared" si="0"/>
        <v>{szContent="军情速递！浩气盟物资车已运达，车内装有大量物资，望侠士们前来拾取，切莫错过。\n",col={100,100,255,},[20]={},tCountdown={{nClass=20,nIcon=2397,nFrame=7,szName="浩气盟·内城物资·刷新",nTime=10,nRefresh=2,key="浩气·物资车·运达",},},},</v>
      </c>
      <c r="T45" s="36" t="s">
        <v>1876</v>
      </c>
    </row>
    <row r="46" spans="1:65" x14ac:dyDescent="0.15">
      <c r="A46" t="s">
        <v>9</v>
      </c>
      <c r="B46">
        <v>27</v>
      </c>
      <c r="S46" s="36" t="str">
        <f t="shared" si="0"/>
        <v>},[27]={</v>
      </c>
    </row>
    <row r="47" spans="1:65" x14ac:dyDescent="0.15">
      <c r="C47" t="s">
        <v>1633</v>
      </c>
      <c r="D47" t="s">
        <v>1894</v>
      </c>
      <c r="S47" s="36" t="str">
        <f t="shared" si="0"/>
        <v>{szContent="你已进入地图【恶人谷】。",szNote="关闭主场首领计时条·开启奇袭首领计时条",[20]={},tCountdown={{nClass=20,nIcon=13,nFrame=-1,szName="",nTime=0.001,nRefresh=9999,key="谢渊·月弄痕·减伤",},{nClass=20,nIcon=13,nFrame=-1,szName="谢渊·月弄痕·减伤",nTime=-1,key="谢渊·月弄痕·减伤",},{nClass=20,nIcon=13,nFrame=-1,szName="",nTime=0.001,nRefresh=9999,key="谢渊·游驹·减伤",},{nClass=20,nIcon=13,nFrame=-1,szName="谢渊·游驹·减伤",nTime=-1,key="谢渊·游驹·减伤",},{nClass=20,nIcon=13,nFrame=-1,szName="",nTime=0.001,nRefresh=9999,key="谢渊·小七·减伤",},{nClass=20,nIcon=13,nFrame=-1,szName="谢渊·小七·减伤",nTime=-1,key="谢渊·小七·减伤",},{nClass=20,nIcon=13,nFrame=-1,szName="",nTime=0.001,nRefresh=9999,key="谢渊·张桎辕·减伤",},{nClass=20,nIcon=13,nFrame=-1,szName="谢渊·张桎辕·减伤",nTime=-1,key="谢渊·张桎辕·减伤",},{nClass=20,nIcon=13,nFrame=-1,szName="",nTime=0.001,nRefresh=9999,key="谢渊·司空仲平·减伤",},{nClass=20,nIcon=13,nFrame=-1,szName="谢渊·司空仲平·减伤",nTime=-1,key="谢渊·司空仲平·减伤",},{nClass=20,nIcon=13,nFrame=-1,szName="",nTime=0.001,nRefresh=9999,key="王遗风·司徒一一·减伤",},{nClass=20,nIcon=13,nFrame=-1,szName="王遗风·司徒一一·减伤",nTime=-1,key="王遗风·司徒一一·减伤",},{nClass=20,nIcon=13,nFrame=-1,szName="",nTime=0.001,nRefresh=9999,key="王遗风·白某·减伤",},{nClass=20,nIcon=13,nFrame=-1,szName="王遗风·白某·减伤",nTime=-1,key="王遗风·白某·减伤",},{nClass=20,nIcon=13,nFrame=-1,szName="",nTime=0.001,nRefresh=9999,key="王遗风·米丽古丽·减伤",},{nClass=20,nIcon=13,nFrame=-1,szName="王遗风·米丽古丽·减伤",nTime=-1,key="王遗风·米丽古丽·减伤",},{nClass=20,nIcon=13,nFrame=-1,szName="",nTime=0.001,nRefresh=9999,key="王遗风·陶寒亭·减伤",},{nClass=20,nIcon=13,nFrame=-1,szName="王遗风·陶寒亭·减伤",nTime=-1,key="王遗风·陶寒亭·减伤",},{nClass=20,nIcon=13,nFrame=-1,szName="",nTime=0.001,nRefresh=9999,key="王遗风·肖药儿·减伤",},{nClass=20,nIcon=13,nFrame=-1,szName="王遗风·肖药儿·减伤",nTime=-1,key="王遗风·肖药儿·减伤",},{nClass=20,nIcon=13,nFrame=-1,szName="王遗风·伊夜·减伤",nTime=0,key="王遗风·伊夜·减伤",},{nClass=20,nIcon=13,nFrame=-1,szName="王遗风·丁丁·减伤",nTime=0,key="王遗风·丁丁·减伤",},{nClass=20,nIcon=13,nFrame=-1,szName="王遗风·岳琅·减伤",nTime=0,key="王遗风·岳琅·减伤",},{nClass=20,nIcon=13,nFrame=-1,szName="王遗风·毕罗巴·减伤",nTime=0,key="王遗风·毕罗巴·减伤",},{nClass=20,nIcon=13,nFrame=-1,szName="王遗风·烟·减伤",nTime=0,key="王遗风·烟·减伤",},{nClass=20,nIcon=13,nFrame=-1,szName="王遗风·独孤修·减伤",nTime=0,key="王遗风·独孤修·减伤",},{nClass=20,nIcon=13,nFrame=-1,szName="谢渊·韩非池·减伤",nTime=0,key="谢渊·韩非池·减伤",},{nClass=20,nIcon=13,nFrame=-1,szName="谢渊·赵紫儿·减伤",nTime=0,key="谢渊·赵紫儿·减伤",},{nClass=20,nIcon=13,nFrame=-1,szName="谢渊·叶镜池·减伤",nTime=0,key="谢渊·叶镜池·减伤",},{nClass=20,nIcon=13,nFrame=-1,szName="谢渊·郭珠·减伤",nTime=0,key="谢渊·郭珠·减伤",},{nClass=20,nIcon=13,nFrame=-1,szName="谢渊·穆玄英·减伤",nTime=0,key="谢渊·穆玄英·减伤",},{nClass=20,nIcon=13,nFrame=-1,szName="谢渊·影·减伤",nTime=0,key="谢渊·影·减伤",},{nIcon=13,key="金水镇",nTime=-1,szName="金水镇",nClass=20,},{nIcon=13,key="巴陵县",nTime=-1,szName="巴陵县",nClass=20,},{nIcon=13,key="龙门荒漠",nTime=-1,szName="龙门荒漠",nClass=20,},{nIcon=13,key="南屏山",nTime=-1,szName="南屏山",nClass=20,},{nIcon=13,key="昆仑",nTime=-1,szName="昆仑",nClass=20,},{nIcon=13,key="白龙口",nTime=-1,szName="白龙口",nClass=20,},{nIcon=13,key="无量山",nTime=-1,szName="无量山",nClass=20,},{nIcon=13,key="黑龙沼",nTime=-1,szName="黑龙沼",nClass=20,},{nIcon=13,key="阴山大草原",nTime=-1,szName="阴山大草原",nClass=20,},{nIcon=13,key="黑戈壁",nTime=-1,szName="黑戈壁",nClass=20,},{nIcon=13,key="鲲鹏岛",nTime=-1,szName="鲲鹏岛",nClass=20,},},},</v>
      </c>
      <c r="T47" s="36" t="s">
        <v>2026</v>
      </c>
      <c r="U47" s="36" t="s">
        <v>1838</v>
      </c>
      <c r="V47" s="36" t="s">
        <v>2027</v>
      </c>
      <c r="W47" s="36" t="s">
        <v>1839</v>
      </c>
      <c r="X47" s="36" t="s">
        <v>2028</v>
      </c>
      <c r="Y47" s="36" t="s">
        <v>1840</v>
      </c>
      <c r="Z47" s="36" t="s">
        <v>2029</v>
      </c>
      <c r="AA47" s="36" t="s">
        <v>1842</v>
      </c>
      <c r="AB47" s="36" t="s">
        <v>2030</v>
      </c>
      <c r="AC47" s="36" t="s">
        <v>1841</v>
      </c>
      <c r="AD47" s="36" t="s">
        <v>2031</v>
      </c>
      <c r="AE47" s="36" t="s">
        <v>1950</v>
      </c>
      <c r="AF47" s="36" t="s">
        <v>2032</v>
      </c>
      <c r="AG47" s="36" t="s">
        <v>1843</v>
      </c>
      <c r="AH47" s="36" t="s">
        <v>2033</v>
      </c>
      <c r="AI47" s="36" t="s">
        <v>1844</v>
      </c>
      <c r="AJ47" s="36" t="s">
        <v>2034</v>
      </c>
      <c r="AK47" s="36" t="s">
        <v>1845</v>
      </c>
      <c r="AL47" s="36" t="s">
        <v>2035</v>
      </c>
      <c r="AM47" s="36" t="s">
        <v>1951</v>
      </c>
      <c r="AN47" s="36" t="s">
        <v>1882</v>
      </c>
      <c r="AO47" s="36" t="s">
        <v>1883</v>
      </c>
      <c r="AP47" s="36" t="s">
        <v>1884</v>
      </c>
      <c r="AQ47" s="36" t="s">
        <v>1885</v>
      </c>
      <c r="AR47" s="36" t="s">
        <v>1886</v>
      </c>
      <c r="AS47" s="36" t="s">
        <v>1887</v>
      </c>
      <c r="AT47" s="36" t="s">
        <v>1888</v>
      </c>
      <c r="AU47" s="36" t="s">
        <v>1889</v>
      </c>
      <c r="AV47" s="36" t="s">
        <v>1890</v>
      </c>
      <c r="AW47" s="36" t="s">
        <v>1891</v>
      </c>
      <c r="AX47" s="36" t="s">
        <v>1892</v>
      </c>
      <c r="AY47" s="36" t="s">
        <v>1893</v>
      </c>
      <c r="AZ47" s="36" t="s">
        <v>2062</v>
      </c>
      <c r="BA47" s="36" t="s">
        <v>2063</v>
      </c>
      <c r="BB47" s="36" t="s">
        <v>2064</v>
      </c>
      <c r="BC47" s="36" t="s">
        <v>2065</v>
      </c>
      <c r="BD47" s="36" t="s">
        <v>2066</v>
      </c>
      <c r="BE47" s="36" t="s">
        <v>2067</v>
      </c>
      <c r="BF47" s="36" t="s">
        <v>2068</v>
      </c>
      <c r="BG47" s="36" t="s">
        <v>2069</v>
      </c>
      <c r="BH47" s="36" t="s">
        <v>2070</v>
      </c>
      <c r="BI47" s="36" t="s">
        <v>2071</v>
      </c>
      <c r="BJ47" s="36" t="s">
        <v>2072</v>
      </c>
      <c r="BK47" s="36"/>
      <c r="BL47" s="36"/>
    </row>
    <row r="48" spans="1:65" x14ac:dyDescent="0.15">
      <c r="C48" t="s">
        <v>1881</v>
      </c>
      <c r="D48" t="s">
        <v>1880</v>
      </c>
      <c r="K48" t="s">
        <v>1435</v>
      </c>
      <c r="Q48">
        <v>1</v>
      </c>
      <c r="S48" s="36" t="str">
        <f t="shared" si="0"/>
        <v>{szContent="谢渊已率浩气盟众首领抵达恶人谷，请各位浩气盟侠士速到恶人谷支援。恶人谷侠士也请速回恶人谷防御！\n",szNote="阵营攻防开始",col={255,255,100,},[20]={bCenterAlarm=true,},tCountdown={{nClass=20,nIcon=2401,nFrame=0,szName="本场攻防·正式开始",nTime=60,nRefresh=2,key="攻防活动",},{nClass=20,nIcon=13,nFrame=-1,nTime=0.001,nRefresh=7200,key="谢渊·穆玄英·减伤",},{nClass=20,nIcon=13,nFrame=-1,szName="谢渊·穆玄英·减伤",nTime=-1,key="谢渊·穆玄英·减伤",},{nClass=20,nIcon=13,nFrame=-1,nTime=0.001,nRefresh=7200,key="谢渊·叶镜池·减伤",},{nClass=20,nIcon=13,nFrame=-1,szName="谢渊·叶镜池·减伤",nTime=-1,key="谢渊·叶镜池·减伤",},{nClass=20,nIcon=13,nFrame=-1,nTime=0.001,nRefresh=7200,key="谢渊·赵紫儿·减伤",},{nClass=20,nIcon=13,nFrame=-1,szName="谢渊·赵紫儿·减伤",nTime=-1,key="谢渊·赵紫儿·减伤",},{nClass=20,nIcon=13,nFrame=-1,nTime=0.001,nRefresh=7200,key="谢渊·郭珠·减伤",},{nClass=20,nIcon=13,nFrame=-1,szName="谢渊·郭珠·减伤",nTime=-1,key="谢渊·郭珠·减伤",},{nClass=20,nIcon=13,nFrame=-1,nTime=0.001,nRefresh=7200,key="谢渊·影·减伤",},{nClass=20,nIcon=13,nFrame=-1,szName="谢渊·影·减伤",nTime=-1,key="谢渊·影·减伤",},{nClass=20,nIcon=13,nFrame=-1,nTime=0.001,nRefresh=7200,key="王遗风·烟·减伤",},{nClass=20,nIcon=13,nFrame=-1,szName="王遗风·烟·减伤",nTime=-1,key="王遗风·烟·减伤",},{nClass=20,nIcon=13,nFrame=-1,nTime=0.001,nRefresh=7200,key="王遗风·岳琅·减伤",},{nClass=20,nIcon=13,nFrame=-1,szName="王遗风·岳琅·减伤",nTime=-1,key="王遗风·岳琅·减伤",},{nClass=20,nIcon=13,nFrame=-1,nTime=0.001,nRefresh=7200,key="王遗风·丁丁·减伤",},{nClass=20,nIcon=13,nFrame=-1,szName="王遗风·丁丁·减伤",nTime=-1,key="王遗风·丁丁·减伤",},{nClass=20,nIcon=13,nFrame=-1,nTime=0.001,nRefresh=7200,key="王遗风·毕罗巴·减伤",},{nClass=20,nIcon=13,nFrame=-1,szName="王遗风·毕罗巴·减伤",nTime=-1,key="王遗风·毕罗巴·减伤",},{nClass=20,nIcon=13,nFrame=-1,nTime=0.001,nRefresh=7200,key="王遗风·独孤修·减伤",},{nClass=20,nIcon=13,nFrame=-1,szName="王遗风·独孤修·减伤",nTime=-1,key="王遗风·独孤修·减伤",},{nClass=20,nIcon=13,nFrame=-1,nTime=0.001,nRefresh=7200,key="王遗风·伊夜·减伤",},{nClass=20,nIcon=13,nFrame=-1,szName="王遗风·伊夜·减伤",nTime=-1,key="王遗风·伊夜·减伤",},{nClass=20,nIcon=13,nFrame=-1,nTime=0.001,nRefresh=7200,key="谢渊·韩非池·减伤",},{nClass=20,nIcon=13,nFrame=-1,szName="谢渊·韩非池·减伤",nTime=-1,key="谢渊·韩非池·减伤",},{nClass=20,nIcon=13,nFrame=-1,szName="谢渊·月弄痕·减伤",nTime=-2,key="谢渊·月弄痕·减伤",},{nClass=20,nIcon=13,nFrame=-1,szName="谢渊·游驹·减伤",nTime=-2,key="谢渊·游驹·减伤",},{nClass=20,nIcon=13,nFrame=-1,szName="谢渊·小七·减伤",nTime=-2,key="谢渊·小七·减伤",},{nClass=20,nIcon=13,nFrame=-1,szName="谢渊·张桎辕·减伤",nTime=-2,key="谢渊·张桎辕·减伤",},{nClass=20,nIcon=13,nFrame=-1,szName="谢渊·司空仲平·减伤",nTime=-2,key="谢渊·司空仲平·减伤",},{nClass=20,nIcon=13,nFrame=-1,szName="王遗风·司徒一一·减伤",nTime=-2,key="王遗风·司徒一一·减伤",},{nClass=20,nIcon=13,nFrame=-1,szName="王遗风·白某·减伤",nTime=-2,key="王遗风·白某·减伤",},{nClass=20,nIcon=13,nFrame=-1,szName="王遗风·米丽古丽·减伤",nTime=-2,key="王遗风·米丽古丽·减伤",},{nClass=20,nIcon=13,nFrame=-1,szName="王遗风·陶寒亭·减伤",nTime=-2,key="王遗风·陶寒亭·减伤",},{nClass=20,nIcon=13,nFrame=-1,szName="王遗风·肖药儿·减伤",nTime=-2,key="王遗风·肖药儿·减伤",},},},</v>
      </c>
      <c r="T48" t="s">
        <v>2188</v>
      </c>
      <c r="U48" s="36" t="s">
        <v>2154</v>
      </c>
      <c r="V48" s="36" t="s">
        <v>2155</v>
      </c>
      <c r="W48" s="36" t="s">
        <v>2156</v>
      </c>
      <c r="X48" s="36" t="s">
        <v>2157</v>
      </c>
      <c r="Y48" s="36" t="s">
        <v>2158</v>
      </c>
      <c r="Z48" s="36" t="s">
        <v>2159</v>
      </c>
      <c r="AA48" s="36" t="s">
        <v>2160</v>
      </c>
      <c r="AB48" s="36" t="s">
        <v>2161</v>
      </c>
      <c r="AC48" s="36" t="s">
        <v>2162</v>
      </c>
      <c r="AD48" s="36" t="s">
        <v>2163</v>
      </c>
      <c r="AE48" s="36" t="s">
        <v>2164</v>
      </c>
      <c r="AF48" s="36" t="s">
        <v>2165</v>
      </c>
      <c r="AG48" s="36" t="s">
        <v>2166</v>
      </c>
      <c r="AH48" s="36" t="s">
        <v>2167</v>
      </c>
      <c r="AI48" s="36" t="s">
        <v>2168</v>
      </c>
      <c r="AJ48" s="36" t="s">
        <v>2169</v>
      </c>
      <c r="AK48" s="36" t="s">
        <v>2170</v>
      </c>
      <c r="AL48" s="36" t="s">
        <v>2171</v>
      </c>
      <c r="AM48" s="36" t="s">
        <v>2172</v>
      </c>
      <c r="AN48" s="36" t="s">
        <v>2173</v>
      </c>
      <c r="AO48" s="36" t="s">
        <v>2174</v>
      </c>
      <c r="AP48" s="36" t="s">
        <v>2175</v>
      </c>
      <c r="AQ48" s="36" t="s">
        <v>2176</v>
      </c>
      <c r="AR48" s="36" t="s">
        <v>2177</v>
      </c>
      <c r="AS48" s="36" t="s">
        <v>2178</v>
      </c>
      <c r="AT48" s="36" t="s">
        <v>2179</v>
      </c>
      <c r="AU48" s="36" t="s">
        <v>2180</v>
      </c>
      <c r="AV48" s="36" t="s">
        <v>2181</v>
      </c>
      <c r="AW48" s="36" t="s">
        <v>2182</v>
      </c>
      <c r="AX48" s="36" t="s">
        <v>2183</v>
      </c>
      <c r="AY48" s="36" t="s">
        <v>2184</v>
      </c>
      <c r="AZ48" s="36" t="s">
        <v>2185</v>
      </c>
      <c r="BA48" s="36" t="s">
        <v>2186</v>
      </c>
      <c r="BB48" s="36" t="s">
        <v>2187</v>
      </c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</row>
    <row r="49" spans="1:22" x14ac:dyDescent="0.15">
      <c r="C49" t="s">
        <v>1745</v>
      </c>
      <c r="K49" t="s">
        <v>1448</v>
      </c>
      <c r="S49" s="36" t="str">
        <f t="shared" si="0"/>
        <v>{szContent="军情速递！恶人谷物资官传来消息，现有一批新物资运至各复活点，望恶人侠士们前来领取，以便增强战斗实力。\n",col={255,100,100,},[20]={},tCountdown={{nClass=20,nIcon=2398,nFrame=3,szName="恶人谷·复活点物资·刷新",nTime=10,nRefresh=2,key="恶人·复活点·运达",},{nClass=20,nIcon=2397,nFrame=7,szName="浩气盟·复活点物资·刷新",nTime=10,nRefresh=2,key="浩气·复活点·运达",},},},</v>
      </c>
      <c r="T49" t="s">
        <v>2142</v>
      </c>
      <c r="U49" t="s">
        <v>2143</v>
      </c>
    </row>
    <row r="50" spans="1:22" s="36" customFormat="1" x14ac:dyDescent="0.15">
      <c r="C50" s="36" t="s">
        <v>2150</v>
      </c>
      <c r="K50" s="36" t="s">
        <v>1448</v>
      </c>
      <c r="S50" s="36" t="str">
        <f t="shared" si="0"/>
        <v>{szContent="军情速递！恶人谷物资车已运达，车内装有大量物资，望侠士们前来拾取，切莫错过。\n",col={255,100,100,},[20]={},tCountdown={{nClass=20,nIcon=2398,nFrame=3,szName="恶人谷·内城物资·刷新",nRefresh=2,nTime=10,key="恶人·物资车·运达",},},},</v>
      </c>
      <c r="T50" s="36" t="s">
        <v>2151</v>
      </c>
    </row>
    <row r="51" spans="1:22" s="36" customFormat="1" x14ac:dyDescent="0.15">
      <c r="C51" s="36" t="s">
        <v>1744</v>
      </c>
      <c r="K51" s="36" t="s">
        <v>1741</v>
      </c>
      <c r="S51" s="36" t="str">
        <f t="shared" si="0"/>
        <v>{szContent="军情速递！浩气盟物资车已运达，车内装有大量物资，望侠士们前来拾取，切莫错过。\n",col={100,100,255,},[20]={},tCountdown={{nClass=20,nIcon=2397,nFrame=7,szName="浩气盟·营地物资·刷新",nRefresh=2,nTime=10,key="浩气·物资车·运达",},},},</v>
      </c>
      <c r="T51" s="36" t="s">
        <v>2152</v>
      </c>
    </row>
    <row r="52" spans="1:22" x14ac:dyDescent="0.15">
      <c r="A52" t="s">
        <v>1658</v>
      </c>
      <c r="B52">
        <v>-2</v>
      </c>
      <c r="S52" s="36" t="str">
        <f t="shared" si="0"/>
        <v>},[-2]={</v>
      </c>
    </row>
    <row r="53" spans="1:22" x14ac:dyDescent="0.15">
      <c r="C53" t="s">
        <v>1776</v>
      </c>
      <c r="K53" t="s">
        <v>1741</v>
      </c>
      <c r="S53" s="36" t="str">
        <f t="shared" si="0"/>
        <v>{szContent="浩气盟前线战况空前激烈！未能进入浩气盟前线据点争夺场景参与战斗的侠士，可前往黑戈壁助本阵营后方物资运送一臂之力！只需完成增援任务，也可以参与本日逐鹿中原结算奖励发放。\n",col={100,100,255,},[20]={},tCountdown={{nClass=20,nIcon=18784,nFrame=7,szName="浩气盟·小攻防·黑戈壁分流",nTime=30,nRefresh=3600,key="浩气盟·小攻防·黑戈壁分流",},},},</v>
      </c>
      <c r="T53" t="s">
        <v>1777</v>
      </c>
    </row>
    <row r="54" spans="1:22" x14ac:dyDescent="0.15">
      <c r="C54" t="s">
        <v>1778</v>
      </c>
      <c r="K54" t="s">
        <v>1448</v>
      </c>
      <c r="S54" s="36" t="str">
        <f t="shared" si="0"/>
        <v>{szContent="恶人谷前线战况空前激烈！未能进入恶人谷前线据点争夺场景参与战斗的侠士，可前往黑戈壁助本阵营后方物资运送一臂之力！只需完成增援任务，也可以参与本日逐鹿中原结算奖励发放。\n",col={255,100,100,},[20]={},tCountdown={{nClass=20,nIcon=18783,nFrame=3,szName="恶人谷·小攻防·黑戈壁分流",nTime=30,nRefresh=3600,key="恶人谷·小攻防·黑戈壁分流",},},},</v>
      </c>
      <c r="T54" t="s">
        <v>1779</v>
      </c>
    </row>
    <row r="55" spans="1:22" x14ac:dyDescent="0.15">
      <c r="C55" t="s">
        <v>1767</v>
      </c>
      <c r="K55" t="s">
        <v>1435</v>
      </c>
      <c r="S55" s="36" t="str">
        <f t="shared" si="0"/>
        <v>{szContent="阴山大草原·分线据点争夺正式开始，场景内交通已中断。\n",col={255,255,100,},[20]={},tCountdown={{nClass=20,nIcon=3536,nFrame=3,szName="小攻防·阴山大草原·分流",nTime=10,nRefresh=3600,key="小攻防·阴山大草原·分流",},},},</v>
      </c>
      <c r="T55" t="s">
        <v>1765</v>
      </c>
    </row>
    <row r="56" spans="1:22" x14ac:dyDescent="0.15">
      <c r="C56" t="s">
        <v>1764</v>
      </c>
      <c r="K56" t="s">
        <v>1435</v>
      </c>
      <c r="S56" s="36" t="str">
        <f t="shared" si="0"/>
        <v>{szContent="前线战况空前激烈！未能进入前线据点争夺场景参与战斗的侠士，可前往阴山大草原助本阵营后方物资运送一臂之力！只需完成增援任务，也可以参与本日逐鹿中原结算奖励发放。\n",col={255,255,100,},[20]={},tCountdown={{nClass=20,nIcon=3536,nFrame=3,szName="小攻防·阴山大草原·分流",nTime=10,nRefresh=3600,key="小攻防·阴山大草原·分流",},},},</v>
      </c>
      <c r="T56" t="s">
        <v>1765</v>
      </c>
    </row>
    <row r="57" spans="1:22" x14ac:dyDescent="0.15">
      <c r="C57" t="s">
        <v>1766</v>
      </c>
      <c r="K57" t="s">
        <v>1435</v>
      </c>
      <c r="S57" s="36" t="str">
        <f t="shared" si="0"/>
        <v>{szContent="逐鹿中原前线战况空前激烈，位于阴山大草原的分线据点争夺将于5分钟后开启！未能进入前线据点争夺场景的侠士可从沙盘地图（Ctrl + M）动态分线入口，或主城战场区小曾和小珍处进入分线场景。\n",col={255,255,100,},[20]={},tCountdown={{nClass=20,nIcon=3536,nFrame=3,szName="小攻防·阴山大草原·分流",nTime=10,nRefresh=3600,key="小攻防·阴山大草原·分流",},},},</v>
      </c>
      <c r="T57" t="s">
        <v>1765</v>
      </c>
    </row>
    <row r="58" spans="1:22" x14ac:dyDescent="0.15">
      <c r="C58" t="s">
        <v>1774</v>
      </c>
      <c r="K58" t="s">
        <v>1435</v>
      </c>
      <c r="S58" s="36" t="str">
        <f t="shared" si="0"/>
        <v>{szContent="据点争夺战即将开始，为防弄虚作假者，即将对据点活动地图进行清场操作，请各阵营侠士做好准备。拥有据点地图优先进入权的帮众可提前进入地图以作防守准备，不会被清出地图。\n",col={255,255,100,},[20]={},tCountdown={{nClass=20,nIcon=3536,nFrame=0,szName="据点争夺战·开始排队",nTime=10,key="攻防活动",},},},</v>
      </c>
      <c r="T58" t="s">
        <v>1985</v>
      </c>
    </row>
    <row r="59" spans="1:22" x14ac:dyDescent="0.15">
      <c r="C59" t="s">
        <v>1768</v>
      </c>
      <c r="K59" t="s">
        <v>1435</v>
      </c>
      <c r="S59" s="36" t="str">
        <f t="shared" si="0"/>
        <v>{szContent="阵营攻防首领战奇袭场分线已经开启，现可前往本日奇袭场分线参与争夺，也可通过主城战场区分线接引人前往各个奇袭场分线参与。\n",col={255,255,100,},[20]={},tCountdown={{nClass=20,nIcon=3536,nFrame=3,szName="攻防·奇袭场·分线·开启",nTime=10,nRefresh=7200,key="大攻防·分流",},},},</v>
      </c>
      <c r="T59" t="s">
        <v>1769</v>
      </c>
    </row>
    <row r="60" spans="1:22" x14ac:dyDescent="0.15">
      <c r="C60" t="s">
        <v>1758</v>
      </c>
      <c r="K60" t="s">
        <v>1448</v>
      </c>
      <c r="S60" s="36" t="str">
        <f t="shared" si="0"/>
        <v>{szContent="阵营攻防排队正式开始，侠士们速速前往恶人谷地图参与排队，亦可与主城战场的冷倪之、冷允之对话进行排队。\n",col={255,100,100,},[20]={},tCountdown={{nClass=20,nIcon=14889,nFrame=3,szName="阵营攻防排队·正式开始",nTime=60,key="攻防活动",},{nClass=20,nIcon=17582,nFrame=3,szName="主战场·恶人谷",nTime=60,key="大攻防·主战场",},{nClass=20,nIcon=17583,nFrame=7,szName="奇袭场·浩气盟",nTime=60,key="大攻防·奇袭场",},},},</v>
      </c>
      <c r="T60" t="s">
        <v>1979</v>
      </c>
      <c r="U60" t="s">
        <v>1759</v>
      </c>
      <c r="V60" t="s">
        <v>1760</v>
      </c>
    </row>
    <row r="61" spans="1:22" x14ac:dyDescent="0.15">
      <c r="C61" t="s">
        <v>1761</v>
      </c>
      <c r="K61" t="s">
        <v>1741</v>
      </c>
      <c r="S61" s="36" t="str">
        <f t="shared" si="0"/>
        <v>{szContent="阵营攻防排队正式开始，侠士们速速前往浩气盟地图参与排队，亦可与主城战场的冷倪之、冷允之对话进行排队。\n",col={100,100,255,},[20]={},tCountdown={{nClass=20,nIcon=14890,nFrame=7,szName="阵营攻防排队·正式开始",nTime=60,key="攻防活动",},{nClass=20,nIcon=17583,nFrame=7,szName="主战场·浩气盟",nTime=60,key="大攻防·主战场",},{nClass=20,nIcon=17582,nFrame=3,szName="奇袭场·恶人谷",nTime=60,key="大攻防·奇袭场",},},},</v>
      </c>
      <c r="T61" t="s">
        <v>1980</v>
      </c>
      <c r="U61" t="s">
        <v>1762</v>
      </c>
      <c r="V61" t="s">
        <v>1763</v>
      </c>
    </row>
    <row r="62" spans="1:22" x14ac:dyDescent="0.15">
      <c r="C62" t="s">
        <v>1770</v>
      </c>
      <c r="K62" t="s">
        <v>1448</v>
      </c>
      <c r="S62" s="36" t="str">
        <f t="shared" si="0"/>
        <v>{szContent="阵营攻防战即将开始，为防弄虚作假者，即将对“恶人谷”地图进行清场操作，并在“下午六点三十分”开始攻防排队，请侠士们做好准备。请勿在下午六点三十分前排队，将被视为无效。\n",col={255,100,100,},[20]={},tCountdown={{nClass=20,nIcon=14887,nFrame=0,bHold=true,szName="阵营攻防·恶人谷·18:30排队",nTime=600,key="攻防活动",},},},</v>
      </c>
      <c r="T62" t="s">
        <v>1981</v>
      </c>
    </row>
    <row r="63" spans="1:22" x14ac:dyDescent="0.15">
      <c r="C63" t="s">
        <v>1771</v>
      </c>
      <c r="K63" t="s">
        <v>1448</v>
      </c>
      <c r="S63" s="36" t="str">
        <f t="shared" si="0"/>
        <v>{szContent="阵营攻防战即将开始，为防弄虚作假者，即将对“恶人谷”地图进行清场操作，并在“中午十二点三十分”开始攻防排队，请侠士们做好准备。请勿在中午十二点三十分前排队，将被视为无效。\n",col={255,100,100,},[20]={},tCountdown={{nClass=20,nIcon=14887,nFrame=0,bHold=true,szName="阵营攻防·恶人谷·12:30排队",nTime=600,key="攻防活动",},},},</v>
      </c>
      <c r="T63" t="s">
        <v>1982</v>
      </c>
    </row>
    <row r="64" spans="1:22" x14ac:dyDescent="0.15">
      <c r="C64" t="s">
        <v>1772</v>
      </c>
      <c r="K64" t="s">
        <v>1741</v>
      </c>
      <c r="S64" s="36" t="str">
        <f t="shared" si="0"/>
        <v>{szContent="阵营攻防战即将开始，为防弄虚作假者，即将对“浩气盟”地图进行清场操作，并在“下午六点三十分”开始攻防排队，请侠士们做好准备。请勿在下午六点三十分前排队，将被视为无效。\n",col={100,100,255,},[20]={},tCountdown={{nClass=20,nIcon=14888,nFrame=0,bHold=true,szName="阵营攻防·浩气盟·18:30排队",nTime=600,key="攻防活动",},},},</v>
      </c>
      <c r="T64" t="s">
        <v>1983</v>
      </c>
    </row>
    <row r="65" spans="1:29" x14ac:dyDescent="0.15">
      <c r="C65" t="s">
        <v>1773</v>
      </c>
      <c r="K65" t="s">
        <v>1741</v>
      </c>
      <c r="S65" s="36" t="str">
        <f t="shared" si="0"/>
        <v>{szContent="阵营攻防战即将开始，为防弄虚作假者，即将对“浩气盟”地图进行清场操作，并在“中午十二点三十分”开始攻防排队，请侠士们做好准备。请勿在中午十二点三十分前排队，将被视为无效。\n",col={100,100,255,},[20]={},tCountdown={{nClass=20,nIcon=14888,nFrame=0,bHold=true,szName="阵营攻防·浩气盟·12:30排队",nTime=600,key="攻防活动",},},},</v>
      </c>
      <c r="T65" t="s">
        <v>1984</v>
      </c>
    </row>
    <row r="66" spans="1:29" x14ac:dyDescent="0.15">
      <c r="A66" t="s">
        <v>1615</v>
      </c>
      <c r="B66">
        <v>-7</v>
      </c>
      <c r="S66" s="36" t="str">
        <f t="shared" si="0"/>
        <v>},[-7]={</v>
      </c>
    </row>
    <row r="67" spans="1:29" x14ac:dyDescent="0.15">
      <c r="C67" t="s">
        <v>1586</v>
      </c>
      <c r="D67" t="s">
        <v>1601</v>
      </c>
      <c r="K67" t="s">
        <v>1435</v>
      </c>
      <c r="M67">
        <v>1</v>
      </c>
      <c r="S67" s="36" t="str">
        <f t="shared" ref="S67:S130" si="6">IF(ISBLANK(B67)=FALSE,IF(ISBLANK(B66),"},["&amp;B67&amp;"]={","["&amp;B67&amp;"]={"),IF(AND(ISBLANK(B67),ISBLANK(C67),ISBLANK(L67),ISBLANK(M67),OR(ISBLANK(B66)=FALSE,ISBLANK(C66)=FALSE,ISBLANK(L66)=FALSE,ISBLANK(M66)=FALSE)),"},},}",IF(ISBLANK(C67),"","{szContent="""&amp;C67&amp;""","&amp;IF(D67&lt;&gt;"","szNote="""&amp;D67&amp;""",","")&amp;IF(K67&lt;&gt;"","col={"&amp;K67&amp;"},","")&amp;IF(L67&gt;0,"bSearch=true,","")&amp;IF(M67&gt;0,"bReg=true,","")&amp;"[20]={"&amp;IF(N67&gt;0,"szVoice="""&amp;N67&amp;""",","")&amp;IF(O67&gt;0,"bTeamChannel=true,","")&amp;IF(P67&gt;0,"bWhisperChannel=true,","")&amp;IF(Q67&gt;0,"bCenterAlarm=true,","")&amp;IF(R67&gt;0,"bScreenHead=true,","")&amp;"},"&amp;IF(T67&lt;&gt;"","tCountdown={"&amp;_xlfn.TEXTJOIN("",TRUE,T67:AAE67)&amp;"},","")&amp;"},")))</f>
        <v>{szContent="([浩气恶人]+)[盟谷]-的【(.-)】帮会成功占领【(.-)】据点！",szNote="{$3}·{$1}占领",col={255,255,100,},bReg=true,[20]={},tCountdown={{nClass=20,nIcon=20114,nFrame=3,szName="【{$3}】·恶人占领",nTime=30,nRefresh=1,key="{$3}·浩气占领",},{nClass=20,nIcon=20122,nFrame=7,szName="【{$3}】·浩气占领",nTime=30,nRefresh=1,key="{$3}·恶人占领",},{nClass=20,nIcon=2400,nFrame=7,szName="{$3}·{$1}占领",nTime=-1,key="{$3}·{$1}占领",},},},</v>
      </c>
      <c r="T67" s="36" t="s">
        <v>2044</v>
      </c>
      <c r="U67" s="36" t="s">
        <v>2045</v>
      </c>
      <c r="V67" s="36" t="s">
        <v>2046</v>
      </c>
      <c r="W67" s="36"/>
      <c r="X67" s="36"/>
      <c r="Y67" s="36"/>
      <c r="Z67" s="36"/>
      <c r="AA67" s="36"/>
      <c r="AB67" s="36"/>
      <c r="AC67" s="36"/>
    </row>
    <row r="68" spans="1:29" x14ac:dyDescent="0.15">
      <c r="C68" t="s">
        <v>1788</v>
      </c>
      <c r="K68" t="s">
        <v>1741</v>
      </c>
      <c r="L68">
        <v>1</v>
      </c>
      <c r="S68" s="36" t="str">
        <f t="shared" si="6"/>
        <v>{szContent="留下大量军功，请“浩气盟”侠士们前来拾取，切莫错过。",col={100,100,255,},bSearch=true,[20]={},tCountdown={{nClass=20,nIcon=2397,nFrame=5,szName="浩气盟·拾取首领掉落",nTime="300,浩气盟·拾取首领掉落;600,狼牙先锋首领·5分钟刷新;622,狼牙先锋首领·即将刷新",nRefresh=1,key="狼牙先锋首领",},},},</v>
      </c>
      <c r="T68" t="s">
        <v>1789</v>
      </c>
    </row>
    <row r="69" spans="1:29" x14ac:dyDescent="0.15">
      <c r="C69" t="s">
        <v>1790</v>
      </c>
      <c r="K69" t="s">
        <v>1448</v>
      </c>
      <c r="L69">
        <v>1</v>
      </c>
      <c r="S69" s="36" t="str">
        <f t="shared" si="6"/>
        <v>{szContent="留下大量军功，请“恶人谷”侠士们前来拾取，切莫错过。",col={255,100,100,},bSearch=true,[20]={},tCountdown={{nClass=20,nIcon=2398,nFrame=3,szName="恶人谷·拾取首领掉落",nTime="300,恶人谷·拾取首领掉落;600,狼牙先锋首领·5分钟刷新;622,狼牙先锋首领·即将刷新",nRefresh=1,key="狼牙先锋首领",},},},</v>
      </c>
      <c r="T69" t="s">
        <v>1791</v>
      </c>
    </row>
    <row r="70" spans="1:29" x14ac:dyDescent="0.15">
      <c r="C70" t="s">
        <v>1784</v>
      </c>
      <c r="K70" t="s">
        <v>1435</v>
      </c>
      <c r="S70" s="36" t="str">
        <f t="shared" si="6"/>
        <v>{szContent="本场贡献值进入前1200名，额外获得3000威名，可通过邮件领取\n",col={255,255,100,},[20]={},tCountdown={{nClass=20,nIcon=3536,nFrame=6,szName="攻防进入前1200名",nTime=10,key="攻防活动",},},},</v>
      </c>
      <c r="T70" t="s">
        <v>1990</v>
      </c>
    </row>
    <row r="71" spans="1:29" x14ac:dyDescent="0.15">
      <c r="C71" t="s">
        <v>1785</v>
      </c>
      <c r="D71" t="s">
        <v>1787</v>
      </c>
      <c r="K71" t="s">
        <v>1435</v>
      </c>
      <c r="Q71">
        <v>1</v>
      </c>
      <c r="S71" s="36" t="str">
        <f t="shared" si="6"/>
        <v>{szContent="据点争夺已结束，所有交通已恢复。\n",szNote="据点攻防·已结束",col={255,255,100,},[20]={bCenterAlarm=true,},tCountdown={{nClass=20,nIcon=3536,nFrame=3,szName="据点攻防结束",nTime=5,key="攻防活动",},{nClass=20,nIcon=3556,nFrame=3,szName="狼牙先锋首领",nTime=0,key="狼牙先锋首领",},},},</v>
      </c>
      <c r="T71" t="s">
        <v>1986</v>
      </c>
      <c r="U71" t="s">
        <v>1786</v>
      </c>
    </row>
    <row r="72" spans="1:29" x14ac:dyDescent="0.15">
      <c r="C72" t="s">
        <v>1776</v>
      </c>
      <c r="K72" t="s">
        <v>1741</v>
      </c>
      <c r="S72" s="36" t="str">
        <f t="shared" si="6"/>
        <v>{szContent="浩气盟前线战况空前激烈！未能进入浩气盟前线据点争夺场景参与战斗的侠士，可前往黑戈壁助本阵营后方物资运送一臂之力！只需完成增援任务，也可以参与本日逐鹿中原结算奖励发放。\n",col={100,100,255,},[20]={},tCountdown={{nClass=20,nIcon=18784,nFrame=7,szName="浩气盟·小攻防·黑戈壁分流",nTime=30,nRefresh=3600,key="浩气盟·小攻防·黑戈壁分流",},},},</v>
      </c>
      <c r="T72" t="s">
        <v>1777</v>
      </c>
    </row>
    <row r="73" spans="1:29" x14ac:dyDescent="0.15">
      <c r="C73" t="s">
        <v>1778</v>
      </c>
      <c r="K73" t="s">
        <v>1448</v>
      </c>
      <c r="S73" s="36" t="str">
        <f t="shared" si="6"/>
        <v>{szContent="恶人谷前线战况空前激烈！未能进入恶人谷前线据点争夺场景参与战斗的侠士，可前往黑戈壁助本阵营后方物资运送一臂之力！只需完成增援任务，也可以参与本日逐鹿中原结算奖励发放。\n",col={255,100,100,},[20]={},tCountdown={{nClass=20,nIcon=18783,nFrame=3,szName="恶人谷·小攻防·黑戈壁分流",nTime=30,nRefresh=3600,key="恶人谷·小攻防·黑戈壁分流",},},},</v>
      </c>
      <c r="T73" t="s">
        <v>1877</v>
      </c>
    </row>
    <row r="74" spans="1:29" x14ac:dyDescent="0.15">
      <c r="C74" t="s">
        <v>1767</v>
      </c>
      <c r="K74" t="s">
        <v>1435</v>
      </c>
      <c r="S74" s="36" t="str">
        <f t="shared" si="6"/>
        <v>{szContent="阴山大草原·分线据点争夺正式开始，场景内交通已中断。\n",col={255,255,100,},[20]={},tCountdown={{nClass=20,nIcon=3536,nFrame=3,szName="小攻防·阴山大草原·分流",nTime=10,nRefresh=3600,key="小攻防·阴山大草原·分流",},},},</v>
      </c>
      <c r="T74" t="s">
        <v>1765</v>
      </c>
    </row>
    <row r="75" spans="1:29" x14ac:dyDescent="0.15">
      <c r="C75" t="s">
        <v>1764</v>
      </c>
      <c r="K75" t="s">
        <v>1435</v>
      </c>
      <c r="S75" s="36" t="str">
        <f t="shared" si="6"/>
        <v>{szContent="前线战况空前激烈！未能进入前线据点争夺场景参与战斗的侠士，可前往阴山大草原助本阵营后方物资运送一臂之力！只需完成增援任务，也可以参与本日逐鹿中原结算奖励发放。\n",col={255,255,100,},[20]={},tCountdown={{nClass=20,nIcon=3536,nFrame=3,szName="小攻防·阴山大草原·分流",nTime=10,nRefresh=3600,key="小攻防·阴山大草原·分流",},},},</v>
      </c>
      <c r="T75" t="s">
        <v>1765</v>
      </c>
    </row>
    <row r="76" spans="1:29" x14ac:dyDescent="0.15">
      <c r="C76" t="s">
        <v>1766</v>
      </c>
      <c r="K76" t="s">
        <v>1435</v>
      </c>
      <c r="S76" s="36" t="str">
        <f t="shared" si="6"/>
        <v>{szContent="逐鹿中原前线战况空前激烈，位于阴山大草原的分线据点争夺将于5分钟后开启！未能进入前线据点争夺场景的侠士可从沙盘地图（Ctrl + M）动态分线入口，或主城战场区小曾和小珍处进入分线场景。\n",col={255,255,100,},[20]={},tCountdown={{nClass=20,nIcon=3536,nFrame=3,szName="小攻防·阴山大草原·分流",nTime=10,nRefresh=3600,key="小攻防·阴山大草原·分流",},},},</v>
      </c>
      <c r="T76" t="s">
        <v>1765</v>
      </c>
    </row>
    <row r="77" spans="1:29" x14ac:dyDescent="0.15">
      <c r="C77" t="s">
        <v>1781</v>
      </c>
      <c r="D77" t="s">
        <v>1782</v>
      </c>
      <c r="K77" t="s">
        <v>1435</v>
      </c>
      <c r="Q77">
        <v>1</v>
      </c>
      <c r="S77" s="36" t="str">
        <f t="shared" si="6"/>
        <v>{szContent="前线据点之争已经打响，争夺正式开始，沙盘地图（CTRL + M）绘有详细战略意图，谁将称霸中原，我们拭目以待！\n",szNote="据点攻防·正式开始",col={255,255,100,},[20]={bCenterAlarm=true,},tCountdown={{nClass=20,nIcon=3536,nFrame=0,szName="据点攻防·正式开始",nTime=10,nRefresh=1,key="攻防活动",},},},</v>
      </c>
      <c r="T77" t="s">
        <v>1987</v>
      </c>
    </row>
    <row r="78" spans="1:29" x14ac:dyDescent="0.15">
      <c r="C78" t="s">
        <v>1783</v>
      </c>
      <c r="K78" t="s">
        <v>1435</v>
      </c>
      <c r="S78" s="36" t="str">
        <f t="shared" si="6"/>
        <v>{szContent="攻防排队即将开始，为公平起见，对排队做了清空处理，请侠士速速重新排队。",col={255,255,100,},[20]={},tCountdown={{nClass=20,nIcon=3536,nFrame=0,szName="攻防排队·失效",nTime=2,key="攻防活动",},},},</v>
      </c>
      <c r="T78" t="s">
        <v>1988</v>
      </c>
    </row>
    <row r="79" spans="1:29" x14ac:dyDescent="0.15">
      <c r="C79" t="s">
        <v>1774</v>
      </c>
      <c r="K79" t="s">
        <v>1435</v>
      </c>
      <c r="S79" s="36" t="str">
        <f t="shared" si="6"/>
        <v>{szContent="据点争夺战即将开始，为防弄虚作假者，即将对据点活动地图进行清场操作，请各阵营侠士做好准备。拥有据点地图优先进入权的帮众可提前进入地图以作防守准备，不会被清出地图。\n",col={255,255,100,},[20]={},tCountdown={{nClass=20,nIcon=3536,nFrame=0,szName="据点争夺战·开始排队",nTime=10,key="攻防活动",},{nClass=-1,nIcon=439,nFrame=0,szName="60,小攻防排队正式开始;180,小攻防据点清场;480,等待放人",nTime=0,},},},</v>
      </c>
      <c r="T79" t="s">
        <v>1985</v>
      </c>
      <c r="U79" t="s">
        <v>1775</v>
      </c>
    </row>
    <row r="80" spans="1:29" x14ac:dyDescent="0.15">
      <c r="C80" t="s">
        <v>1768</v>
      </c>
      <c r="K80" t="s">
        <v>1435</v>
      </c>
      <c r="S80" s="36" t="str">
        <f t="shared" si="6"/>
        <v>{szContent="阵营攻防首领战奇袭场分线已经开启，现可前往本日奇袭场分线参与争夺，也可通过主城战场区分线接引人前往各个奇袭场分线参与。\n",col={255,255,100,},[20]={},tCountdown={{nClass=20,nIcon=3536,nFrame=3,szName="攻防·奇袭场·分线·开启",nTime=10,nRefresh=7200,key="大攻防·分流",},},},</v>
      </c>
      <c r="T80" t="s">
        <v>1769</v>
      </c>
    </row>
    <row r="81" spans="1:26" x14ac:dyDescent="0.15">
      <c r="C81" t="s">
        <v>1758</v>
      </c>
      <c r="K81" t="s">
        <v>1448</v>
      </c>
      <c r="S81" s="36" t="str">
        <f t="shared" si="6"/>
        <v>{szContent="阵营攻防排队正式开始，侠士们速速前往恶人谷地图参与排队，亦可与主城战场的冷倪之、冷允之对话进行排队。\n",col={255,100,100,},[20]={},tCountdown={{nClass=20,nIcon=14889,nFrame=3,szName="阵营攻防排队·正式开始",nTime=60,key="攻防活动",},{nClass=20,nIcon=17582,nFrame=3,szName="主战场·恶人谷",nTime=60,key="大攻防·主战场",},{nClass=20,nIcon=17583,nFrame=7,szName="奇袭场·浩气盟",nTime=60,key="大攻防·奇袭场",},},},</v>
      </c>
      <c r="T81" t="s">
        <v>1979</v>
      </c>
      <c r="U81" t="s">
        <v>1759</v>
      </c>
      <c r="V81" t="s">
        <v>1760</v>
      </c>
    </row>
    <row r="82" spans="1:26" x14ac:dyDescent="0.15">
      <c r="C82" t="s">
        <v>1761</v>
      </c>
      <c r="K82" t="s">
        <v>1741</v>
      </c>
      <c r="S82" s="36" t="str">
        <f t="shared" si="6"/>
        <v>{szContent="阵营攻防排队正式开始，侠士们速速前往浩气盟地图参与排队，亦可与主城战场的冷倪之、冷允之对话进行排队。\n",col={100,100,255,},[20]={},tCountdown={{nClass=20,nIcon=14890,nFrame=7,szName="阵营攻防排队·正式开始",nTime=60,key="攻防活动",},{nClass=20,nIcon=17583,nFrame=7,szName="主战场·浩气盟",nTime=60,key="大攻防·主战场",},{nClass=20,nIcon=17582,nFrame=3,szName="奇袭场·恶人谷",nTime=60,key="大攻防·奇袭场",},},},</v>
      </c>
      <c r="T82" t="s">
        <v>1980</v>
      </c>
      <c r="U82" t="s">
        <v>1762</v>
      </c>
      <c r="V82" t="s">
        <v>1763</v>
      </c>
    </row>
    <row r="83" spans="1:26" x14ac:dyDescent="0.15">
      <c r="C83" t="s">
        <v>1770</v>
      </c>
      <c r="K83" t="s">
        <v>1448</v>
      </c>
      <c r="S83" s="36" t="str">
        <f t="shared" si="6"/>
        <v>{szContent="阵营攻防战即将开始，为防弄虚作假者，即将对“恶人谷”地图进行清场操作，并在“下午六点三十分”开始攻防排队，请侠士们做好准备。请勿在下午六点三十分前排队，将被视为无效。\n",col={255,100,100,},[20]={},tCountdown={{nClass=20,nIcon=14887,nFrame=0,bHold=true,szName="阵营攻防·恶人谷·18:30排队",nTime=600,key="攻防活动",},},},</v>
      </c>
      <c r="T83" t="s">
        <v>1981</v>
      </c>
    </row>
    <row r="84" spans="1:26" x14ac:dyDescent="0.15">
      <c r="C84" t="s">
        <v>1771</v>
      </c>
      <c r="K84" t="s">
        <v>1448</v>
      </c>
      <c r="S84" s="36" t="str">
        <f t="shared" si="6"/>
        <v>{szContent="阵营攻防战即将开始，为防弄虚作假者，即将对“恶人谷”地图进行清场操作，并在“中午十二点三十分”开始攻防排队，请侠士们做好准备。请勿在中午十二点三十分前排队，将被视为无效。\n",col={255,100,100,},[20]={},tCountdown={{nClass=20,nIcon=14887,nFrame=0,bHold=true,szName="阵营攻防·恶人谷·12:30排队",nTime=600,key="攻防活动",},},},</v>
      </c>
      <c r="T84" t="s">
        <v>1982</v>
      </c>
    </row>
    <row r="85" spans="1:26" x14ac:dyDescent="0.15">
      <c r="C85" t="s">
        <v>1772</v>
      </c>
      <c r="K85" t="s">
        <v>1741</v>
      </c>
      <c r="S85" s="36" t="str">
        <f t="shared" si="6"/>
        <v>{szContent="阵营攻防战即将开始，为防弄虚作假者，即将对“浩气盟”地图进行清场操作，并在“下午六点三十分”开始攻防排队，请侠士们做好准备。请勿在下午六点三十分前排队，将被视为无效。\n",col={100,100,255,},[20]={},tCountdown={{nClass=20,nIcon=14888,nFrame=0,bHold=true,szName="阵营攻防·浩气盟·18:30排队",nTime=600,key="攻防活动",},},},</v>
      </c>
      <c r="T85" t="s">
        <v>1983</v>
      </c>
    </row>
    <row r="86" spans="1:26" x14ac:dyDescent="0.15">
      <c r="C86" t="s">
        <v>1773</v>
      </c>
      <c r="K86" t="s">
        <v>1741</v>
      </c>
      <c r="S86" s="36" t="str">
        <f t="shared" si="6"/>
        <v>{szContent="阵营攻防战即将开始，为防弄虚作假者，即将对“浩气盟”地图进行清场操作，并在“中午十二点三十分”开始攻防排队，请侠士们做好准备。请勿在中午十二点三十分前排队，将被视为无效。\n",col={100,100,255,},[20]={},tCountdown={{nClass=20,nIcon=14888,nFrame=0,bHold=true,szName="阵营攻防·浩气盟·12:30排队",nTime=600,key="攻防活动",},},},</v>
      </c>
      <c r="T86" t="s">
        <v>1984</v>
      </c>
    </row>
    <row r="87" spans="1:26" x14ac:dyDescent="0.15">
      <c r="C87" t="s">
        <v>1780</v>
      </c>
      <c r="K87" t="s">
        <v>1435</v>
      </c>
      <c r="S87" s="36" t="str">
        <f t="shared" si="6"/>
        <v>{szContent="为保障各位侠士的安全，浩气盟和恶人谷重新派出了守卫，在野外地图侠士重伤后复活可回到阵营复活点！\n",col={255,255,100,},[20]={},tCountdown={{nClass=20,nIcon=3536,nFrame=0,szName="",nTime="30,阵营玩家复活点改为阵营复活点;600,据点攻防排队剩余18分钟;1200,据点攻防排队剩余8分钟;1380,据点攻防排队剩余5分钟;1440,据点攻防排队剩余4分钟;1500,据点攻防排队剩余3分钟;1560,据点攻防排队剩余2分钟;1620,据点攻防排队剩余60秒;1670,据点攻防排队剩余10秒;1680,据点攻防开始排队;1800,据点攻防清场剩余;3600,据点攻防正式开始剩余",nRefresh=2,key="攻防活动",},},},</v>
      </c>
      <c r="T87" t="s">
        <v>1989</v>
      </c>
    </row>
    <row r="88" spans="1:26" s="36" customFormat="1" x14ac:dyDescent="0.15">
      <c r="A88" s="36" t="s">
        <v>132</v>
      </c>
      <c r="B88" s="36">
        <v>22</v>
      </c>
      <c r="S88" s="36" t="str">
        <f t="shared" si="6"/>
        <v>},[22]={</v>
      </c>
    </row>
    <row r="89" spans="1:26" s="36" customFormat="1" x14ac:dyDescent="0.15">
      <c r="C89" s="36" t="s">
        <v>1586</v>
      </c>
      <c r="D89" s="36" t="s">
        <v>1601</v>
      </c>
      <c r="K89" s="36" t="s">
        <v>1435</v>
      </c>
      <c r="M89" s="36">
        <v>1</v>
      </c>
      <c r="S89" s="36" t="str">
        <f t="shared" si="6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89" s="36" t="s">
        <v>2036</v>
      </c>
      <c r="U89" s="36" t="s">
        <v>1590</v>
      </c>
      <c r="V89" s="36" t="s">
        <v>2037</v>
      </c>
      <c r="W89" s="36" t="s">
        <v>1591</v>
      </c>
      <c r="X89" s="36" t="s">
        <v>1610</v>
      </c>
      <c r="Y89" s="36" t="s">
        <v>1592</v>
      </c>
      <c r="Z89" s="36" t="s">
        <v>1593</v>
      </c>
    </row>
    <row r="90" spans="1:26" s="36" customFormat="1" x14ac:dyDescent="0.15">
      <c r="C90" s="36" t="s">
        <v>1587</v>
      </c>
      <c r="D90" s="36" t="s">
        <v>1602</v>
      </c>
      <c r="K90" s="36" t="s">
        <v>1435</v>
      </c>
      <c r="M90" s="36">
        <v>1</v>
      </c>
      <c r="S90" s="36" t="str">
        <f t="shared" si="6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90" s="36" t="s">
        <v>2038</v>
      </c>
      <c r="U90" s="36" t="s">
        <v>1594</v>
      </c>
      <c r="V90" s="36" t="s">
        <v>2039</v>
      </c>
      <c r="W90" s="36" t="s">
        <v>1595</v>
      </c>
      <c r="X90" s="36" t="s">
        <v>1611</v>
      </c>
      <c r="Y90" s="36" t="s">
        <v>1613</v>
      </c>
      <c r="Z90" s="36" t="s">
        <v>1614</v>
      </c>
    </row>
    <row r="91" spans="1:26" s="36" customFormat="1" x14ac:dyDescent="0.15">
      <c r="C91" s="36" t="s">
        <v>1588</v>
      </c>
      <c r="D91" s="36" t="s">
        <v>1603</v>
      </c>
      <c r="K91" s="36" t="s">
        <v>1435</v>
      </c>
      <c r="M91" s="36">
        <v>1</v>
      </c>
      <c r="S91" s="36" t="str">
        <f t="shared" si="6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91" s="36" t="s">
        <v>1596</v>
      </c>
    </row>
    <row r="92" spans="1:26" s="36" customFormat="1" x14ac:dyDescent="0.15">
      <c r="C92" s="36" t="s">
        <v>1589</v>
      </c>
      <c r="D92" s="36" t="s">
        <v>1604</v>
      </c>
      <c r="K92" s="36" t="s">
        <v>1435</v>
      </c>
      <c r="M92" s="36">
        <v>1</v>
      </c>
      <c r="S92" s="36" t="str">
        <f t="shared" si="6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92" s="36" t="s">
        <v>2040</v>
      </c>
      <c r="U92" s="36" t="s">
        <v>1597</v>
      </c>
      <c r="V92" s="36" t="s">
        <v>2041</v>
      </c>
      <c r="W92" s="36" t="s">
        <v>1598</v>
      </c>
      <c r="X92" s="36" t="s">
        <v>1612</v>
      </c>
      <c r="Y92" s="36" t="s">
        <v>1599</v>
      </c>
      <c r="Z92" s="36" t="s">
        <v>1600</v>
      </c>
    </row>
    <row r="93" spans="1:26" s="36" customFormat="1" x14ac:dyDescent="0.15">
      <c r="C93" s="36" t="s">
        <v>1870</v>
      </c>
      <c r="K93" s="36" t="s">
        <v>1435</v>
      </c>
      <c r="S93" s="36" t="str">
        <f t="shared" si="6"/>
        <v>{szContent="本场浩气盟攻防即将结束，南屏山物资运送暂且休整，等待下一场攻防开启！\n",col={255,255,100,},[20]={},tCountdown={{nClass=20,nIcon=17135,nFrame=0,szName="粮草先行·活动结束",nTime=5,key="粮草先行·浩气盟",},{nClass=20,nIcon=17135,nFrame=0,szName="粮草先行·恶人谷",nTime=0,key="粮草先行·恶人谷",},},},</v>
      </c>
      <c r="T93" s="36" t="s">
        <v>1873</v>
      </c>
      <c r="U93" s="36" t="s">
        <v>1748</v>
      </c>
    </row>
    <row r="94" spans="1:26" s="36" customFormat="1" x14ac:dyDescent="0.15">
      <c r="C94" s="36" t="s">
        <v>1755</v>
      </c>
      <c r="K94" s="36" t="s">
        <v>1448</v>
      </c>
      <c r="S94" s="36" t="str">
        <f t="shared" si="6"/>
        <v>{szContent="赵新宇死亡时，从他身上遗落一把短笛，貌似是他的随身信物。\n",col={255,100,100,},[20]={},tCountdown={{nClass=20,nIcon=589,nFrame=7,szName="赵新宇",nTime=0,key="赵新宇",},{nClass=20,nIcon=589,nFrame=7,szName="",nTime="60,赵新宇的信物;300,赵新宇·刷新剩余;310,赵新宇·即将刷新",nRefresh=60,key="赵新宇",},},},</v>
      </c>
      <c r="T94" s="36" t="s">
        <v>1958</v>
      </c>
      <c r="U94" s="36" t="s">
        <v>2018</v>
      </c>
    </row>
    <row r="95" spans="1:26" s="36" customFormat="1" x14ac:dyDescent="0.15">
      <c r="C95" s="36" t="s">
        <v>1754</v>
      </c>
      <c r="K95" s="36" t="s">
        <v>1741</v>
      </c>
      <c r="S95" s="36" t="str">
        <f t="shared" si="6"/>
        <v>{szContent="随着方超的死亡，一把短笛掉了出来，貌似是他的随身信物。\n",col={100,100,255,},[20]={},tCountdown={{nClass=20,nIcon=308,nFrame=3,szName="方超",nTime=0,key="方超",},{nClass=20,nIcon=308,nFrame=3,szName="",nTime="60,方超的信物;300,方超·刷新剩余;310,方超·即将刷新",nRefresh=60,key="方超",},},},</v>
      </c>
      <c r="T95" s="36" t="s">
        <v>1959</v>
      </c>
      <c r="U95" s="36" t="s">
        <v>2019</v>
      </c>
    </row>
    <row r="96" spans="1:26" s="36" customFormat="1" x14ac:dyDescent="0.15">
      <c r="C96" s="36" t="s">
        <v>1757</v>
      </c>
      <c r="K96" s="36" t="s">
        <v>1448</v>
      </c>
      <c r="S96" s="36" t="str">
        <f t="shared" si="6"/>
        <v>{szContent="南屏山恶人谷伴江村援军已到，营地夺回，交通恢复！\n",col={255,100,100,},[20]={},tCountdown={{nClass=20,nIcon=589,nFrame=7,szName="赵新宇·已刷新",nTime=10,nRefresh=600,key="赵新宇",},},},</v>
      </c>
      <c r="T96" s="36" t="s">
        <v>1961</v>
      </c>
    </row>
    <row r="97" spans="1:26" s="36" customFormat="1" x14ac:dyDescent="0.15">
      <c r="C97" s="36" t="s">
        <v>1756</v>
      </c>
      <c r="K97" s="36" t="s">
        <v>1741</v>
      </c>
      <c r="S97" s="36" t="str">
        <f t="shared" si="6"/>
        <v>{szContent="南屏山浩气盟望北村援军已到，营地夺回，交通恢复！\n",col={100,100,255,},[20]={},tCountdown={{nClass=20,nIcon=308,nFrame=3,szName="方超·已刷新",nTime=10,nRefresh=600,key="方超",},},},</v>
      </c>
      <c r="T97" s="36" t="s">
        <v>1960</v>
      </c>
    </row>
    <row r="98" spans="1:26" x14ac:dyDescent="0.15">
      <c r="A98" t="s">
        <v>136</v>
      </c>
      <c r="B98">
        <v>30</v>
      </c>
      <c r="S98" s="36" t="str">
        <f t="shared" si="6"/>
        <v>},[30]={</v>
      </c>
    </row>
    <row r="99" spans="1:26" x14ac:dyDescent="0.15">
      <c r="C99" t="s">
        <v>1586</v>
      </c>
      <c r="D99" t="s">
        <v>1601</v>
      </c>
      <c r="K99" t="s">
        <v>1435</v>
      </c>
      <c r="M99">
        <v>1</v>
      </c>
      <c r="S99" s="36" t="str">
        <f t="shared" si="6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99" t="s">
        <v>2036</v>
      </c>
      <c r="U99" t="s">
        <v>1590</v>
      </c>
      <c r="V99" t="s">
        <v>2037</v>
      </c>
      <c r="W99" t="s">
        <v>1591</v>
      </c>
      <c r="X99" t="s">
        <v>1610</v>
      </c>
      <c r="Y99" t="s">
        <v>1592</v>
      </c>
      <c r="Z99" t="s">
        <v>1593</v>
      </c>
    </row>
    <row r="100" spans="1:26" x14ac:dyDescent="0.15">
      <c r="C100" t="s">
        <v>1587</v>
      </c>
      <c r="D100" t="s">
        <v>1602</v>
      </c>
      <c r="K100" t="s">
        <v>1435</v>
      </c>
      <c r="M100">
        <v>1</v>
      </c>
      <c r="S100" s="36" t="str">
        <f t="shared" si="6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00" t="s">
        <v>2038</v>
      </c>
      <c r="U100" t="s">
        <v>1594</v>
      </c>
      <c r="V100" t="s">
        <v>2039</v>
      </c>
      <c r="W100" t="s">
        <v>1595</v>
      </c>
      <c r="X100" t="s">
        <v>1611</v>
      </c>
      <c r="Y100" t="s">
        <v>1613</v>
      </c>
      <c r="Z100" t="s">
        <v>1614</v>
      </c>
    </row>
    <row r="101" spans="1:26" x14ac:dyDescent="0.15">
      <c r="C101" t="s">
        <v>1588</v>
      </c>
      <c r="D101" t="s">
        <v>1603</v>
      </c>
      <c r="K101" t="s">
        <v>1435</v>
      </c>
      <c r="M101">
        <v>1</v>
      </c>
      <c r="S101" s="36" t="str">
        <f t="shared" si="6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01" t="s">
        <v>1596</v>
      </c>
    </row>
    <row r="102" spans="1:26" x14ac:dyDescent="0.15">
      <c r="C102" t="s">
        <v>1589</v>
      </c>
      <c r="D102" t="s">
        <v>1604</v>
      </c>
      <c r="K102" t="s">
        <v>1435</v>
      </c>
      <c r="M102">
        <v>1</v>
      </c>
      <c r="S102" s="36" t="str">
        <f t="shared" si="6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02" t="s">
        <v>2040</v>
      </c>
      <c r="U102" t="s">
        <v>1597</v>
      </c>
      <c r="V102" t="s">
        <v>2041</v>
      </c>
      <c r="W102" t="s">
        <v>1598</v>
      </c>
      <c r="X102" t="s">
        <v>1612</v>
      </c>
      <c r="Y102" t="s">
        <v>1599</v>
      </c>
      <c r="Z102" t="s">
        <v>1600</v>
      </c>
    </row>
    <row r="103" spans="1:26" x14ac:dyDescent="0.15">
      <c r="C103" t="s">
        <v>1747</v>
      </c>
      <c r="K103" t="s">
        <v>1435</v>
      </c>
      <c r="S103" s="36" t="str">
        <f t="shared" si="6"/>
        <v>{szContent="本场恶人谷攻防即将结束，昆仑物资运送暂且休整，等待下一场攻防开启！\n",col={255,255,100,},[20]={},tCountdown={{nClass=20,nIcon=17135,nFrame=0,szName="粮草先行·活动结束",nTime=5,key="粮草先行·恶人谷",},{nClass=20,nIcon=17135,nFrame=0,szName="粮草先行·浩气盟",nTime=0,key="粮草先行·浩气盟",},},},</v>
      </c>
      <c r="T103" t="s">
        <v>1874</v>
      </c>
      <c r="U103" t="s">
        <v>1749</v>
      </c>
    </row>
    <row r="104" spans="1:26" x14ac:dyDescent="0.15">
      <c r="C104" t="s">
        <v>1751</v>
      </c>
      <c r="K104" t="s">
        <v>1448</v>
      </c>
      <c r="S104" s="36" t="str">
        <f t="shared" si="6"/>
        <v>{szContent="随着霸图的死亡，一柄钢刀从他身上滑落，似乎是他的随身信物。\n",col={255,100,100,},[20]={},tCountdown={{nClass=20,nIcon=2864,nFrame=7,szName="霸图",nTime=0,key="霸图",},{nClass=20,nIcon=2864,nFrame=7,szName="",nTime="60,霸图的信物;300,霸图·刷新剩余;310,霸图·即将刷新",nRefresh=60,key="霸图",},},},</v>
      </c>
      <c r="T104" s="36" t="s">
        <v>1963</v>
      </c>
      <c r="U104" s="36" t="s">
        <v>2020</v>
      </c>
    </row>
    <row r="105" spans="1:26" x14ac:dyDescent="0.15">
      <c r="C105" t="s">
        <v>1750</v>
      </c>
      <c r="K105" t="s">
        <v>1741</v>
      </c>
      <c r="S105" s="36" t="str">
        <f t="shared" si="6"/>
        <v>{szContent="随着孙永恒的死亡，一柄短剑从他身上滑落，似乎是他的随身信物。\n",col={100,100,255,},[20]={},tCountdown={{nClass=20,nIcon=845,nFrame=3,szName="孙永恒",nTime=0,key="孙永恒",},{nClass=20,nIcon=845,nFrame=3,szName="",nTime="60,孙永恒的信物;300,孙永恒·刷新剩余;310,孙永恒·即将刷新",nRefresh=60,key="孙永恒",},},},</v>
      </c>
      <c r="T105" s="36" t="s">
        <v>1962</v>
      </c>
      <c r="U105" s="36" t="s">
        <v>2021</v>
      </c>
    </row>
    <row r="106" spans="1:26" x14ac:dyDescent="0.15">
      <c r="C106" t="s">
        <v>1753</v>
      </c>
      <c r="K106" t="s">
        <v>1448</v>
      </c>
      <c r="S106" s="36" t="str">
        <f t="shared" si="6"/>
        <v>{szContent="昆仑山恶人谷西昆仑高地援军已到，营地夺回，交通恢复！\n",col={255,100,100,},[20]={},tCountdown={{nClass=20,nIcon=2864,nFrame=7,szName="霸图·已刷新",nTime=10,nRefresh=600,key="霸图",},},},</v>
      </c>
      <c r="T106" s="36" t="s">
        <v>1965</v>
      </c>
    </row>
    <row r="107" spans="1:26" x14ac:dyDescent="0.15">
      <c r="C107" t="s">
        <v>1752</v>
      </c>
      <c r="K107" t="s">
        <v>1741</v>
      </c>
      <c r="S107" s="36" t="str">
        <f t="shared" si="6"/>
        <v>{szContent="昆仑山浩气盟东昆仑高地援军已到，营地夺回，交通恢复！\n",col={100,100,255,},[20]={},tCountdown={{nClass=20,nIcon=845,nFrame=3,szName="孙永恒·已刷新",nTime=10,nRefresh=600,key="孙永恒",},},},</v>
      </c>
      <c r="T107" s="36" t="s">
        <v>1964</v>
      </c>
    </row>
    <row r="108" spans="1:26" x14ac:dyDescent="0.15">
      <c r="A108" t="s">
        <v>131</v>
      </c>
      <c r="B108">
        <v>21</v>
      </c>
      <c r="S108" s="36" t="str">
        <f t="shared" si="6"/>
        <v>},[21]={</v>
      </c>
    </row>
    <row r="109" spans="1:26" x14ac:dyDescent="0.15">
      <c r="C109" t="s">
        <v>1586</v>
      </c>
      <c r="D109" t="s">
        <v>1601</v>
      </c>
      <c r="K109" t="s">
        <v>1435</v>
      </c>
      <c r="M109">
        <v>1</v>
      </c>
      <c r="S109" s="36" t="str">
        <f t="shared" si="6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09" t="s">
        <v>2036</v>
      </c>
      <c r="U109" t="s">
        <v>1590</v>
      </c>
      <c r="V109" t="s">
        <v>2037</v>
      </c>
      <c r="W109" t="s">
        <v>1591</v>
      </c>
      <c r="X109" t="s">
        <v>1610</v>
      </c>
      <c r="Y109" t="s">
        <v>1592</v>
      </c>
      <c r="Z109" t="s">
        <v>1593</v>
      </c>
    </row>
    <row r="110" spans="1:26" x14ac:dyDescent="0.15">
      <c r="C110" t="s">
        <v>1587</v>
      </c>
      <c r="D110" t="s">
        <v>1602</v>
      </c>
      <c r="K110" t="s">
        <v>1435</v>
      </c>
      <c r="M110">
        <v>1</v>
      </c>
      <c r="S110" s="36" t="str">
        <f t="shared" si="6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10" t="s">
        <v>2038</v>
      </c>
      <c r="U110" t="s">
        <v>1594</v>
      </c>
      <c r="V110" t="s">
        <v>2039</v>
      </c>
      <c r="W110" t="s">
        <v>1595</v>
      </c>
      <c r="X110" t="s">
        <v>1611</v>
      </c>
      <c r="Y110" t="s">
        <v>1613</v>
      </c>
      <c r="Z110" t="s">
        <v>1614</v>
      </c>
    </row>
    <row r="111" spans="1:26" x14ac:dyDescent="0.15">
      <c r="C111" t="s">
        <v>1588</v>
      </c>
      <c r="D111" t="s">
        <v>1603</v>
      </c>
      <c r="K111" t="s">
        <v>1435</v>
      </c>
      <c r="M111">
        <v>1</v>
      </c>
      <c r="S111" s="36" t="str">
        <f t="shared" si="6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11" t="s">
        <v>1596</v>
      </c>
    </row>
    <row r="112" spans="1:26" x14ac:dyDescent="0.15">
      <c r="C112" t="s">
        <v>1589</v>
      </c>
      <c r="D112" t="s">
        <v>1604</v>
      </c>
      <c r="K112" t="s">
        <v>1435</v>
      </c>
      <c r="M112">
        <v>1</v>
      </c>
      <c r="S112" s="36" t="str">
        <f t="shared" si="6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12" t="s">
        <v>2040</v>
      </c>
      <c r="U112" t="s">
        <v>1597</v>
      </c>
      <c r="V112" t="s">
        <v>2041</v>
      </c>
      <c r="W112" t="s">
        <v>1598</v>
      </c>
      <c r="X112" t="s">
        <v>1612</v>
      </c>
      <c r="Y112" t="s">
        <v>1599</v>
      </c>
      <c r="Z112" t="s">
        <v>1600</v>
      </c>
    </row>
    <row r="113" spans="1:26" x14ac:dyDescent="0.15">
      <c r="C113" t="s">
        <v>1755</v>
      </c>
      <c r="K113" t="s">
        <v>1448</v>
      </c>
      <c r="S113" s="36" t="str">
        <f t="shared" si="6"/>
        <v>{szContent="赵新宇死亡时，从他身上遗落一把短笛，貌似是他的随身信物。\n",col={255,100,100,},[20]={},tCountdown={{nClass=20,nIcon=589,nFrame=7,szName="赵新宇",nTime=0,key="赵新宇",},{nClass=20,nIcon=589,nFrame=7,szName="",nTime="60,赵新宇的信物;302,赵新宇·刷新剩余",nRefresh=60,key="赵新宇",},},},</v>
      </c>
      <c r="T113" t="s">
        <v>1958</v>
      </c>
      <c r="U113" s="36" t="s">
        <v>2022</v>
      </c>
    </row>
    <row r="114" spans="1:26" x14ac:dyDescent="0.15">
      <c r="C114" t="s">
        <v>1754</v>
      </c>
      <c r="K114" t="s">
        <v>1741</v>
      </c>
      <c r="S114" s="36" t="str">
        <f t="shared" si="6"/>
        <v>{szContent="随着方超的死亡，一把短笛掉了出来，貌似是他的随身信物。\n",col={100,100,255,},[20]={},tCountdown={{nClass=20,nIcon=308,nFrame=3,szName="方超",nTime=0,key="方超",},{nClass=20,nIcon=308,nFrame=3,szName="",nTime="60,方超的信物;302,方超·刷新剩余",nRefresh=60,key="方超",},},},</v>
      </c>
      <c r="T114" t="s">
        <v>1959</v>
      </c>
      <c r="U114" s="36" t="s">
        <v>2023</v>
      </c>
    </row>
    <row r="115" spans="1:26" x14ac:dyDescent="0.15">
      <c r="A115" t="s">
        <v>7</v>
      </c>
      <c r="B115">
        <v>23</v>
      </c>
      <c r="S115" s="36" t="str">
        <f t="shared" si="6"/>
        <v>},[23]={</v>
      </c>
    </row>
    <row r="116" spans="1:26" x14ac:dyDescent="0.15">
      <c r="C116" t="s">
        <v>1586</v>
      </c>
      <c r="D116" t="s">
        <v>1601</v>
      </c>
      <c r="K116" t="s">
        <v>1435</v>
      </c>
      <c r="M116">
        <v>1</v>
      </c>
      <c r="S116" s="36" t="str">
        <f t="shared" si="6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16" t="s">
        <v>2036</v>
      </c>
      <c r="U116" t="s">
        <v>1590</v>
      </c>
      <c r="V116" t="s">
        <v>2037</v>
      </c>
      <c r="W116" t="s">
        <v>1591</v>
      </c>
      <c r="X116" t="s">
        <v>1610</v>
      </c>
      <c r="Y116" t="s">
        <v>1592</v>
      </c>
      <c r="Z116" t="s">
        <v>1593</v>
      </c>
    </row>
    <row r="117" spans="1:26" x14ac:dyDescent="0.15">
      <c r="C117" t="s">
        <v>1587</v>
      </c>
      <c r="D117" t="s">
        <v>1602</v>
      </c>
      <c r="K117" t="s">
        <v>1435</v>
      </c>
      <c r="M117">
        <v>1</v>
      </c>
      <c r="S117" s="36" t="str">
        <f t="shared" si="6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17" t="s">
        <v>2038</v>
      </c>
      <c r="U117" t="s">
        <v>1594</v>
      </c>
      <c r="V117" t="s">
        <v>2039</v>
      </c>
      <c r="W117" t="s">
        <v>1595</v>
      </c>
      <c r="X117" t="s">
        <v>1611</v>
      </c>
      <c r="Y117" t="s">
        <v>1613</v>
      </c>
      <c r="Z117" t="s">
        <v>1614</v>
      </c>
    </row>
    <row r="118" spans="1:26" x14ac:dyDescent="0.15">
      <c r="C118" t="s">
        <v>1588</v>
      </c>
      <c r="D118" t="s">
        <v>1603</v>
      </c>
      <c r="K118" t="s">
        <v>1435</v>
      </c>
      <c r="M118">
        <v>1</v>
      </c>
      <c r="S118" s="36" t="str">
        <f t="shared" si="6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18" t="s">
        <v>1596</v>
      </c>
    </row>
    <row r="119" spans="1:26" x14ac:dyDescent="0.15">
      <c r="C119" t="s">
        <v>1589</v>
      </c>
      <c r="D119" t="s">
        <v>1604</v>
      </c>
      <c r="K119" t="s">
        <v>1435</v>
      </c>
      <c r="M119">
        <v>1</v>
      </c>
      <c r="S119" s="36" t="str">
        <f t="shared" si="6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19" t="s">
        <v>2040</v>
      </c>
      <c r="U119" t="s">
        <v>1597</v>
      </c>
      <c r="V119" t="s">
        <v>2041</v>
      </c>
      <c r="W119" t="s">
        <v>1598</v>
      </c>
      <c r="X119" t="s">
        <v>1612</v>
      </c>
      <c r="Y119" t="s">
        <v>1599</v>
      </c>
      <c r="Z119" t="s">
        <v>1600</v>
      </c>
    </row>
    <row r="120" spans="1:26" x14ac:dyDescent="0.15">
      <c r="C120" t="s">
        <v>1751</v>
      </c>
      <c r="K120" t="s">
        <v>1448</v>
      </c>
      <c r="S120" s="36" t="str">
        <f t="shared" si="6"/>
        <v>{szContent="随着霸图的死亡，一柄钢刀从他身上滑落，似乎是他的随身信物。\n",col={255,100,100,},[20]={},tCountdown={{nClass=20,nIcon=2864,nFrame=7,szName="霸图",nTime=0,key="霸图",},{nClass=20,nIcon=2864,nFrame=7,szName="",nTime="60,霸图的信物;302,霸图·刷新剩余",nRefresh=60,key="霸图",},},},</v>
      </c>
      <c r="T120" s="36" t="s">
        <v>1963</v>
      </c>
      <c r="U120" s="36" t="s">
        <v>2024</v>
      </c>
    </row>
    <row r="121" spans="1:26" x14ac:dyDescent="0.15">
      <c r="C121" t="s">
        <v>1750</v>
      </c>
      <c r="K121" t="s">
        <v>1741</v>
      </c>
      <c r="S121" s="36" t="str">
        <f t="shared" si="6"/>
        <v>{szContent="随着孙永恒的死亡，一柄短剑从他身上滑落，似乎是他的随身信物。\n",col={100,100,255,},[20]={},tCountdown={{nClass=20,nIcon=845,nFrame=3,szName="孙永恒",nTime=0,key="孙永恒",},{nClass=20,nIcon=845,nFrame=3,szName="",nTime="60,孙永恒的信物;302,孙永恒·刷新剩余",nRefresh=60,key="孙永恒",},},},</v>
      </c>
      <c r="T121" s="36" t="s">
        <v>1962</v>
      </c>
      <c r="U121" s="36" t="s">
        <v>2025</v>
      </c>
    </row>
    <row r="122" spans="1:26" x14ac:dyDescent="0.15">
      <c r="A122" t="s">
        <v>104</v>
      </c>
      <c r="B122">
        <v>9</v>
      </c>
      <c r="S122" s="36" t="str">
        <f t="shared" si="6"/>
        <v>},[9]={</v>
      </c>
    </row>
    <row r="123" spans="1:26" x14ac:dyDescent="0.15">
      <c r="C123" t="s">
        <v>1586</v>
      </c>
      <c r="D123" t="s">
        <v>1601</v>
      </c>
      <c r="K123" t="s">
        <v>1435</v>
      </c>
      <c r="M123">
        <v>1</v>
      </c>
      <c r="S123" s="36" t="str">
        <f t="shared" si="6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23" t="s">
        <v>2036</v>
      </c>
      <c r="U123" t="s">
        <v>1590</v>
      </c>
      <c r="V123" t="s">
        <v>2037</v>
      </c>
      <c r="W123" t="s">
        <v>1591</v>
      </c>
      <c r="X123" t="s">
        <v>1610</v>
      </c>
      <c r="Y123" t="s">
        <v>1592</v>
      </c>
      <c r="Z123" t="s">
        <v>1593</v>
      </c>
    </row>
    <row r="124" spans="1:26" x14ac:dyDescent="0.15">
      <c r="C124" t="s">
        <v>1587</v>
      </c>
      <c r="D124" t="s">
        <v>1602</v>
      </c>
      <c r="K124" t="s">
        <v>1435</v>
      </c>
      <c r="M124">
        <v>1</v>
      </c>
      <c r="S124" s="36" t="str">
        <f t="shared" si="6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24" t="s">
        <v>2038</v>
      </c>
      <c r="U124" t="s">
        <v>1594</v>
      </c>
      <c r="V124" t="s">
        <v>2039</v>
      </c>
      <c r="W124" t="s">
        <v>1595</v>
      </c>
      <c r="X124" t="s">
        <v>1611</v>
      </c>
      <c r="Y124" t="s">
        <v>1613</v>
      </c>
      <c r="Z124" t="s">
        <v>1614</v>
      </c>
    </row>
    <row r="125" spans="1:26" x14ac:dyDescent="0.15">
      <c r="C125" t="s">
        <v>1588</v>
      </c>
      <c r="D125" t="s">
        <v>1603</v>
      </c>
      <c r="K125" t="s">
        <v>1435</v>
      </c>
      <c r="M125">
        <v>1</v>
      </c>
      <c r="S125" s="36" t="str">
        <f t="shared" si="6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25" t="s">
        <v>1596</v>
      </c>
    </row>
    <row r="126" spans="1:26" x14ac:dyDescent="0.15">
      <c r="C126" t="s">
        <v>1589</v>
      </c>
      <c r="D126" t="s">
        <v>1604</v>
      </c>
      <c r="K126" t="s">
        <v>1435</v>
      </c>
      <c r="M126">
        <v>1</v>
      </c>
      <c r="S126" s="36" t="str">
        <f t="shared" si="6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26" t="s">
        <v>2040</v>
      </c>
      <c r="U126" t="s">
        <v>1597</v>
      </c>
      <c r="V126" t="s">
        <v>2041</v>
      </c>
      <c r="W126" t="s">
        <v>1598</v>
      </c>
      <c r="X126" t="s">
        <v>1612</v>
      </c>
      <c r="Y126" t="s">
        <v>1599</v>
      </c>
      <c r="Z126" t="s">
        <v>1600</v>
      </c>
    </row>
    <row r="127" spans="1:26" x14ac:dyDescent="0.15">
      <c r="A127" t="s">
        <v>117</v>
      </c>
      <c r="B127">
        <v>13</v>
      </c>
      <c r="S127" s="36" t="str">
        <f t="shared" si="6"/>
        <v>},[13]={</v>
      </c>
    </row>
    <row r="128" spans="1:26" x14ac:dyDescent="0.15">
      <c r="C128" t="s">
        <v>1586</v>
      </c>
      <c r="D128" t="s">
        <v>1601</v>
      </c>
      <c r="K128" t="s">
        <v>1435</v>
      </c>
      <c r="M128">
        <v>1</v>
      </c>
      <c r="S128" s="36" t="str">
        <f t="shared" si="6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28" t="s">
        <v>2036</v>
      </c>
      <c r="U128" t="s">
        <v>1590</v>
      </c>
      <c r="V128" t="s">
        <v>2037</v>
      </c>
      <c r="W128" t="s">
        <v>1591</v>
      </c>
      <c r="X128" t="s">
        <v>1610</v>
      </c>
      <c r="Y128" t="s">
        <v>1592</v>
      </c>
      <c r="Z128" t="s">
        <v>1593</v>
      </c>
    </row>
    <row r="129" spans="1:26" x14ac:dyDescent="0.15">
      <c r="C129" t="s">
        <v>1587</v>
      </c>
      <c r="D129" t="s">
        <v>1602</v>
      </c>
      <c r="K129" t="s">
        <v>1435</v>
      </c>
      <c r="M129">
        <v>1</v>
      </c>
      <c r="S129" s="36" t="str">
        <f t="shared" si="6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29" t="s">
        <v>2038</v>
      </c>
      <c r="U129" t="s">
        <v>1594</v>
      </c>
      <c r="V129" t="s">
        <v>2039</v>
      </c>
      <c r="W129" t="s">
        <v>1595</v>
      </c>
      <c r="X129" t="s">
        <v>1611</v>
      </c>
      <c r="Y129" t="s">
        <v>1613</v>
      </c>
      <c r="Z129" t="s">
        <v>1614</v>
      </c>
    </row>
    <row r="130" spans="1:26" x14ac:dyDescent="0.15">
      <c r="C130" t="s">
        <v>1588</v>
      </c>
      <c r="D130" t="s">
        <v>1603</v>
      </c>
      <c r="K130" t="s">
        <v>1435</v>
      </c>
      <c r="M130">
        <v>1</v>
      </c>
      <c r="S130" s="36" t="str">
        <f t="shared" si="6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30" t="s">
        <v>1596</v>
      </c>
    </row>
    <row r="131" spans="1:26" x14ac:dyDescent="0.15">
      <c r="C131" t="s">
        <v>1589</v>
      </c>
      <c r="D131" t="s">
        <v>1604</v>
      </c>
      <c r="K131" t="s">
        <v>1435</v>
      </c>
      <c r="M131">
        <v>1</v>
      </c>
      <c r="S131" s="36" t="str">
        <f t="shared" ref="S131:S182" si="7">IF(ISBLANK(B131)=FALSE,IF(ISBLANK(B130),"},["&amp;B131&amp;"]={","["&amp;B131&amp;"]={"),IF(AND(ISBLANK(B131),ISBLANK(C131),ISBLANK(L131),ISBLANK(M131),OR(ISBLANK(B130)=FALSE,ISBLANK(C130)=FALSE,ISBLANK(L130)=FALSE,ISBLANK(M130)=FALSE)),"},},}",IF(ISBLANK(C131),"","{szContent="""&amp;C131&amp;""","&amp;IF(D131&lt;&gt;"","szNote="""&amp;D131&amp;""",","")&amp;IF(K131&lt;&gt;"","col={"&amp;K131&amp;"},","")&amp;IF(L131&gt;0,"bSearch=true,","")&amp;IF(M131&gt;0,"bReg=true,","")&amp;"[20]={"&amp;IF(N131&gt;0,"szVoice="""&amp;N131&amp;""",","")&amp;IF(O131&gt;0,"bTeamChannel=true,","")&amp;IF(P131&gt;0,"bWhisperChannel=true,","")&amp;IF(Q131&gt;0,"bCenterAlarm=true,","")&amp;IF(R131&gt;0,"bScreenHead=true,","")&amp;"},"&amp;IF(T131&lt;&gt;"","tCountdown={"&amp;_xlfn.TEXTJOIN("",TRUE,T131:AAE131)&amp;"},","")&amp;"},")))</f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31" t="s">
        <v>2040</v>
      </c>
      <c r="U131" t="s">
        <v>1597</v>
      </c>
      <c r="V131" t="s">
        <v>2041</v>
      </c>
      <c r="W131" t="s">
        <v>1598</v>
      </c>
      <c r="X131" t="s">
        <v>1612</v>
      </c>
      <c r="Y131" t="s">
        <v>1599</v>
      </c>
      <c r="Z131" t="s">
        <v>1600</v>
      </c>
    </row>
    <row r="132" spans="1:26" x14ac:dyDescent="0.15">
      <c r="A132" t="s">
        <v>10</v>
      </c>
      <c r="B132">
        <v>35</v>
      </c>
      <c r="S132" s="36" t="str">
        <f t="shared" si="7"/>
        <v>},[35]={</v>
      </c>
    </row>
    <row r="133" spans="1:26" x14ac:dyDescent="0.15">
      <c r="C133" t="s">
        <v>1586</v>
      </c>
      <c r="D133" t="s">
        <v>1601</v>
      </c>
      <c r="K133" t="s">
        <v>1435</v>
      </c>
      <c r="M133">
        <v>1</v>
      </c>
      <c r="S133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33" t="s">
        <v>2036</v>
      </c>
      <c r="U133" t="s">
        <v>1590</v>
      </c>
      <c r="V133" t="s">
        <v>2037</v>
      </c>
      <c r="W133" t="s">
        <v>1591</v>
      </c>
      <c r="X133" t="s">
        <v>1610</v>
      </c>
      <c r="Y133" t="s">
        <v>1592</v>
      </c>
      <c r="Z133" t="s">
        <v>1593</v>
      </c>
    </row>
    <row r="134" spans="1:26" x14ac:dyDescent="0.15">
      <c r="C134" t="s">
        <v>1587</v>
      </c>
      <c r="D134" t="s">
        <v>1602</v>
      </c>
      <c r="K134" t="s">
        <v>1435</v>
      </c>
      <c r="M134">
        <v>1</v>
      </c>
      <c r="S134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34" t="s">
        <v>2038</v>
      </c>
      <c r="U134" t="s">
        <v>1594</v>
      </c>
      <c r="V134" t="s">
        <v>2039</v>
      </c>
      <c r="W134" t="s">
        <v>1595</v>
      </c>
      <c r="X134" t="s">
        <v>1611</v>
      </c>
      <c r="Y134" t="s">
        <v>1613</v>
      </c>
      <c r="Z134" t="s">
        <v>1614</v>
      </c>
    </row>
    <row r="135" spans="1:26" x14ac:dyDescent="0.15">
      <c r="C135" t="s">
        <v>1588</v>
      </c>
      <c r="D135" t="s">
        <v>1603</v>
      </c>
      <c r="K135" t="s">
        <v>1435</v>
      </c>
      <c r="M135">
        <v>1</v>
      </c>
      <c r="S135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35" t="s">
        <v>1596</v>
      </c>
    </row>
    <row r="136" spans="1:26" x14ac:dyDescent="0.15">
      <c r="C136" t="s">
        <v>1589</v>
      </c>
      <c r="D136" t="s">
        <v>1604</v>
      </c>
      <c r="K136" t="s">
        <v>1435</v>
      </c>
      <c r="M136">
        <v>1</v>
      </c>
      <c r="S136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36" t="s">
        <v>2040</v>
      </c>
      <c r="U136" t="s">
        <v>1597</v>
      </c>
      <c r="V136" t="s">
        <v>2041</v>
      </c>
      <c r="W136" t="s">
        <v>1598</v>
      </c>
      <c r="X136" t="s">
        <v>1612</v>
      </c>
      <c r="Y136" t="s">
        <v>1599</v>
      </c>
      <c r="Z136" t="s">
        <v>1600</v>
      </c>
    </row>
    <row r="137" spans="1:26" x14ac:dyDescent="0.15">
      <c r="A137" t="s">
        <v>178</v>
      </c>
      <c r="B137">
        <v>100</v>
      </c>
      <c r="S137" s="36" t="str">
        <f t="shared" si="7"/>
        <v>},[100]={</v>
      </c>
    </row>
    <row r="138" spans="1:26" x14ac:dyDescent="0.15">
      <c r="C138" t="s">
        <v>1586</v>
      </c>
      <c r="D138" t="s">
        <v>1601</v>
      </c>
      <c r="K138" t="s">
        <v>1435</v>
      </c>
      <c r="M138">
        <v>1</v>
      </c>
      <c r="S138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38" t="s">
        <v>2036</v>
      </c>
      <c r="U138" t="s">
        <v>1590</v>
      </c>
      <c r="V138" t="s">
        <v>2037</v>
      </c>
      <c r="W138" t="s">
        <v>1591</v>
      </c>
      <c r="X138" t="s">
        <v>1610</v>
      </c>
      <c r="Y138" t="s">
        <v>1592</v>
      </c>
      <c r="Z138" t="s">
        <v>1593</v>
      </c>
    </row>
    <row r="139" spans="1:26" x14ac:dyDescent="0.15">
      <c r="C139" t="s">
        <v>1587</v>
      </c>
      <c r="D139" t="s">
        <v>1602</v>
      </c>
      <c r="K139" t="s">
        <v>1435</v>
      </c>
      <c r="M139">
        <v>1</v>
      </c>
      <c r="S139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39" t="s">
        <v>2038</v>
      </c>
      <c r="U139" t="s">
        <v>1594</v>
      </c>
      <c r="V139" t="s">
        <v>2039</v>
      </c>
      <c r="W139" t="s">
        <v>1595</v>
      </c>
      <c r="X139" t="s">
        <v>1611</v>
      </c>
      <c r="Y139" t="s">
        <v>1613</v>
      </c>
      <c r="Z139" t="s">
        <v>1614</v>
      </c>
    </row>
    <row r="140" spans="1:26" x14ac:dyDescent="0.15">
      <c r="C140" t="s">
        <v>1588</v>
      </c>
      <c r="D140" t="s">
        <v>1603</v>
      </c>
      <c r="K140" t="s">
        <v>1435</v>
      </c>
      <c r="M140">
        <v>1</v>
      </c>
      <c r="S140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40" t="s">
        <v>1596</v>
      </c>
    </row>
    <row r="141" spans="1:26" x14ac:dyDescent="0.15">
      <c r="C141" t="s">
        <v>1589</v>
      </c>
      <c r="D141" t="s">
        <v>1604</v>
      </c>
      <c r="K141" t="s">
        <v>1435</v>
      </c>
      <c r="M141">
        <v>1</v>
      </c>
      <c r="S141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41" t="s">
        <v>2040</v>
      </c>
      <c r="U141" t="s">
        <v>1597</v>
      </c>
      <c r="V141" t="s">
        <v>2041</v>
      </c>
      <c r="W141" t="s">
        <v>1598</v>
      </c>
      <c r="X141" t="s">
        <v>1612</v>
      </c>
      <c r="Y141" t="s">
        <v>1599</v>
      </c>
      <c r="Z141" t="s">
        <v>1600</v>
      </c>
    </row>
    <row r="142" spans="1:26" x14ac:dyDescent="0.15">
      <c r="A142" t="s">
        <v>179</v>
      </c>
      <c r="B142">
        <v>101</v>
      </c>
      <c r="S142" s="36" t="str">
        <f t="shared" si="7"/>
        <v>},[101]={</v>
      </c>
    </row>
    <row r="143" spans="1:26" x14ac:dyDescent="0.15">
      <c r="C143" t="s">
        <v>1586</v>
      </c>
      <c r="D143" t="s">
        <v>1601</v>
      </c>
      <c r="K143" t="s">
        <v>1435</v>
      </c>
      <c r="M143">
        <v>1</v>
      </c>
      <c r="S143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43" t="s">
        <v>2036</v>
      </c>
      <c r="U143" t="s">
        <v>1590</v>
      </c>
      <c r="V143" t="s">
        <v>2037</v>
      </c>
      <c r="W143" t="s">
        <v>1591</v>
      </c>
      <c r="X143" t="s">
        <v>1610</v>
      </c>
      <c r="Y143" t="s">
        <v>1592</v>
      </c>
      <c r="Z143" t="s">
        <v>1593</v>
      </c>
    </row>
    <row r="144" spans="1:26" x14ac:dyDescent="0.15">
      <c r="C144" t="s">
        <v>1587</v>
      </c>
      <c r="D144" t="s">
        <v>1602</v>
      </c>
      <c r="K144" t="s">
        <v>1435</v>
      </c>
      <c r="M144">
        <v>1</v>
      </c>
      <c r="S144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44" t="s">
        <v>2038</v>
      </c>
      <c r="U144" t="s">
        <v>1594</v>
      </c>
      <c r="V144" t="s">
        <v>2039</v>
      </c>
      <c r="W144" t="s">
        <v>1595</v>
      </c>
      <c r="X144" t="s">
        <v>1611</v>
      </c>
      <c r="Y144" t="s">
        <v>1613</v>
      </c>
      <c r="Z144" t="s">
        <v>1614</v>
      </c>
    </row>
    <row r="145" spans="1:26" x14ac:dyDescent="0.15">
      <c r="C145" t="s">
        <v>1588</v>
      </c>
      <c r="D145" t="s">
        <v>1603</v>
      </c>
      <c r="K145" t="s">
        <v>1435</v>
      </c>
      <c r="M145">
        <v>1</v>
      </c>
      <c r="S145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45" t="s">
        <v>1596</v>
      </c>
    </row>
    <row r="146" spans="1:26" x14ac:dyDescent="0.15">
      <c r="C146" t="s">
        <v>1589</v>
      </c>
      <c r="D146" t="s">
        <v>1604</v>
      </c>
      <c r="K146" t="s">
        <v>1435</v>
      </c>
      <c r="M146">
        <v>1</v>
      </c>
      <c r="S146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46" t="s">
        <v>2040</v>
      </c>
      <c r="U146" t="s">
        <v>1597</v>
      </c>
      <c r="V146" t="s">
        <v>2041</v>
      </c>
      <c r="W146" t="s">
        <v>1598</v>
      </c>
      <c r="X146" t="s">
        <v>1612</v>
      </c>
      <c r="Y146" t="s">
        <v>1599</v>
      </c>
      <c r="Z146" t="s">
        <v>1600</v>
      </c>
    </row>
    <row r="147" spans="1:26" x14ac:dyDescent="0.15">
      <c r="A147" t="s">
        <v>181</v>
      </c>
      <c r="B147">
        <v>103</v>
      </c>
      <c r="S147" s="36" t="str">
        <f t="shared" si="7"/>
        <v>},[103]={</v>
      </c>
    </row>
    <row r="148" spans="1:26" x14ac:dyDescent="0.15">
      <c r="C148" t="s">
        <v>1586</v>
      </c>
      <c r="D148" t="s">
        <v>1601</v>
      </c>
      <c r="K148" t="s">
        <v>1435</v>
      </c>
      <c r="M148">
        <v>1</v>
      </c>
      <c r="S148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48" t="s">
        <v>2036</v>
      </c>
      <c r="U148" t="s">
        <v>1590</v>
      </c>
      <c r="V148" t="s">
        <v>2037</v>
      </c>
      <c r="W148" t="s">
        <v>1591</v>
      </c>
      <c r="X148" t="s">
        <v>1610</v>
      </c>
      <c r="Y148" t="s">
        <v>1592</v>
      </c>
      <c r="Z148" t="s">
        <v>1593</v>
      </c>
    </row>
    <row r="149" spans="1:26" x14ac:dyDescent="0.15">
      <c r="C149" t="s">
        <v>1587</v>
      </c>
      <c r="D149" t="s">
        <v>1602</v>
      </c>
      <c r="K149" t="s">
        <v>1435</v>
      </c>
      <c r="M149">
        <v>1</v>
      </c>
      <c r="S149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49" t="s">
        <v>2038</v>
      </c>
      <c r="U149" t="s">
        <v>1594</v>
      </c>
      <c r="V149" t="s">
        <v>2039</v>
      </c>
      <c r="W149" t="s">
        <v>1595</v>
      </c>
      <c r="X149" t="s">
        <v>1611</v>
      </c>
      <c r="Y149" t="s">
        <v>1613</v>
      </c>
      <c r="Z149" t="s">
        <v>1614</v>
      </c>
    </row>
    <row r="150" spans="1:26" x14ac:dyDescent="0.15">
      <c r="C150" t="s">
        <v>1588</v>
      </c>
      <c r="D150" t="s">
        <v>1603</v>
      </c>
      <c r="K150" t="s">
        <v>1435</v>
      </c>
      <c r="M150">
        <v>1</v>
      </c>
      <c r="S150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50" t="s">
        <v>1596</v>
      </c>
    </row>
    <row r="151" spans="1:26" x14ac:dyDescent="0.15">
      <c r="C151" t="s">
        <v>1589</v>
      </c>
      <c r="D151" t="s">
        <v>1604</v>
      </c>
      <c r="K151" t="s">
        <v>1435</v>
      </c>
      <c r="M151">
        <v>1</v>
      </c>
      <c r="S151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51" t="s">
        <v>2040</v>
      </c>
      <c r="U151" t="s">
        <v>1597</v>
      </c>
      <c r="V151" t="s">
        <v>2041</v>
      </c>
      <c r="W151" t="s">
        <v>1598</v>
      </c>
      <c r="X151" t="s">
        <v>1612</v>
      </c>
      <c r="Y151" t="s">
        <v>1599</v>
      </c>
      <c r="Z151" t="s">
        <v>1600</v>
      </c>
    </row>
    <row r="152" spans="1:26" x14ac:dyDescent="0.15">
      <c r="A152" t="s">
        <v>182</v>
      </c>
      <c r="B152">
        <v>104</v>
      </c>
      <c r="S152" s="36" t="str">
        <f t="shared" si="7"/>
        <v>},[104]={</v>
      </c>
    </row>
    <row r="153" spans="1:26" x14ac:dyDescent="0.15">
      <c r="C153" t="s">
        <v>1586</v>
      </c>
      <c r="D153" t="s">
        <v>1601</v>
      </c>
      <c r="K153" t="s">
        <v>1435</v>
      </c>
      <c r="M153">
        <v>1</v>
      </c>
      <c r="S153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53" t="s">
        <v>2036</v>
      </c>
      <c r="U153" t="s">
        <v>1590</v>
      </c>
      <c r="V153" t="s">
        <v>2037</v>
      </c>
      <c r="W153" t="s">
        <v>1591</v>
      </c>
      <c r="X153" t="s">
        <v>1610</v>
      </c>
      <c r="Y153" t="s">
        <v>1592</v>
      </c>
      <c r="Z153" t="s">
        <v>1593</v>
      </c>
    </row>
    <row r="154" spans="1:26" x14ac:dyDescent="0.15">
      <c r="C154" t="s">
        <v>1587</v>
      </c>
      <c r="D154" t="s">
        <v>1602</v>
      </c>
      <c r="K154" t="s">
        <v>1435</v>
      </c>
      <c r="M154">
        <v>1</v>
      </c>
      <c r="S154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54" t="s">
        <v>2038</v>
      </c>
      <c r="U154" t="s">
        <v>1594</v>
      </c>
      <c r="V154" t="s">
        <v>2039</v>
      </c>
      <c r="W154" t="s">
        <v>1595</v>
      </c>
      <c r="X154" t="s">
        <v>1611</v>
      </c>
      <c r="Y154" t="s">
        <v>1613</v>
      </c>
      <c r="Z154" t="s">
        <v>1614</v>
      </c>
    </row>
    <row r="155" spans="1:26" x14ac:dyDescent="0.15">
      <c r="C155" t="s">
        <v>1588</v>
      </c>
      <c r="D155" t="s">
        <v>1603</v>
      </c>
      <c r="K155" t="s">
        <v>1435</v>
      </c>
      <c r="M155">
        <v>1</v>
      </c>
      <c r="S155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55" t="s">
        <v>1596</v>
      </c>
    </row>
    <row r="156" spans="1:26" x14ac:dyDescent="0.15">
      <c r="C156" t="s">
        <v>1589</v>
      </c>
      <c r="D156" t="s">
        <v>1604</v>
      </c>
      <c r="K156" t="s">
        <v>1435</v>
      </c>
      <c r="M156">
        <v>1</v>
      </c>
      <c r="S156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56" t="s">
        <v>2040</v>
      </c>
      <c r="U156" t="s">
        <v>1597</v>
      </c>
      <c r="V156" t="s">
        <v>2041</v>
      </c>
      <c r="W156" t="s">
        <v>1598</v>
      </c>
      <c r="X156" t="s">
        <v>1612</v>
      </c>
      <c r="Y156" t="s">
        <v>1599</v>
      </c>
      <c r="Z156" t="s">
        <v>1600</v>
      </c>
    </row>
    <row r="157" spans="1:26" x14ac:dyDescent="0.15">
      <c r="A157" t="s">
        <v>183</v>
      </c>
      <c r="B157">
        <v>105</v>
      </c>
      <c r="S157" s="36" t="str">
        <f t="shared" si="7"/>
        <v>},[105]={</v>
      </c>
    </row>
    <row r="158" spans="1:26" x14ac:dyDescent="0.15">
      <c r="C158" t="s">
        <v>1586</v>
      </c>
      <c r="D158" t="s">
        <v>1601</v>
      </c>
      <c r="K158" t="s">
        <v>1435</v>
      </c>
      <c r="M158">
        <v>1</v>
      </c>
      <c r="S158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58" t="s">
        <v>2036</v>
      </c>
      <c r="U158" t="s">
        <v>1590</v>
      </c>
      <c r="V158" t="s">
        <v>2037</v>
      </c>
      <c r="W158" t="s">
        <v>1591</v>
      </c>
      <c r="X158" t="s">
        <v>1610</v>
      </c>
      <c r="Y158" t="s">
        <v>1592</v>
      </c>
      <c r="Z158" t="s">
        <v>1593</v>
      </c>
    </row>
    <row r="159" spans="1:26" x14ac:dyDescent="0.15">
      <c r="C159" t="s">
        <v>1587</v>
      </c>
      <c r="D159" t="s">
        <v>1602</v>
      </c>
      <c r="K159" t="s">
        <v>1435</v>
      </c>
      <c r="M159">
        <v>1</v>
      </c>
      <c r="S159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59" t="s">
        <v>2038</v>
      </c>
      <c r="U159" t="s">
        <v>1594</v>
      </c>
      <c r="V159" t="s">
        <v>2039</v>
      </c>
      <c r="W159" t="s">
        <v>1595</v>
      </c>
      <c r="X159" t="s">
        <v>1611</v>
      </c>
      <c r="Y159" t="s">
        <v>1613</v>
      </c>
      <c r="Z159" t="s">
        <v>1614</v>
      </c>
    </row>
    <row r="160" spans="1:26" x14ac:dyDescent="0.15">
      <c r="C160" t="s">
        <v>1588</v>
      </c>
      <c r="D160" t="s">
        <v>1603</v>
      </c>
      <c r="K160" t="s">
        <v>1435</v>
      </c>
      <c r="M160">
        <v>1</v>
      </c>
      <c r="S160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60" t="s">
        <v>1596</v>
      </c>
    </row>
    <row r="161" spans="1:26" x14ac:dyDescent="0.15">
      <c r="C161" t="s">
        <v>1589</v>
      </c>
      <c r="D161" t="s">
        <v>1604</v>
      </c>
      <c r="K161" t="s">
        <v>1435</v>
      </c>
      <c r="M161">
        <v>1</v>
      </c>
      <c r="S161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61" t="s">
        <v>2040</v>
      </c>
      <c r="U161" t="s">
        <v>1597</v>
      </c>
      <c r="V161" t="s">
        <v>2041</v>
      </c>
      <c r="W161" t="s">
        <v>1598</v>
      </c>
      <c r="X161" t="s">
        <v>1612</v>
      </c>
      <c r="Y161" t="s">
        <v>1599</v>
      </c>
      <c r="Z161" t="s">
        <v>1600</v>
      </c>
    </row>
    <row r="162" spans="1:26" x14ac:dyDescent="0.15">
      <c r="A162" t="s">
        <v>214</v>
      </c>
      <c r="B162">
        <v>139</v>
      </c>
      <c r="S162" s="36" t="str">
        <f t="shared" si="7"/>
        <v>},[139]={</v>
      </c>
    </row>
    <row r="163" spans="1:26" x14ac:dyDescent="0.15">
      <c r="C163" t="s">
        <v>1586</v>
      </c>
      <c r="D163" t="s">
        <v>1601</v>
      </c>
      <c r="K163" t="s">
        <v>1435</v>
      </c>
      <c r="M163">
        <v>1</v>
      </c>
      <c r="S163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63" t="s">
        <v>2036</v>
      </c>
      <c r="U163" t="s">
        <v>1590</v>
      </c>
      <c r="V163" t="s">
        <v>2037</v>
      </c>
      <c r="W163" t="s">
        <v>1591</v>
      </c>
      <c r="X163" t="s">
        <v>1610</v>
      </c>
      <c r="Y163" t="s">
        <v>1592</v>
      </c>
      <c r="Z163" t="s">
        <v>1593</v>
      </c>
    </row>
    <row r="164" spans="1:26" x14ac:dyDescent="0.15">
      <c r="C164" t="s">
        <v>1587</v>
      </c>
      <c r="D164" t="s">
        <v>1602</v>
      </c>
      <c r="K164" t="s">
        <v>1435</v>
      </c>
      <c r="M164">
        <v>1</v>
      </c>
      <c r="S164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64" t="s">
        <v>2038</v>
      </c>
      <c r="U164" t="s">
        <v>1594</v>
      </c>
      <c r="V164" t="s">
        <v>2039</v>
      </c>
      <c r="W164" t="s">
        <v>1595</v>
      </c>
      <c r="X164" t="s">
        <v>1611</v>
      </c>
      <c r="Y164" t="s">
        <v>1613</v>
      </c>
      <c r="Z164" t="s">
        <v>1614</v>
      </c>
    </row>
    <row r="165" spans="1:26" x14ac:dyDescent="0.15">
      <c r="C165" t="s">
        <v>1588</v>
      </c>
      <c r="D165" t="s">
        <v>1603</v>
      </c>
      <c r="K165" t="s">
        <v>1435</v>
      </c>
      <c r="M165">
        <v>1</v>
      </c>
      <c r="S165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65" t="s">
        <v>1596</v>
      </c>
    </row>
    <row r="166" spans="1:26" x14ac:dyDescent="0.15">
      <c r="C166" t="s">
        <v>1589</v>
      </c>
      <c r="D166" t="s">
        <v>1604</v>
      </c>
      <c r="K166" t="s">
        <v>1435</v>
      </c>
      <c r="M166">
        <v>1</v>
      </c>
      <c r="S166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66" t="s">
        <v>2040</v>
      </c>
      <c r="U166" t="s">
        <v>1597</v>
      </c>
      <c r="V166" t="s">
        <v>2041</v>
      </c>
      <c r="W166" t="s">
        <v>1598</v>
      </c>
      <c r="X166" t="s">
        <v>1612</v>
      </c>
      <c r="Y166" t="s">
        <v>1599</v>
      </c>
      <c r="Z166" t="s">
        <v>1600</v>
      </c>
    </row>
    <row r="167" spans="1:26" x14ac:dyDescent="0.15">
      <c r="A167" t="s">
        <v>223</v>
      </c>
      <c r="B167">
        <v>153</v>
      </c>
      <c r="S167" s="36" t="str">
        <f t="shared" si="7"/>
        <v>},[153]={</v>
      </c>
    </row>
    <row r="168" spans="1:26" x14ac:dyDescent="0.15">
      <c r="C168" t="s">
        <v>1586</v>
      </c>
      <c r="D168" t="s">
        <v>1601</v>
      </c>
      <c r="K168" t="s">
        <v>1435</v>
      </c>
      <c r="M168">
        <v>1</v>
      </c>
      <c r="S168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68" t="s">
        <v>2036</v>
      </c>
      <c r="U168" t="s">
        <v>1590</v>
      </c>
      <c r="V168" t="s">
        <v>2037</v>
      </c>
      <c r="W168" t="s">
        <v>1591</v>
      </c>
      <c r="X168" t="s">
        <v>1610</v>
      </c>
      <c r="Y168" t="s">
        <v>1592</v>
      </c>
      <c r="Z168" t="s">
        <v>1593</v>
      </c>
    </row>
    <row r="169" spans="1:26" x14ac:dyDescent="0.15">
      <c r="C169" t="s">
        <v>1587</v>
      </c>
      <c r="D169" t="s">
        <v>1602</v>
      </c>
      <c r="K169" t="s">
        <v>1435</v>
      </c>
      <c r="M169">
        <v>1</v>
      </c>
      <c r="S169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69" t="s">
        <v>2038</v>
      </c>
      <c r="U169" t="s">
        <v>1594</v>
      </c>
      <c r="V169" t="s">
        <v>2039</v>
      </c>
      <c r="W169" t="s">
        <v>1595</v>
      </c>
      <c r="X169" t="s">
        <v>1611</v>
      </c>
      <c r="Y169" t="s">
        <v>1613</v>
      </c>
      <c r="Z169" t="s">
        <v>1614</v>
      </c>
    </row>
    <row r="170" spans="1:26" x14ac:dyDescent="0.15">
      <c r="C170" t="s">
        <v>1588</v>
      </c>
      <c r="D170" t="s">
        <v>1603</v>
      </c>
      <c r="K170" t="s">
        <v>1435</v>
      </c>
      <c r="M170">
        <v>1</v>
      </c>
      <c r="S170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70" t="s">
        <v>1596</v>
      </c>
    </row>
    <row r="171" spans="1:26" x14ac:dyDescent="0.15">
      <c r="C171" t="s">
        <v>1589</v>
      </c>
      <c r="D171" t="s">
        <v>1604</v>
      </c>
      <c r="K171" t="s">
        <v>1435</v>
      </c>
      <c r="M171">
        <v>1</v>
      </c>
      <c r="S171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71" t="s">
        <v>2040</v>
      </c>
      <c r="U171" t="s">
        <v>1597</v>
      </c>
      <c r="V171" t="s">
        <v>2041</v>
      </c>
      <c r="W171" t="s">
        <v>1598</v>
      </c>
      <c r="X171" t="s">
        <v>1612</v>
      </c>
      <c r="Y171" t="s">
        <v>1599</v>
      </c>
      <c r="Z171" t="s">
        <v>1600</v>
      </c>
    </row>
    <row r="172" spans="1:26" x14ac:dyDescent="0.15">
      <c r="A172" t="s">
        <v>18</v>
      </c>
      <c r="B172">
        <v>216</v>
      </c>
      <c r="S172" s="36" t="str">
        <f t="shared" si="7"/>
        <v>},[216]={</v>
      </c>
    </row>
    <row r="173" spans="1:26" x14ac:dyDescent="0.15">
      <c r="C173" t="s">
        <v>1586</v>
      </c>
      <c r="D173" t="s">
        <v>1601</v>
      </c>
      <c r="K173" t="s">
        <v>1435</v>
      </c>
      <c r="M173">
        <v>1</v>
      </c>
      <c r="S173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73" t="s">
        <v>2036</v>
      </c>
      <c r="U173" t="s">
        <v>1590</v>
      </c>
      <c r="V173" t="s">
        <v>2037</v>
      </c>
      <c r="W173" t="s">
        <v>1591</v>
      </c>
      <c r="X173" t="s">
        <v>1610</v>
      </c>
      <c r="Y173" t="s">
        <v>1592</v>
      </c>
      <c r="Z173" t="s">
        <v>1593</v>
      </c>
    </row>
    <row r="174" spans="1:26" x14ac:dyDescent="0.15">
      <c r="C174" t="s">
        <v>1587</v>
      </c>
      <c r="D174" t="s">
        <v>1602</v>
      </c>
      <c r="K174" t="s">
        <v>1435</v>
      </c>
      <c r="M174">
        <v>1</v>
      </c>
      <c r="S174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74" t="s">
        <v>2038</v>
      </c>
      <c r="U174" t="s">
        <v>1594</v>
      </c>
      <c r="V174" t="s">
        <v>2039</v>
      </c>
      <c r="W174" t="s">
        <v>1595</v>
      </c>
      <c r="X174" t="s">
        <v>1611</v>
      </c>
      <c r="Y174" t="s">
        <v>1613</v>
      </c>
      <c r="Z174" t="s">
        <v>1614</v>
      </c>
    </row>
    <row r="175" spans="1:26" x14ac:dyDescent="0.15">
      <c r="C175" t="s">
        <v>1588</v>
      </c>
      <c r="D175" t="s">
        <v>1603</v>
      </c>
      <c r="K175" t="s">
        <v>1435</v>
      </c>
      <c r="M175">
        <v>1</v>
      </c>
      <c r="S175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75" t="s">
        <v>1596</v>
      </c>
    </row>
    <row r="176" spans="1:26" x14ac:dyDescent="0.15">
      <c r="C176" t="s">
        <v>1589</v>
      </c>
      <c r="D176" t="s">
        <v>1604</v>
      </c>
      <c r="K176" t="s">
        <v>1435</v>
      </c>
      <c r="M176">
        <v>1</v>
      </c>
      <c r="S176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76" t="s">
        <v>2040</v>
      </c>
      <c r="U176" t="s">
        <v>1597</v>
      </c>
      <c r="V176" t="s">
        <v>2041</v>
      </c>
      <c r="W176" t="s">
        <v>1598</v>
      </c>
      <c r="X176" t="s">
        <v>1612</v>
      </c>
      <c r="Y176" t="s">
        <v>1599</v>
      </c>
      <c r="Z176" t="s">
        <v>1600</v>
      </c>
    </row>
    <row r="177" spans="1:26" x14ac:dyDescent="0.15">
      <c r="A177" t="s">
        <v>613</v>
      </c>
      <c r="B177">
        <v>656</v>
      </c>
      <c r="S177" s="36" t="str">
        <f t="shared" si="7"/>
        <v>},[656]={</v>
      </c>
    </row>
    <row r="178" spans="1:26" x14ac:dyDescent="0.15">
      <c r="C178" t="s">
        <v>1586</v>
      </c>
      <c r="D178" t="s">
        <v>1601</v>
      </c>
      <c r="K178" t="s">
        <v>1435</v>
      </c>
      <c r="M178">
        <v>1</v>
      </c>
      <c r="S178" s="36" t="str">
        <f t="shared" si="7"/>
        <v>{szContent="([浩气恶人]+)[盟谷]-的【(.-)】帮会成功占领【(.-)】据点！",szNote="{$3}·{$1}占领",col={255,255,100,},bReg=true,[20]={},tCountdown={{nClass=20,nIcon=2397,nFrame=-1,szName="",nTime=0.001,nRefresh=2,key="{$3}·浩气占领",},{nClass=20,nIcon=2397,nFrame=-1,szName="{$3}·浩气占领",nTime=-1,key="{$3}·浩气占领",},{nClass=20,nIcon=2398,nFrame=-1,szName="",nTime=0.001,nRefresh=2,key="{$3}·恶人占领",},{nClass=20,nIcon=2398,nFrame=-1,szName="{$3}·恶人占领",nTime=-1,key="{$3}·恶人占领",},{nClass=20,nIcon=2400,nFrame=7,szName="{$3}·{$1}占领",nTime=0,key="{$3}·{$1}占领",},{nClass=20,nIcon=20122,nFrame=7,szName="【{$3}】·浩气占领",nTime=30,nRefresh=1,key="{$3}·浩气占领",},{nClass=20,nIcon=20114,nFrame=3,szName="【{$3}】·恶人占领",nTime=30,nRefresh=1,key="{$3}·恶人占领",},},},</v>
      </c>
      <c r="T178" t="s">
        <v>2036</v>
      </c>
      <c r="U178" t="s">
        <v>1590</v>
      </c>
      <c r="V178" t="s">
        <v>2037</v>
      </c>
      <c r="W178" t="s">
        <v>1591</v>
      </c>
      <c r="X178" t="s">
        <v>1610</v>
      </c>
      <c r="Y178" t="s">
        <v>1592</v>
      </c>
      <c r="Z178" t="s">
        <v>1593</v>
      </c>
    </row>
    <row r="179" spans="1:26" x14ac:dyDescent="0.15">
      <c r="C179" t="s">
        <v>1587</v>
      </c>
      <c r="D179" t="s">
        <v>1602</v>
      </c>
      <c r="K179" t="s">
        <v>1435</v>
      </c>
      <c r="M179">
        <v>1</v>
      </c>
      <c r="S179" s="36" t="str">
        <f t="shared" si="7"/>
        <v>{szContent="([浩气恶人]+)[盟谷]-位于(.-)的【(.-)据点】大旗被夺",szNote="{$3}·{$1}大旗被夺",col={255,255,100,},bReg=true,[20]={},tCountdown={{nClass=20,nIcon=2397,nFrame=-1,szName="",nTime=0.001,nRefresh=2,key="{$3}·浩气大旗被夺",},{nClass=20,nIcon=2397,nFrame=-1,szName="{$3}·浩气大旗被夺",nTime=-1,key="{$3}·浩气大旗被夺",},{nClass=20,nIcon=2398,nFrame=-1,szName="",nTime=0.001,nRefresh=2,key="{$3}·恶人大旗被夺",},{nClass=20,nIcon=2398,nFrame=-1,szName="{$3}·恶人大旗被夺",nTime=-1,key="{$3}·恶人大旗被夺",},{nClass=20,nIcon=2400,nFrame=7,szName="{$3}·{$1}大旗被夺",nTime=0,key="{$3}·{$1}大旗被夺",},{nClass=20,nIcon=4837,nFrame=7,szName="{$2}【{$3}】浩气大旗被夺",nTime=30,nRefresh=1,key="{$3}·浩气大旗被夺",},{nClass=20,nIcon=4838,nFrame=3,szName="{$2}【{$3}】恶人大旗被夺",nTime=30,nRefresh=1,key="{$3}·恶人大旗被夺",},},},</v>
      </c>
      <c r="T179" t="s">
        <v>2038</v>
      </c>
      <c r="U179" t="s">
        <v>1594</v>
      </c>
      <c r="V179" t="s">
        <v>2039</v>
      </c>
      <c r="W179" t="s">
        <v>1595</v>
      </c>
      <c r="X179" t="s">
        <v>1611</v>
      </c>
      <c r="Y179" t="s">
        <v>1613</v>
      </c>
      <c r="Z179" t="s">
        <v>1614</v>
      </c>
    </row>
    <row r="180" spans="1:26" x14ac:dyDescent="0.15">
      <c r="C180" t="s">
        <v>1588</v>
      </c>
      <c r="D180" t="s">
        <v>1603</v>
      </c>
      <c r="K180" t="s">
        <v>1435</v>
      </c>
      <c r="M180">
        <v>1</v>
      </c>
      <c r="S180" s="36" t="str">
        <f t="shared" si="7"/>
        <v>{szContent="^【(.*)】据点大旗.*重置回初始位置！",szNote="{$1}大旗重置",col={255,255,100,},bReg=true,[20]={},tCountdown={{nClass=20,nIcon=592,nFrame=4,szName="【{$1}】大旗重置",nTime=180,key="{$1}·大旗重置",},},},</v>
      </c>
      <c r="T180" t="s">
        <v>1596</v>
      </c>
    </row>
    <row r="181" spans="1:26" x14ac:dyDescent="0.15">
      <c r="C181" t="s">
        <v>1589</v>
      </c>
      <c r="D181" t="s">
        <v>1604</v>
      </c>
      <c r="K181" t="s">
        <v>1435</v>
      </c>
      <c r="M181">
        <v>1</v>
      </c>
      <c r="S181" s="36" t="str">
        <f t="shared" si="7"/>
        <v>{szContent="^江湖快报！(.-)据点粮仓被一群([浩气恶人]+)[盟谷]-人士洗劫，损失一半据点资金。",szNote="{$1}·{$2}劫粮",col={255,255,100,},bReg=true,[20]={},tCountdown={{nClass=20,nIcon=2397,nFrame=-1,szName="",nTime=0.001,nRefresh=2,key="{$1}·浩气劫粮",},{nClass=20,nIcon=2397,nFrame=-1,szName="{$1}·浩气劫粮",nTime=-1,key="{$1}·浩气劫粮",},{nClass=20,nIcon=2398,nFrame=-1,szName="",nTime=0.001,nRefresh=2,key="{$1}·恶人劫粮",},{nClass=20,nIcon=2398,nFrame=-1,szName="{$1}·恶人劫粮",nTime=-1,key="{$1}·恶人劫粮",},{nClass=20,nIcon=2400,nFrame=7,szName="{$1}·{$2}劫粮",nTime=0,key="{$1}·{$2}劫粮",},{nClass=20,nIcon=15387,nFrame=7,szName="【{$1}】浩气劫粮",nTime=30,nRefresh=1,key="{$1}·浩气劫粮",},{nClass=20,nIcon=15383,nFrame=3,szName="【{$1}】恶人劫粮",nTime=30,nRefresh=1,key="{$1}·恶人劫粮",},},},</v>
      </c>
      <c r="T181" t="s">
        <v>2040</v>
      </c>
      <c r="U181" t="s">
        <v>1597</v>
      </c>
      <c r="V181" t="s">
        <v>2041</v>
      </c>
      <c r="W181" t="s">
        <v>1598</v>
      </c>
      <c r="X181" t="s">
        <v>1612</v>
      </c>
      <c r="Y181" t="s">
        <v>1599</v>
      </c>
      <c r="Z181" t="s">
        <v>1600</v>
      </c>
    </row>
    <row r="182" spans="1:26" x14ac:dyDescent="0.15">
      <c r="S182" s="36" t="str">
        <f t="shared" si="7"/>
        <v>},},}</v>
      </c>
    </row>
    <row r="183" spans="1:26" x14ac:dyDescent="0.15">
      <c r="S183" s="36"/>
    </row>
    <row r="184" spans="1:26" x14ac:dyDescent="0.15">
      <c r="S184" s="36"/>
    </row>
    <row r="185" spans="1:26" x14ac:dyDescent="0.15">
      <c r="S185" s="36"/>
    </row>
    <row r="186" spans="1:26" x14ac:dyDescent="0.15">
      <c r="S186" s="36"/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茗伊团队监控数据总控</vt:lpstr>
      <vt:lpstr>字典</vt:lpstr>
      <vt:lpstr>有利气劲</vt:lpstr>
      <vt:lpstr>不利气劲</vt:lpstr>
      <vt:lpstr>系统角色</vt:lpstr>
      <vt:lpstr>交互物件</vt:lpstr>
      <vt:lpstr>角色喊话</vt:lpstr>
      <vt:lpstr>系统频道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荷花鲤</dc:creator>
  <dcterms:created xsi:type="dcterms:W3CDTF">2024-01-14T19:36:11Z</dcterms:created>
  <dcterms:modified xsi:type="dcterms:W3CDTF">2024-06-16T14:38:11Z</dcterms:modified>
</cp:coreProperties>
</file>