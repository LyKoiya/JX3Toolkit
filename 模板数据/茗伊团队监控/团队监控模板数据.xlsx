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23426"/>
  <workbookPr dateCompatibility="0" codeName="ThisWorkbook" defaultThemeVersion="166925"/>
  <mc:AlternateContent xmlns:mc="http://schemas.openxmlformats.org/markup-compatibility/2006">
    <mc:Choice Requires="x15">
      <x15ac:absPath xmlns:x15ac="http://schemas.microsoft.com/office/spreadsheetml/2010/11/ac" url="E:\010\剑网3\工具代码\剑三插件数据解析\模板数据\茗伊团队监控\"/>
    </mc:Choice>
  </mc:AlternateContent>
  <xr:revisionPtr revIDLastSave="0" documentId="13_ncr:9_{4404BE35-DAC1-4590-80CE-B7B198253315}" xr6:coauthVersionLast="45" xr6:coauthVersionMax="45" xr10:uidLastSave="{00000000-0000-0000-0000-000000000000}"/>
  <bookViews>
    <workbookView xWindow="-120" yWindow="-120" windowWidth="29040" windowHeight="15720" activeTab="2" xr2:uid="{00000000-000D-0000-FFFF-FFFF00000000}"/>
  </bookViews>
  <sheets>
    <sheet name="茗伊团队监控数据手册" sheetId="2" r:id="rId1"/>
    <sheet name="字典" sheetId="4" r:id="rId2"/>
    <sheet name="有利气劲" sheetId="5" r:id="rId3"/>
    <sheet name="不利气劲" sheetId="6" r:id="rId4"/>
    <sheet name="武学招式" sheetId="7" r:id="rId5"/>
    <sheet name="系统角色" sheetId="8" r:id="rId6"/>
    <sheet name="交互物件" sheetId="9" r:id="rId7"/>
    <sheet name="角色喊话" sheetId="10" r:id="rId8"/>
    <sheet name="系统频道" sheetId="11" r:id="rId9"/>
  </sheets>
  <definedNames>
    <definedName name="JunSun1">DATE(日历年份,6,1)-WEEKDAY(DATE(日历年份,6,1))</definedName>
    <definedName name="日历年份">#REF!</definedName>
  </definedNames>
  <calcPr calcId="191029"/>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purl.oclc.org/ooxml/spreadsheetml/main">
  <c r="M2" i="11" l="1"/>
  <c r="M3" i="11"/>
  <c r="M4" i="11"/>
  <c r="M5" i="11"/>
  <c r="M6" i="11"/>
  <c r="M7" i="11"/>
  <c r="M8" i="11"/>
  <c r="M9" i="11"/>
  <c r="M10" i="11"/>
  <c r="M11" i="11"/>
  <c r="M12" i="11"/>
  <c r="M13" i="11"/>
  <c r="M14" i="11"/>
  <c r="M15" i="11"/>
  <c r="M16" i="11"/>
  <c r="M17" i="11"/>
  <c r="M18" i="11"/>
  <c r="M19" i="11"/>
  <c r="M20" i="11"/>
  <c r="M21" i="11"/>
  <c r="M22" i="11"/>
  <c r="M23" i="11"/>
  <c r="M24" i="11"/>
  <c r="M25" i="11"/>
  <c r="M26" i="11"/>
  <c r="M27" i="11"/>
  <c r="M28" i="11"/>
  <c r="M29" i="11"/>
  <c r="M30" i="11"/>
  <c r="M31" i="11"/>
  <c r="M32" i="11"/>
  <c r="M33" i="11"/>
  <c r="M34" i="11"/>
  <c r="M35" i="11"/>
  <c r="M36" i="11"/>
  <c r="M37" i="11"/>
  <c r="M38" i="11"/>
  <c r="M39" i="11"/>
  <c r="M40" i="11"/>
  <c r="M41" i="11"/>
  <c r="M42" i="11"/>
  <c r="M43" i="11"/>
  <c r="M44" i="11"/>
  <c r="M45" i="11"/>
  <c r="M46" i="11"/>
  <c r="M47" i="11"/>
  <c r="M48" i="11"/>
  <c r="M49" i="11"/>
  <c r="M50" i="11"/>
  <c r="M51" i="11"/>
  <c r="M52" i="11"/>
  <c r="M53" i="11"/>
  <c r="M54" i="11"/>
  <c r="M55" i="11"/>
  <c r="M56" i="11"/>
  <c r="M57" i="11"/>
  <c r="M58" i="11"/>
  <c r="M59" i="11"/>
  <c r="M60" i="11"/>
  <c r="M61" i="11"/>
  <c r="M62" i="11"/>
  <c r="M63" i="11"/>
  <c r="M64" i="11"/>
  <c r="M65" i="11"/>
  <c r="M66" i="11"/>
  <c r="M67" i="11"/>
  <c r="M68" i="11"/>
  <c r="M69" i="11"/>
  <c r="M70" i="11"/>
  <c r="M71" i="11"/>
  <c r="M72" i="11"/>
  <c r="M73" i="11"/>
  <c r="M74" i="11"/>
  <c r="M75" i="11"/>
  <c r="M76" i="11"/>
  <c r="M77" i="11"/>
  <c r="M78" i="11"/>
  <c r="M79" i="11"/>
  <c r="M80" i="11"/>
  <c r="M81" i="11"/>
  <c r="M82" i="11"/>
  <c r="M83" i="11"/>
  <c r="M84" i="11"/>
  <c r="M85" i="11"/>
  <c r="M86" i="11"/>
  <c r="M87" i="11"/>
  <c r="M88" i="11"/>
  <c r="M89" i="11"/>
  <c r="M90" i="11"/>
  <c r="M91" i="11"/>
  <c r="M92" i="11"/>
  <c r="M93" i="11"/>
  <c r="M94" i="11"/>
  <c r="M95" i="11"/>
  <c r="M96" i="11"/>
  <c r="M97" i="11"/>
  <c r="M98" i="11"/>
  <c r="M99" i="11"/>
  <c r="M100" i="11"/>
  <c r="M101" i="11"/>
  <c r="M102" i="11"/>
  <c r="M103" i="11"/>
  <c r="M104" i="11"/>
  <c r="M105" i="11"/>
  <c r="M106" i="11"/>
  <c r="M107" i="11"/>
  <c r="M108" i="11"/>
  <c r="M109" i="11"/>
  <c r="M110" i="11"/>
  <c r="M111" i="11"/>
  <c r="M112" i="11"/>
  <c r="M113" i="11"/>
  <c r="M114" i="11"/>
  <c r="M115" i="11"/>
  <c r="M116" i="11"/>
  <c r="M117" i="11"/>
  <c r="M118" i="11"/>
  <c r="M119" i="11"/>
  <c r="M120" i="11"/>
  <c r="M121" i="11"/>
  <c r="M122" i="11"/>
  <c r="M123" i="11"/>
  <c r="M124" i="11"/>
  <c r="M125" i="11"/>
  <c r="M126" i="11"/>
  <c r="M127" i="11"/>
  <c r="M128" i="11"/>
  <c r="M129" i="11"/>
  <c r="M130" i="11"/>
  <c r="M131" i="11"/>
  <c r="M132" i="11"/>
  <c r="M133" i="11"/>
  <c r="M134" i="11"/>
  <c r="M135" i="11"/>
  <c r="M136" i="11"/>
  <c r="M137" i="11"/>
  <c r="M138" i="11"/>
  <c r="M139" i="11"/>
  <c r="M140" i="11"/>
  <c r="M141" i="11"/>
  <c r="M142" i="11"/>
  <c r="M143" i="11"/>
  <c r="M144" i="11"/>
  <c r="M145" i="11"/>
  <c r="M146" i="11"/>
  <c r="M147" i="11"/>
  <c r="M148" i="11"/>
  <c r="M149" i="11"/>
  <c r="M150" i="11"/>
  <c r="M151" i="11"/>
  <c r="M152" i="11"/>
  <c r="M153" i="11"/>
  <c r="M154" i="11"/>
  <c r="M155" i="11"/>
  <c r="M156" i="11"/>
  <c r="M157" i="11"/>
  <c r="M158" i="11"/>
  <c r="M159" i="11"/>
  <c r="M160" i="11"/>
  <c r="M161" i="11"/>
  <c r="M162" i="11"/>
  <c r="M163" i="11"/>
  <c r="M164" i="11"/>
  <c r="M165" i="11"/>
  <c r="M166" i="11"/>
  <c r="M167" i="11"/>
  <c r="M168" i="11"/>
  <c r="M169" i="11"/>
  <c r="M170" i="11"/>
  <c r="M171" i="11"/>
  <c r="M172" i="11"/>
  <c r="M173" i="11"/>
  <c r="M174" i="11"/>
  <c r="M175" i="11"/>
  <c r="M176" i="11"/>
  <c r="M177" i="11"/>
  <c r="M178" i="11"/>
  <c r="M179" i="11"/>
  <c r="M180" i="11"/>
  <c r="M181" i="11"/>
  <c r="M182" i="11"/>
  <c r="M183" i="11"/>
  <c r="M184" i="11"/>
  <c r="M185" i="11"/>
  <c r="M186" i="11"/>
  <c r="M187" i="11"/>
  <c r="M188" i="11"/>
  <c r="M189" i="11"/>
  <c r="M190" i="11"/>
  <c r="M191" i="11"/>
  <c r="M192" i="11"/>
  <c r="M193" i="11"/>
  <c r="M194" i="11"/>
  <c r="M195" i="11"/>
  <c r="M196" i="11"/>
  <c r="M197" i="11"/>
  <c r="M198" i="11"/>
  <c r="M199" i="11"/>
  <c r="M200" i="11"/>
  <c r="M201" i="11"/>
  <c r="M202" i="11"/>
  <c r="M203" i="11"/>
  <c r="M204" i="11"/>
  <c r="M205" i="11"/>
  <c r="M206" i="11"/>
  <c r="M207" i="11"/>
  <c r="M208" i="11"/>
  <c r="M209" i="11"/>
  <c r="M210" i="11"/>
  <c r="M211" i="11"/>
  <c r="M212" i="11"/>
  <c r="M213" i="11"/>
  <c r="M214" i="11"/>
  <c r="M215" i="11"/>
  <c r="M216" i="11"/>
  <c r="M217" i="11"/>
  <c r="M218" i="11"/>
  <c r="M219" i="11"/>
  <c r="M220" i="11"/>
  <c r="M221" i="11"/>
  <c r="M222" i="11"/>
  <c r="M223" i="11"/>
  <c r="M224" i="11"/>
  <c r="M225" i="11"/>
  <c r="M226" i="11"/>
  <c r="M227" i="11"/>
  <c r="M228" i="11"/>
  <c r="M229" i="11"/>
  <c r="M230" i="11"/>
  <c r="M231" i="11"/>
  <c r="M232" i="11"/>
  <c r="M233" i="11"/>
  <c r="M234" i="11"/>
  <c r="M235" i="11"/>
  <c r="M236" i="11"/>
  <c r="M237" i="11"/>
  <c r="M238" i="11"/>
  <c r="M239" i="11"/>
  <c r="M240" i="11"/>
  <c r="M241" i="11"/>
  <c r="M242" i="11"/>
  <c r="M243" i="11"/>
  <c r="M244" i="11"/>
  <c r="M245" i="11"/>
  <c r="M246" i="11"/>
  <c r="M247" i="11"/>
  <c r="M248" i="11"/>
  <c r="M249" i="11"/>
  <c r="M250" i="11"/>
  <c r="M251" i="11"/>
  <c r="M252" i="11"/>
  <c r="M253" i="11"/>
  <c r="M254" i="11"/>
  <c r="M255" i="11"/>
  <c r="M256" i="11"/>
  <c r="M257" i="11"/>
  <c r="M258" i="11"/>
  <c r="M259" i="11"/>
  <c r="M260" i="11"/>
  <c r="M261" i="11"/>
  <c r="M262" i="11"/>
  <c r="M263" i="11"/>
  <c r="M264" i="11"/>
  <c r="M265" i="11"/>
  <c r="M266" i="11"/>
  <c r="M267" i="11"/>
  <c r="M268" i="11"/>
  <c r="M269" i="11"/>
  <c r="M270" i="11"/>
  <c r="M271" i="11"/>
  <c r="M272" i="11"/>
  <c r="M273" i="11"/>
  <c r="M274" i="11"/>
  <c r="M275" i="11"/>
  <c r="M276" i="11"/>
  <c r="M277" i="11"/>
  <c r="M278" i="11"/>
  <c r="M279" i="11"/>
  <c r="M280" i="11"/>
  <c r="M281" i="11"/>
  <c r="M282" i="11"/>
  <c r="M283" i="11"/>
  <c r="M284" i="11"/>
  <c r="M285" i="11"/>
  <c r="M286" i="11"/>
  <c r="M287" i="11"/>
  <c r="M288" i="11"/>
  <c r="M289" i="11"/>
  <c r="M290" i="11"/>
  <c r="M291" i="11"/>
  <c r="M292" i="11"/>
  <c r="M293" i="11"/>
  <c r="M294" i="11"/>
  <c r="M295" i="11"/>
  <c r="M296" i="11"/>
  <c r="M297" i="11"/>
  <c r="M298" i="11"/>
  <c r="M299" i="11"/>
  <c r="M300" i="11"/>
  <c r="M301" i="11"/>
  <c r="M302" i="11"/>
  <c r="M303" i="11"/>
  <c r="M304" i="11"/>
  <c r="M305" i="11"/>
  <c r="M306" i="11"/>
  <c r="M307" i="11"/>
  <c r="M308" i="11"/>
  <c r="M309" i="11"/>
  <c r="M310" i="11"/>
  <c r="M311" i="11"/>
  <c r="M312" i="11"/>
  <c r="M313" i="11"/>
  <c r="M314" i="11"/>
  <c r="M315" i="11"/>
  <c r="M316" i="11"/>
  <c r="M317" i="11"/>
  <c r="M318" i="11"/>
  <c r="M319" i="11"/>
  <c r="M320" i="11"/>
  <c r="M321" i="11"/>
  <c r="M322" i="11"/>
  <c r="M323" i="11"/>
  <c r="M324" i="11"/>
  <c r="M325" i="11"/>
  <c r="M326" i="11"/>
  <c r="M327" i="11"/>
  <c r="M328" i="11"/>
  <c r="M329" i="11"/>
  <c r="M330" i="11"/>
  <c r="M331" i="11"/>
  <c r="M332" i="11"/>
  <c r="M333" i="11"/>
  <c r="M334" i="11"/>
  <c r="M335" i="11"/>
  <c r="M336" i="11"/>
  <c r="M337" i="11"/>
  <c r="M338" i="11"/>
  <c r="M339" i="11"/>
  <c r="M340" i="11"/>
  <c r="M341" i="11"/>
  <c r="M342" i="11"/>
  <c r="M343" i="11"/>
  <c r="M344" i="11"/>
  <c r="M345" i="11"/>
  <c r="M346" i="11"/>
  <c r="M347" i="11"/>
  <c r="M348" i="11"/>
  <c r="M349" i="11"/>
  <c r="M350" i="11"/>
  <c r="M351" i="11"/>
  <c r="M352" i="11"/>
  <c r="M353" i="11"/>
  <c r="M354" i="11"/>
  <c r="M355" i="11"/>
  <c r="M356" i="11"/>
  <c r="M357" i="11"/>
  <c r="M358" i="11"/>
  <c r="M359" i="11"/>
  <c r="M360" i="11"/>
  <c r="M361" i="11"/>
  <c r="M362" i="11"/>
  <c r="M363" i="11"/>
  <c r="M364" i="11"/>
  <c r="M365" i="11"/>
  <c r="M366" i="11"/>
  <c r="M367" i="11"/>
  <c r="M368" i="11"/>
  <c r="M369" i="11"/>
  <c r="M370" i="11"/>
  <c r="M371" i="11"/>
  <c r="M372" i="11"/>
  <c r="M373" i="11"/>
  <c r="M374" i="11"/>
  <c r="M375" i="11"/>
  <c r="M376" i="11"/>
  <c r="M377" i="11"/>
  <c r="M378" i="11"/>
  <c r="M379" i="11"/>
  <c r="M380" i="11"/>
  <c r="M381" i="11"/>
  <c r="M382" i="11"/>
  <c r="M383" i="11"/>
  <c r="M384" i="11"/>
  <c r="M385" i="11"/>
  <c r="M386" i="11"/>
  <c r="M387" i="11"/>
  <c r="M388" i="11"/>
  <c r="M389" i="11"/>
  <c r="M390" i="11"/>
  <c r="M391" i="11"/>
  <c r="M392" i="11"/>
  <c r="M393" i="11"/>
  <c r="M394" i="11"/>
  <c r="M395" i="11"/>
  <c r="M396" i="11"/>
  <c r="M397" i="11"/>
  <c r="M398" i="11"/>
  <c r="M399" i="11"/>
  <c r="M400" i="11"/>
  <c r="M401" i="11"/>
  <c r="M402" i="11"/>
  <c r="M403" i="11"/>
  <c r="M404" i="11"/>
  <c r="M405" i="11"/>
  <c r="M406" i="11"/>
  <c r="M407" i="11"/>
  <c r="M408" i="11"/>
  <c r="M409" i="11"/>
  <c r="M410" i="11"/>
  <c r="M411" i="11"/>
  <c r="M412" i="11"/>
  <c r="M413" i="11"/>
  <c r="M414" i="11"/>
  <c r="M415" i="11"/>
  <c r="M416" i="11"/>
  <c r="M417" i="11"/>
  <c r="M418" i="11"/>
  <c r="M419" i="11"/>
  <c r="M420" i="11"/>
  <c r="M421" i="11"/>
  <c r="M422" i="11"/>
  <c r="M423" i="11"/>
  <c r="M424" i="11"/>
  <c r="M425" i="11"/>
  <c r="M426" i="11"/>
  <c r="M427" i="11"/>
  <c r="M428" i="11"/>
  <c r="M429" i="11"/>
  <c r="M430" i="11"/>
  <c r="M431" i="11"/>
  <c r="M432" i="11"/>
  <c r="M433" i="11"/>
  <c r="M434" i="11"/>
  <c r="M435" i="11"/>
  <c r="M436" i="11"/>
  <c r="M437" i="11"/>
  <c r="M438" i="11"/>
  <c r="M439" i="11"/>
  <c r="M440" i="11"/>
  <c r="M441" i="11"/>
  <c r="M442" i="11"/>
  <c r="M443" i="11"/>
  <c r="M444" i="11"/>
  <c r="M445" i="11"/>
  <c r="M446" i="11"/>
  <c r="M447" i="11"/>
  <c r="M448" i="11"/>
  <c r="M449" i="11"/>
  <c r="M450" i="11"/>
  <c r="M451" i="11"/>
  <c r="M452" i="11"/>
  <c r="M453" i="11"/>
  <c r="M454" i="11"/>
  <c r="M455" i="11"/>
  <c r="M456" i="11"/>
  <c r="M457" i="11"/>
  <c r="M458" i="11"/>
  <c r="M459" i="11"/>
  <c r="M460" i="11"/>
  <c r="M461" i="11"/>
  <c r="M462" i="11"/>
  <c r="M463" i="11"/>
  <c r="M464" i="11"/>
  <c r="M465" i="11"/>
  <c r="M466" i="11"/>
  <c r="M467" i="11"/>
  <c r="M468" i="11"/>
  <c r="M469" i="11"/>
  <c r="M470" i="11"/>
  <c r="M471" i="11"/>
  <c r="M472" i="11"/>
  <c r="M473" i="11"/>
  <c r="M474" i="11"/>
  <c r="M475" i="11"/>
  <c r="M476" i="11"/>
  <c r="M477" i="11"/>
  <c r="M478" i="11"/>
  <c r="M479" i="11"/>
  <c r="M480" i="11"/>
  <c r="M481" i="11"/>
  <c r="M482" i="11"/>
  <c r="M483" i="11"/>
  <c r="M484" i="11"/>
  <c r="M485" i="11"/>
  <c r="M486" i="11"/>
  <c r="M487" i="11"/>
  <c r="M488" i="11"/>
  <c r="M489" i="11"/>
  <c r="M490" i="11"/>
  <c r="M491" i="11"/>
  <c r="M492" i="11"/>
  <c r="M493" i="11"/>
  <c r="M494" i="11"/>
  <c r="M495" i="11"/>
  <c r="M496" i="11"/>
  <c r="M497" i="11"/>
  <c r="M498" i="11"/>
  <c r="M499" i="11"/>
  <c r="M500" i="11"/>
  <c r="M501" i="11"/>
  <c r="M502" i="11"/>
  <c r="M503" i="11"/>
  <c r="M504" i="11"/>
  <c r="M505" i="11"/>
  <c r="M506" i="11"/>
  <c r="M507" i="11"/>
  <c r="M508" i="11"/>
  <c r="M509" i="11"/>
  <c r="M510" i="11"/>
  <c r="M511" i="11"/>
  <c r="M512" i="11"/>
  <c r="M513" i="11"/>
  <c r="M514" i="11"/>
  <c r="M515" i="11"/>
  <c r="M516" i="11"/>
  <c r="M517" i="11"/>
  <c r="M518" i="11"/>
  <c r="M519" i="11"/>
  <c r="M520" i="11"/>
  <c r="M521" i="11"/>
  <c r="M522" i="11"/>
  <c r="M523" i="11"/>
  <c r="M524" i="11"/>
  <c r="M525" i="11"/>
  <c r="M526" i="11"/>
  <c r="M527" i="11"/>
  <c r="M528" i="11"/>
  <c r="M529" i="11"/>
  <c r="M530" i="11"/>
  <c r="M531" i="11"/>
  <c r="M532" i="11"/>
  <c r="M533" i="11"/>
  <c r="M534" i="11"/>
  <c r="M535" i="11"/>
  <c r="M536" i="11"/>
  <c r="M537" i="11"/>
  <c r="M538" i="11"/>
  <c r="M539" i="11"/>
  <c r="M540" i="11"/>
  <c r="M541" i="11"/>
  <c r="M542" i="11"/>
  <c r="M543" i="11"/>
  <c r="M544" i="11"/>
  <c r="M545" i="11"/>
  <c r="M546" i="11"/>
  <c r="M547" i="11"/>
  <c r="M548" i="11"/>
  <c r="M549" i="11"/>
  <c r="M550" i="11"/>
  <c r="M551" i="11"/>
  <c r="M552" i="11"/>
  <c r="M553" i="11"/>
  <c r="M554" i="11"/>
  <c r="M555" i="11"/>
  <c r="M556" i="11"/>
  <c r="M557" i="11"/>
  <c r="M558" i="11"/>
  <c r="M559" i="11"/>
  <c r="M560" i="11"/>
  <c r="M561" i="11"/>
  <c r="M562" i="11"/>
  <c r="M563" i="11"/>
  <c r="M564" i="11"/>
  <c r="M565" i="11"/>
  <c r="M566" i="11"/>
  <c r="M567" i="11"/>
  <c r="M568" i="11"/>
  <c r="N2" i="10"/>
  <c r="N3" i="10"/>
  <c r="N4" i="10"/>
  <c r="N5" i="10"/>
  <c r="N6" i="10"/>
  <c r="N7" i="10"/>
  <c r="N8" i="10"/>
  <c r="N9" i="10"/>
  <c r="N10" i="10"/>
  <c r="N11" i="10"/>
  <c r="N12" i="10"/>
  <c r="N13" i="10"/>
  <c r="N14" i="10"/>
  <c r="N15" i="10"/>
  <c r="N16" i="10"/>
  <c r="N17" i="10"/>
  <c r="N18" i="10"/>
  <c r="N19" i="10"/>
  <c r="N20" i="10"/>
  <c r="N21" i="10"/>
  <c r="N22" i="10"/>
  <c r="N23" i="10"/>
  <c r="N24" i="10"/>
  <c r="N25" i="10"/>
  <c r="N26" i="10"/>
  <c r="N27" i="10"/>
  <c r="N28" i="10"/>
  <c r="N29" i="10"/>
  <c r="N30" i="10"/>
  <c r="N31" i="10"/>
  <c r="N32" i="10"/>
  <c r="N33" i="10"/>
  <c r="N34" i="10"/>
  <c r="N35" i="10"/>
  <c r="N36" i="10"/>
  <c r="N37" i="10"/>
  <c r="N38" i="10"/>
  <c r="N39" i="10"/>
  <c r="N40" i="10"/>
  <c r="N41" i="10"/>
  <c r="N42" i="10"/>
  <c r="N43" i="10"/>
  <c r="N44" i="10"/>
  <c r="N45" i="10"/>
  <c r="N46" i="10"/>
  <c r="N47" i="10"/>
  <c r="N48" i="10"/>
  <c r="N49" i="10"/>
  <c r="N50" i="10"/>
  <c r="N51" i="10"/>
  <c r="N52" i="10"/>
  <c r="N53" i="10"/>
  <c r="N54" i="10"/>
  <c r="N55" i="10"/>
  <c r="N56" i="10"/>
  <c r="N57" i="10"/>
  <c r="N58" i="10"/>
  <c r="N59" i="10"/>
  <c r="N60" i="10"/>
  <c r="N61" i="10"/>
  <c r="N62" i="10"/>
  <c r="N63" i="10"/>
  <c r="N64" i="10"/>
  <c r="N65" i="10"/>
  <c r="N66" i="10"/>
  <c r="N67" i="10"/>
  <c r="N68" i="10"/>
  <c r="N69" i="10"/>
  <c r="N70" i="10"/>
  <c r="N71" i="10"/>
  <c r="N72" i="10"/>
  <c r="N73" i="10"/>
  <c r="N74" i="10"/>
  <c r="N75" i="10"/>
  <c r="N76" i="10"/>
  <c r="N77" i="10"/>
  <c r="N78" i="10"/>
  <c r="N79" i="10"/>
  <c r="N80" i="10"/>
  <c r="N81" i="10"/>
  <c r="N82" i="10"/>
  <c r="N83" i="10"/>
  <c r="N84" i="10"/>
  <c r="N85" i="10"/>
  <c r="N86" i="10"/>
  <c r="N87" i="10"/>
  <c r="N88" i="10"/>
  <c r="N89" i="10"/>
  <c r="N90" i="10"/>
  <c r="N91" i="10"/>
  <c r="N92" i="10"/>
  <c r="N93" i="10"/>
  <c r="N94" i="10"/>
  <c r="N95" i="10"/>
  <c r="N96" i="10"/>
  <c r="N97" i="10"/>
  <c r="N98" i="10"/>
  <c r="N99" i="10"/>
  <c r="N100" i="10"/>
  <c r="N101" i="10"/>
  <c r="N102" i="10"/>
  <c r="N103" i="10"/>
  <c r="N104" i="10"/>
  <c r="N105" i="10"/>
  <c r="N106" i="10"/>
  <c r="N107" i="10"/>
  <c r="N108" i="10"/>
  <c r="N109" i="10"/>
  <c r="N110" i="10"/>
  <c r="N111" i="10"/>
  <c r="N112" i="10"/>
  <c r="N113" i="10"/>
  <c r="N114" i="10"/>
  <c r="N115" i="10"/>
  <c r="N116" i="10"/>
  <c r="N117" i="10"/>
  <c r="N118" i="10"/>
  <c r="N119" i="10"/>
  <c r="N120" i="10"/>
  <c r="N121" i="10"/>
  <c r="N122" i="10"/>
  <c r="N123" i="10"/>
  <c r="N124" i="10"/>
  <c r="N125" i="10"/>
  <c r="N126" i="10"/>
  <c r="N127" i="10"/>
  <c r="N128" i="10"/>
  <c r="N129" i="10"/>
  <c r="N130" i="10"/>
  <c r="N131" i="10"/>
  <c r="N132" i="10"/>
  <c r="N133" i="10"/>
  <c r="N134" i="10"/>
  <c r="N135" i="10"/>
  <c r="N136" i="10"/>
  <c r="N137" i="10"/>
  <c r="N138" i="10"/>
  <c r="N139" i="10"/>
  <c r="N140" i="10"/>
  <c r="N141" i="10"/>
  <c r="N142" i="10"/>
  <c r="N143" i="10"/>
  <c r="N144" i="10"/>
  <c r="N145" i="10"/>
  <c r="N146" i="10"/>
  <c r="N147" i="10"/>
  <c r="N148" i="10"/>
  <c r="N149" i="10"/>
  <c r="N150" i="10"/>
  <c r="N151" i="10"/>
  <c r="N152" i="10"/>
  <c r="N153" i="10"/>
  <c r="N154" i="10"/>
  <c r="N155" i="10"/>
  <c r="N156" i="10"/>
  <c r="N157" i="10"/>
  <c r="N158" i="10"/>
  <c r="N159" i="10"/>
  <c r="N160" i="10"/>
  <c r="N161" i="10"/>
  <c r="N162" i="10"/>
  <c r="N163" i="10"/>
  <c r="N164" i="10"/>
  <c r="N165" i="10"/>
  <c r="N166" i="10"/>
  <c r="N167" i="10"/>
  <c r="N168" i="10"/>
  <c r="N169" i="10"/>
  <c r="N170" i="10"/>
  <c r="N171" i="10"/>
  <c r="N172" i="10"/>
  <c r="N173" i="10"/>
  <c r="N174" i="10"/>
  <c r="N175" i="10"/>
  <c r="N176" i="10"/>
  <c r="N177" i="10"/>
  <c r="N178" i="10"/>
  <c r="N179" i="10"/>
  <c r="N180" i="10"/>
  <c r="N181" i="10"/>
  <c r="N182" i="10"/>
  <c r="N183" i="10"/>
  <c r="N184" i="10"/>
  <c r="N185" i="10"/>
  <c r="N186" i="10"/>
  <c r="N187" i="10"/>
  <c r="N188" i="10"/>
  <c r="N189" i="10"/>
  <c r="N190" i="10"/>
  <c r="N191" i="10"/>
  <c r="N192" i="10"/>
  <c r="N193" i="10"/>
  <c r="N194" i="10"/>
  <c r="N195" i="10"/>
  <c r="N196" i="10"/>
  <c r="N197" i="10"/>
  <c r="N198" i="10"/>
  <c r="N199" i="10"/>
  <c r="N200" i="10"/>
  <c r="N201" i="10"/>
  <c r="N202" i="10"/>
  <c r="N203" i="10"/>
  <c r="N204" i="10"/>
  <c r="N205" i="10"/>
  <c r="N206" i="10"/>
  <c r="N207" i="10"/>
  <c r="N208" i="10"/>
  <c r="N209" i="10"/>
  <c r="N210" i="10"/>
  <c r="N211" i="10"/>
  <c r="N212" i="10"/>
  <c r="N213" i="10"/>
  <c r="N214" i="10"/>
  <c r="N215" i="10"/>
  <c r="N216" i="10"/>
  <c r="N217" i="10"/>
  <c r="N218" i="10"/>
  <c r="N219" i="10"/>
  <c r="N220" i="10"/>
  <c r="N221" i="10"/>
  <c r="N222" i="10"/>
  <c r="N223" i="10"/>
  <c r="N224" i="10"/>
  <c r="N225" i="10"/>
  <c r="N226" i="10"/>
  <c r="N227" i="10"/>
  <c r="N228" i="10"/>
  <c r="N229" i="10"/>
  <c r="N230" i="10"/>
  <c r="N231" i="10"/>
  <c r="N232" i="10"/>
  <c r="N233" i="10"/>
  <c r="N234" i="10"/>
  <c r="N235" i="10"/>
  <c r="N236" i="10"/>
  <c r="N237" i="10"/>
  <c r="N238" i="10"/>
  <c r="N239" i="10"/>
  <c r="N240" i="10"/>
  <c r="N241" i="10"/>
  <c r="N242" i="10"/>
  <c r="N243" i="10"/>
  <c r="N244" i="10"/>
  <c r="N245" i="10"/>
  <c r="N246" i="10"/>
  <c r="N247" i="10"/>
  <c r="N248" i="10"/>
  <c r="N249" i="10"/>
  <c r="N250" i="10"/>
  <c r="N251" i="10"/>
  <c r="N252" i="10"/>
  <c r="N253" i="10"/>
  <c r="N254" i="10"/>
  <c r="N255" i="10"/>
  <c r="N256" i="10"/>
  <c r="N257" i="10"/>
  <c r="N258" i="10"/>
  <c r="N259" i="10"/>
  <c r="N260" i="10"/>
  <c r="N261" i="10"/>
  <c r="N262" i="10"/>
  <c r="N263" i="10"/>
  <c r="N264" i="10"/>
  <c r="N265" i="10"/>
  <c r="N266" i="10"/>
  <c r="N267" i="10"/>
  <c r="N268" i="10"/>
  <c r="N269" i="10"/>
  <c r="N270" i="10"/>
  <c r="N271" i="10"/>
  <c r="N272" i="10"/>
  <c r="N273" i="10"/>
  <c r="N274" i="10"/>
  <c r="N275" i="10"/>
  <c r="N276" i="10"/>
  <c r="N277" i="10"/>
  <c r="N278" i="10"/>
  <c r="N279" i="10"/>
  <c r="N280" i="10"/>
  <c r="N281" i="10"/>
  <c r="N282" i="10"/>
  <c r="N283" i="10"/>
  <c r="N284" i="10"/>
  <c r="N285" i="10"/>
  <c r="N286" i="10"/>
  <c r="N287" i="10"/>
  <c r="N288" i="10"/>
  <c r="N289" i="10"/>
  <c r="N290" i="10"/>
  <c r="N291" i="10"/>
  <c r="N292" i="10"/>
  <c r="N293" i="10"/>
  <c r="N294" i="10"/>
  <c r="N295" i="10"/>
  <c r="N296" i="10"/>
  <c r="N297" i="10"/>
  <c r="N298" i="10"/>
  <c r="N299" i="10"/>
  <c r="N300" i="10"/>
  <c r="N301" i="10"/>
  <c r="N302" i="10"/>
  <c r="N303" i="10"/>
  <c r="N304" i="10"/>
  <c r="N305" i="10"/>
  <c r="N306" i="10"/>
  <c r="N307" i="10"/>
  <c r="N308" i="10"/>
  <c r="N309" i="10"/>
  <c r="N310" i="10"/>
  <c r="N311" i="10"/>
  <c r="N312" i="10"/>
  <c r="N313" i="10"/>
  <c r="N314" i="10"/>
  <c r="N315" i="10"/>
  <c r="N316" i="10"/>
  <c r="N317" i="10"/>
  <c r="N318" i="10"/>
  <c r="N319" i="10"/>
  <c r="N320" i="10"/>
  <c r="N321" i="10"/>
  <c r="N322" i="10"/>
  <c r="N323" i="10"/>
  <c r="N324" i="10"/>
  <c r="N325" i="10"/>
  <c r="N326" i="10"/>
  <c r="N327" i="10"/>
  <c r="N328" i="10"/>
  <c r="N329" i="10"/>
  <c r="N330" i="10"/>
  <c r="N331" i="10"/>
  <c r="N332" i="10"/>
  <c r="N333" i="10"/>
  <c r="N334" i="10"/>
  <c r="N335" i="10"/>
  <c r="N336" i="10"/>
  <c r="N337" i="10"/>
  <c r="N338" i="10"/>
  <c r="N339" i="10"/>
  <c r="N340" i="10"/>
  <c r="N341" i="10"/>
  <c r="N342" i="10"/>
  <c r="N343" i="10"/>
  <c r="N344" i="10"/>
  <c r="N345" i="10"/>
  <c r="N346" i="10"/>
  <c r="N347" i="10"/>
  <c r="N348" i="10"/>
  <c r="N349" i="10"/>
  <c r="N350" i="10"/>
  <c r="N351" i="10"/>
  <c r="N352" i="10"/>
  <c r="N353" i="10"/>
  <c r="N354" i="10"/>
  <c r="N355" i="10"/>
  <c r="N356" i="10"/>
  <c r="N357" i="10"/>
  <c r="N358" i="10"/>
  <c r="N359" i="10"/>
  <c r="N360" i="10"/>
  <c r="N361" i="10"/>
  <c r="N362" i="10"/>
  <c r="N363" i="10"/>
  <c r="N364" i="10"/>
  <c r="N365" i="10"/>
  <c r="N366" i="10"/>
  <c r="N367" i="10"/>
  <c r="N368" i="10"/>
  <c r="N369" i="10"/>
  <c r="N370" i="10"/>
  <c r="N371" i="10"/>
  <c r="N372" i="10"/>
  <c r="N373" i="10"/>
  <c r="N374" i="10"/>
  <c r="N375" i="10"/>
  <c r="N376" i="10"/>
  <c r="N377" i="10"/>
  <c r="N378" i="10"/>
  <c r="N379" i="10"/>
  <c r="N380" i="10"/>
  <c r="N381" i="10"/>
  <c r="N382" i="10"/>
  <c r="N383" i="10"/>
  <c r="N384" i="10"/>
  <c r="N385" i="10"/>
  <c r="N386" i="10"/>
  <c r="N387" i="10"/>
  <c r="N388" i="10"/>
  <c r="N389" i="10"/>
  <c r="N390" i="10"/>
  <c r="N391" i="10"/>
  <c r="N392" i="10"/>
  <c r="N393" i="10"/>
  <c r="N394" i="10"/>
  <c r="N395" i="10"/>
  <c r="N396" i="10"/>
  <c r="N397" i="10"/>
  <c r="N398" i="10"/>
  <c r="N399" i="10"/>
  <c r="N400" i="10"/>
  <c r="N401" i="10"/>
  <c r="N402" i="10"/>
  <c r="N403" i="10"/>
  <c r="N404" i="10"/>
  <c r="N405" i="10"/>
  <c r="N406" i="10"/>
  <c r="N407" i="10"/>
  <c r="N408" i="10"/>
  <c r="N409" i="10"/>
  <c r="N410" i="10"/>
  <c r="N411" i="10"/>
  <c r="N412" i="10"/>
  <c r="N413" i="10"/>
  <c r="N414" i="10"/>
  <c r="N415" i="10"/>
  <c r="N416" i="10"/>
  <c r="N417" i="10"/>
  <c r="N418" i="10"/>
  <c r="N419" i="10"/>
  <c r="N420" i="10"/>
  <c r="N421" i="10"/>
  <c r="N422" i="10"/>
  <c r="N423" i="10"/>
  <c r="N424" i="10"/>
  <c r="N425" i="10"/>
  <c r="N426" i="10"/>
  <c r="N427" i="10"/>
  <c r="N428" i="10"/>
  <c r="N429" i="10"/>
  <c r="N430" i="10"/>
  <c r="N431" i="10"/>
  <c r="N432" i="10"/>
  <c r="N433" i="10"/>
  <c r="N434" i="10"/>
  <c r="N435" i="10"/>
  <c r="N436" i="10"/>
  <c r="N437" i="10"/>
  <c r="N438" i="10"/>
  <c r="N439" i="10"/>
  <c r="N440" i="10"/>
  <c r="N441" i="10"/>
  <c r="N442" i="10"/>
  <c r="N443" i="10"/>
  <c r="N444" i="10"/>
  <c r="N445" i="10"/>
  <c r="N446" i="10"/>
  <c r="N447" i="10"/>
  <c r="N448" i="10"/>
  <c r="N449" i="10"/>
  <c r="N450" i="10"/>
  <c r="N451" i="10"/>
  <c r="N452" i="10"/>
  <c r="N453" i="10"/>
  <c r="N454" i="10"/>
  <c r="N455" i="10"/>
  <c r="N456" i="10"/>
  <c r="N457" i="10"/>
  <c r="N458" i="10"/>
  <c r="N459" i="10"/>
  <c r="N460" i="10"/>
  <c r="N461" i="10"/>
  <c r="N462" i="10"/>
  <c r="N463" i="10"/>
  <c r="N464" i="10"/>
  <c r="N465" i="10"/>
  <c r="N466" i="10"/>
  <c r="N467" i="10"/>
  <c r="N468" i="10"/>
  <c r="N469" i="10"/>
  <c r="N470" i="10"/>
  <c r="N471" i="10"/>
  <c r="N472" i="10"/>
  <c r="N473" i="10"/>
  <c r="N474" i="10"/>
  <c r="N475" i="10"/>
  <c r="N476" i="10"/>
  <c r="N477" i="10"/>
  <c r="N478" i="10"/>
  <c r="N479" i="10"/>
  <c r="N480" i="10"/>
  <c r="N481" i="10"/>
  <c r="N482" i="10"/>
  <c r="N483" i="10"/>
  <c r="N484" i="10"/>
  <c r="N485" i="10"/>
  <c r="N486" i="10"/>
  <c r="N487" i="10"/>
  <c r="N488" i="10"/>
  <c r="N489" i="10"/>
  <c r="N490" i="10"/>
  <c r="N491" i="10"/>
  <c r="N492" i="10"/>
  <c r="N493" i="10"/>
  <c r="N494" i="10"/>
  <c r="N495" i="10"/>
  <c r="N496" i="10"/>
  <c r="N497" i="10"/>
  <c r="N498" i="10"/>
  <c r="N499" i="10"/>
  <c r="N500" i="10"/>
  <c r="N501" i="10"/>
  <c r="N502" i="10"/>
  <c r="N503" i="10"/>
  <c r="N504" i="10"/>
  <c r="N505" i="10"/>
  <c r="N506" i="10"/>
  <c r="N507" i="10"/>
  <c r="N508" i="10"/>
  <c r="N509" i="10"/>
  <c r="N510" i="10"/>
  <c r="N511" i="10"/>
  <c r="N512" i="10"/>
  <c r="N513" i="10"/>
  <c r="N514" i="10"/>
  <c r="N515" i="10"/>
  <c r="N516" i="10"/>
  <c r="N517" i="10"/>
  <c r="N518" i="10"/>
  <c r="N519" i="10"/>
  <c r="N520" i="10"/>
  <c r="N521" i="10"/>
  <c r="N522" i="10"/>
  <c r="N523" i="10"/>
  <c r="N524" i="10"/>
  <c r="N525" i="10"/>
  <c r="N526" i="10"/>
  <c r="N527" i="10"/>
  <c r="N528" i="10"/>
  <c r="N529" i="10"/>
  <c r="N530" i="10"/>
  <c r="N531" i="10"/>
  <c r="N532" i="10"/>
  <c r="N533" i="10"/>
  <c r="N534" i="10"/>
  <c r="N535" i="10"/>
  <c r="N536" i="10"/>
  <c r="N537" i="10"/>
  <c r="N538" i="10"/>
  <c r="N539" i="10"/>
  <c r="N540" i="10"/>
  <c r="N541" i="10"/>
  <c r="N542" i="10"/>
  <c r="N543" i="10"/>
  <c r="N544" i="10"/>
  <c r="N545" i="10"/>
  <c r="N546" i="10"/>
  <c r="N547" i="10"/>
  <c r="N548" i="10"/>
  <c r="N549" i="10"/>
  <c r="N550" i="10"/>
  <c r="N551" i="10"/>
  <c r="N552" i="10"/>
  <c r="N553" i="10"/>
  <c r="N554" i="10"/>
  <c r="N555" i="10"/>
  <c r="N556" i="10"/>
  <c r="N557" i="10"/>
  <c r="N558" i="10"/>
  <c r="N559" i="10"/>
  <c r="N560" i="10"/>
  <c r="N561" i="10"/>
  <c r="N562" i="10"/>
  <c r="N563" i="10"/>
  <c r="N564" i="10"/>
  <c r="N565" i="10"/>
  <c r="N566" i="10"/>
  <c r="N567" i="10"/>
  <c r="N568" i="10"/>
  <c r="N569" i="10"/>
  <c r="N570" i="10"/>
  <c r="N571" i="10"/>
  <c r="N572" i="10"/>
  <c r="N573" i="10"/>
  <c r="N574" i="10"/>
  <c r="N575" i="10"/>
  <c r="N576" i="10"/>
  <c r="N577" i="10"/>
  <c r="N578" i="10"/>
  <c r="N579" i="10"/>
  <c r="N580" i="10"/>
  <c r="N581" i="10"/>
  <c r="N582" i="10"/>
  <c r="N583" i="10"/>
  <c r="N584" i="10"/>
  <c r="N585" i="10"/>
  <c r="N586" i="10"/>
  <c r="N587" i="10"/>
  <c r="N588" i="10"/>
  <c r="N589" i="10"/>
  <c r="N590" i="10"/>
  <c r="N591" i="10"/>
  <c r="N592" i="10"/>
  <c r="N593" i="10"/>
  <c r="N594" i="10"/>
  <c r="N595" i="10"/>
  <c r="N596" i="10"/>
  <c r="N597" i="10"/>
  <c r="N598" i="10"/>
  <c r="N599" i="10"/>
  <c r="N600" i="10"/>
  <c r="N601" i="10"/>
  <c r="T2" i="9"/>
  <c r="T3" i="9"/>
  <c r="T4" i="9"/>
  <c r="T5" i="9"/>
  <c r="T6" i="9"/>
  <c r="T7" i="9"/>
  <c r="T8" i="9"/>
  <c r="T9" i="9"/>
  <c r="T10" i="9"/>
  <c r="T11" i="9"/>
  <c r="T12" i="9"/>
  <c r="T13" i="9"/>
  <c r="T14" i="9"/>
  <c r="T15" i="9"/>
  <c r="T16" i="9"/>
  <c r="T17" i="9"/>
  <c r="T18" i="9"/>
  <c r="T19" i="9"/>
  <c r="T20" i="9"/>
  <c r="T21" i="9"/>
  <c r="T22" i="9"/>
  <c r="T23" i="9"/>
  <c r="T24" i="9"/>
  <c r="T25" i="9"/>
  <c r="T26" i="9"/>
  <c r="T27" i="9"/>
  <c r="T28" i="9"/>
  <c r="T29" i="9"/>
  <c r="T30" i="9"/>
  <c r="T31" i="9"/>
  <c r="T32" i="9"/>
  <c r="T33" i="9"/>
  <c r="T34" i="9"/>
  <c r="T35" i="9"/>
  <c r="T36" i="9"/>
  <c r="T37" i="9"/>
  <c r="T38" i="9"/>
  <c r="T39" i="9"/>
  <c r="T40" i="9"/>
  <c r="T41" i="9"/>
  <c r="T42" i="9"/>
  <c r="T43" i="9"/>
  <c r="T44" i="9"/>
  <c r="T45" i="9"/>
  <c r="T46" i="9"/>
  <c r="T47" i="9"/>
  <c r="T48" i="9"/>
  <c r="T49" i="9"/>
  <c r="T50" i="9"/>
  <c r="T51" i="9"/>
  <c r="T52" i="9"/>
  <c r="T53" i="9"/>
  <c r="T54" i="9"/>
  <c r="T55" i="9"/>
  <c r="T56" i="9"/>
  <c r="T57" i="9"/>
  <c r="T58" i="9"/>
  <c r="T59" i="9"/>
  <c r="T60" i="9"/>
  <c r="T61" i="9"/>
  <c r="T62" i="9"/>
  <c r="T63" i="9"/>
  <c r="T64" i="9"/>
  <c r="T65" i="9"/>
  <c r="T66" i="9"/>
  <c r="T67" i="9"/>
  <c r="T68" i="9"/>
  <c r="T69" i="9"/>
  <c r="T70" i="9"/>
  <c r="T71" i="9"/>
  <c r="T72" i="9"/>
  <c r="T73" i="9"/>
  <c r="T74" i="9"/>
  <c r="T75" i="9"/>
  <c r="T76" i="9"/>
  <c r="T77" i="9"/>
  <c r="T78" i="9"/>
  <c r="T79" i="9"/>
  <c r="T80" i="9"/>
  <c r="T81" i="9"/>
  <c r="T82" i="9"/>
  <c r="T83" i="9"/>
  <c r="T84" i="9"/>
  <c r="T85" i="9"/>
  <c r="T86" i="9"/>
  <c r="T87" i="9"/>
  <c r="T88" i="9"/>
  <c r="T89" i="9"/>
  <c r="T90" i="9"/>
  <c r="T91" i="9"/>
  <c r="T92" i="9"/>
  <c r="T93" i="9"/>
  <c r="T94" i="9"/>
  <c r="T95" i="9"/>
  <c r="T96" i="9"/>
  <c r="T97" i="9"/>
  <c r="T98" i="9"/>
  <c r="T99" i="9"/>
  <c r="T100" i="9"/>
  <c r="T101" i="9"/>
  <c r="T102" i="9"/>
  <c r="T103" i="9"/>
  <c r="T104" i="9"/>
  <c r="T105" i="9"/>
  <c r="T106" i="9"/>
  <c r="T107" i="9"/>
  <c r="T108" i="9"/>
  <c r="T109" i="9"/>
  <c r="T110" i="9"/>
  <c r="T111" i="9"/>
  <c r="T112" i="9"/>
  <c r="T113" i="9"/>
  <c r="T114" i="9"/>
  <c r="T115" i="9"/>
  <c r="T116" i="9"/>
  <c r="T117" i="9"/>
  <c r="T118" i="9"/>
  <c r="T119" i="9"/>
  <c r="T120" i="9"/>
  <c r="T121" i="9"/>
  <c r="T122" i="9"/>
  <c r="T123" i="9"/>
  <c r="T124" i="9"/>
  <c r="T125" i="9"/>
  <c r="T126" i="9"/>
  <c r="T127" i="9"/>
  <c r="T128" i="9"/>
  <c r="T129" i="9"/>
  <c r="T130" i="9"/>
  <c r="T131" i="9"/>
  <c r="T132" i="9"/>
  <c r="T133" i="9"/>
  <c r="T134" i="9"/>
  <c r="T135" i="9"/>
  <c r="T136" i="9"/>
  <c r="T137" i="9"/>
  <c r="T138" i="9"/>
  <c r="T139" i="9"/>
  <c r="T140" i="9"/>
  <c r="T141" i="9"/>
  <c r="T142" i="9"/>
  <c r="T143" i="9"/>
  <c r="T144" i="9"/>
  <c r="T145" i="9"/>
  <c r="T146" i="9"/>
  <c r="T147" i="9"/>
  <c r="T148" i="9"/>
  <c r="T149" i="9"/>
  <c r="T150" i="9"/>
  <c r="T151" i="9"/>
  <c r="T152" i="9"/>
  <c r="T153" i="9"/>
  <c r="T154" i="9"/>
  <c r="T155" i="9"/>
  <c r="T156" i="9"/>
  <c r="T157" i="9"/>
  <c r="T158" i="9"/>
  <c r="T159" i="9"/>
  <c r="T160" i="9"/>
  <c r="T161" i="9"/>
  <c r="T162" i="9"/>
  <c r="T163" i="9"/>
  <c r="T164" i="9"/>
  <c r="T165" i="9"/>
  <c r="T166" i="9"/>
  <c r="T167" i="9"/>
  <c r="T168" i="9"/>
  <c r="T169" i="9"/>
  <c r="T170" i="9"/>
  <c r="T171" i="9"/>
  <c r="T172" i="9"/>
  <c r="T173" i="9"/>
  <c r="T174" i="9"/>
  <c r="T175" i="9"/>
  <c r="T176" i="9"/>
  <c r="T177" i="9"/>
  <c r="T178" i="9"/>
  <c r="T179" i="9"/>
  <c r="T180" i="9"/>
  <c r="T181" i="9"/>
  <c r="T182" i="9"/>
  <c r="T183" i="9"/>
  <c r="T184" i="9"/>
  <c r="T185" i="9"/>
  <c r="T186" i="9"/>
  <c r="T187" i="9"/>
  <c r="T188" i="9"/>
  <c r="T189" i="9"/>
  <c r="T190" i="9"/>
  <c r="T191" i="9"/>
  <c r="T192" i="9"/>
  <c r="T193" i="9"/>
  <c r="T194" i="9"/>
  <c r="T195" i="9"/>
  <c r="T196" i="9"/>
  <c r="T197" i="9"/>
  <c r="T198" i="9"/>
  <c r="T199" i="9"/>
  <c r="T200" i="9"/>
  <c r="T201" i="9"/>
  <c r="T202" i="9"/>
  <c r="T203" i="9"/>
  <c r="T204" i="9"/>
  <c r="T205" i="9"/>
  <c r="T206" i="9"/>
  <c r="T207" i="9"/>
  <c r="T208" i="9"/>
  <c r="T209" i="9"/>
  <c r="T210" i="9"/>
  <c r="T211" i="9"/>
  <c r="T212" i="9"/>
  <c r="T213" i="9"/>
  <c r="T214" i="9"/>
  <c r="T215" i="9"/>
  <c r="T216" i="9"/>
  <c r="T217" i="9"/>
  <c r="T218" i="9"/>
  <c r="T219" i="9"/>
  <c r="T220" i="9"/>
  <c r="T221" i="9"/>
  <c r="T222" i="9"/>
  <c r="T223" i="9"/>
  <c r="T224" i="9"/>
  <c r="T225" i="9"/>
  <c r="T226" i="9"/>
  <c r="T227" i="9"/>
  <c r="T228" i="9"/>
  <c r="T229" i="9"/>
  <c r="T230" i="9"/>
  <c r="T231" i="9"/>
  <c r="T232" i="9"/>
  <c r="T233" i="9"/>
  <c r="T234" i="9"/>
  <c r="T235" i="9"/>
  <c r="T236" i="9"/>
  <c r="T237" i="9"/>
  <c r="T238" i="9"/>
  <c r="T239" i="9"/>
  <c r="T240" i="9"/>
  <c r="T241" i="9"/>
  <c r="T242" i="9"/>
  <c r="T243" i="9"/>
  <c r="T244" i="9"/>
  <c r="T245" i="9"/>
  <c r="T246" i="9"/>
  <c r="T247" i="9"/>
  <c r="T248" i="9"/>
  <c r="T249" i="9"/>
  <c r="T250" i="9"/>
  <c r="T251" i="9"/>
  <c r="T252" i="9"/>
  <c r="T253" i="9"/>
  <c r="T254" i="9"/>
  <c r="T255" i="9"/>
  <c r="T256" i="9"/>
  <c r="T257" i="9"/>
  <c r="T258" i="9"/>
  <c r="T259" i="9"/>
  <c r="T260" i="9"/>
  <c r="T261" i="9"/>
  <c r="T262" i="9"/>
  <c r="T263" i="9"/>
  <c r="T264" i="9"/>
  <c r="T265" i="9"/>
  <c r="T266" i="9"/>
  <c r="T267" i="9"/>
  <c r="T268" i="9"/>
  <c r="T269" i="9"/>
  <c r="T270" i="9"/>
  <c r="T271" i="9"/>
  <c r="T272" i="9"/>
  <c r="T273" i="9"/>
  <c r="T274" i="9"/>
  <c r="T275" i="9"/>
  <c r="T276" i="9"/>
  <c r="T277" i="9"/>
  <c r="T278" i="9"/>
  <c r="T279" i="9"/>
  <c r="T280" i="9"/>
  <c r="T281" i="9"/>
  <c r="T282" i="9"/>
  <c r="T283" i="9"/>
  <c r="T284" i="9"/>
  <c r="T285" i="9"/>
  <c r="T286" i="9"/>
  <c r="T287" i="9"/>
  <c r="T288" i="9"/>
  <c r="T289" i="9"/>
  <c r="T290" i="9"/>
  <c r="T291" i="9"/>
  <c r="T292" i="9"/>
  <c r="T293" i="9"/>
  <c r="T294" i="9"/>
  <c r="T295" i="9"/>
  <c r="T296" i="9"/>
  <c r="T297" i="9"/>
  <c r="T298" i="9"/>
  <c r="T299" i="9"/>
  <c r="T300" i="9"/>
  <c r="T301" i="9"/>
  <c r="T302" i="9"/>
  <c r="T303" i="9"/>
  <c r="T304" i="9"/>
  <c r="T305" i="9"/>
  <c r="T306" i="9"/>
  <c r="T307" i="9"/>
  <c r="T308" i="9"/>
  <c r="T309" i="9"/>
  <c r="T310" i="9"/>
  <c r="T311" i="9"/>
  <c r="T312" i="9"/>
  <c r="T313" i="9"/>
  <c r="T314" i="9"/>
  <c r="T315" i="9"/>
  <c r="T316" i="9"/>
  <c r="T317" i="9"/>
  <c r="T318" i="9"/>
  <c r="T319" i="9"/>
  <c r="T320" i="9"/>
  <c r="T321" i="9"/>
  <c r="T322" i="9"/>
  <c r="T323" i="9"/>
  <c r="T324" i="9"/>
  <c r="T325" i="9"/>
  <c r="T326" i="9"/>
  <c r="T327" i="9"/>
  <c r="T328" i="9"/>
  <c r="T329" i="9"/>
  <c r="T330" i="9"/>
  <c r="T331" i="9"/>
  <c r="T332" i="9"/>
  <c r="T333" i="9"/>
  <c r="T334" i="9"/>
  <c r="T335" i="9"/>
  <c r="T336" i="9"/>
  <c r="T337" i="9"/>
  <c r="T338" i="9"/>
  <c r="T339" i="9"/>
  <c r="T340" i="9"/>
  <c r="T341" i="9"/>
  <c r="T342" i="9"/>
  <c r="T343" i="9"/>
  <c r="T344" i="9"/>
  <c r="T345" i="9"/>
  <c r="T346" i="9"/>
  <c r="T347" i="9"/>
  <c r="T348" i="9"/>
  <c r="T349" i="9"/>
  <c r="T350" i="9"/>
  <c r="T351" i="9"/>
  <c r="T352" i="9"/>
  <c r="T353" i="9"/>
  <c r="T354" i="9"/>
  <c r="T355" i="9"/>
  <c r="T356" i="9"/>
  <c r="T357" i="9"/>
  <c r="T358" i="9"/>
  <c r="T359" i="9"/>
  <c r="V2" i="8"/>
  <c r="V3" i="8"/>
  <c r="V4" i="8"/>
  <c r="V5" i="8"/>
  <c r="V6" i="8"/>
  <c r="V7" i="8"/>
  <c r="V8" i="8"/>
  <c r="V9" i="8"/>
  <c r="V10" i="8"/>
  <c r="V11" i="8"/>
  <c r="V12" i="8"/>
  <c r="V13" i="8"/>
  <c r="V14" i="8"/>
  <c r="V15" i="8"/>
  <c r="V16" i="8"/>
  <c r="V17" i="8"/>
  <c r="V18" i="8"/>
  <c r="V19" i="8"/>
  <c r="V20" i="8"/>
  <c r="V21" i="8"/>
  <c r="V22" i="8"/>
  <c r="V23" i="8"/>
  <c r="V24" i="8"/>
  <c r="V25" i="8"/>
  <c r="V26" i="8"/>
  <c r="V27" i="8"/>
  <c r="V28" i="8"/>
  <c r="V29" i="8"/>
  <c r="V30" i="8"/>
  <c r="V31" i="8"/>
  <c r="V32" i="8"/>
  <c r="V33" i="8"/>
  <c r="V34" i="8"/>
  <c r="V35" i="8"/>
  <c r="V36" i="8"/>
  <c r="V37" i="8"/>
  <c r="V38" i="8"/>
  <c r="V39" i="8"/>
  <c r="V40" i="8"/>
  <c r="V41" i="8"/>
  <c r="V42" i="8"/>
  <c r="V43" i="8"/>
  <c r="V44" i="8"/>
  <c r="V45" i="8"/>
  <c r="V46" i="8"/>
  <c r="V47" i="8"/>
  <c r="V48" i="8"/>
  <c r="V49" i="8"/>
  <c r="V50" i="8"/>
  <c r="V51" i="8"/>
  <c r="V52" i="8"/>
  <c r="V53" i="8"/>
  <c r="V54" i="8"/>
  <c r="V55" i="8"/>
  <c r="V56" i="8"/>
  <c r="V57" i="8"/>
  <c r="V58" i="8"/>
  <c r="V59" i="8"/>
  <c r="V60" i="8"/>
  <c r="V61" i="8"/>
  <c r="V62" i="8"/>
  <c r="V63" i="8"/>
  <c r="V64" i="8"/>
  <c r="V65" i="8"/>
  <c r="V66" i="8"/>
  <c r="V67" i="8"/>
  <c r="V68" i="8"/>
  <c r="V69" i="8"/>
  <c r="V70" i="8"/>
  <c r="V71" i="8"/>
  <c r="V72" i="8"/>
  <c r="V73" i="8"/>
  <c r="V74" i="8"/>
  <c r="V75" i="8"/>
  <c r="V76" i="8"/>
  <c r="V77" i="8"/>
  <c r="V78" i="8"/>
  <c r="V79" i="8"/>
  <c r="V80" i="8"/>
  <c r="V81" i="8"/>
  <c r="V82" i="8"/>
  <c r="V83" i="8"/>
  <c r="V84" i="8"/>
  <c r="V85" i="8"/>
  <c r="V86" i="8"/>
  <c r="V87" i="8"/>
  <c r="V88" i="8"/>
  <c r="V89" i="8"/>
  <c r="V90" i="8"/>
  <c r="V91" i="8"/>
  <c r="V92" i="8"/>
  <c r="V93" i="8"/>
  <c r="V94" i="8"/>
  <c r="V95" i="8"/>
  <c r="V96" i="8"/>
  <c r="V97" i="8"/>
  <c r="V98" i="8"/>
  <c r="V99" i="8"/>
  <c r="V100" i="8"/>
  <c r="V101" i="8"/>
  <c r="V102" i="8"/>
  <c r="V103" i="8"/>
  <c r="V104" i="8"/>
  <c r="V105" i="8"/>
  <c r="V106" i="8"/>
  <c r="V107" i="8"/>
  <c r="V108" i="8"/>
  <c r="V109" i="8"/>
  <c r="V110" i="8"/>
  <c r="V111" i="8"/>
  <c r="V112" i="8"/>
  <c r="V113" i="8"/>
  <c r="V114" i="8"/>
  <c r="V115" i="8"/>
  <c r="V116" i="8"/>
  <c r="V117" i="8"/>
  <c r="V118" i="8"/>
  <c r="V119" i="8"/>
  <c r="V120" i="8"/>
  <c r="V121" i="8"/>
  <c r="V122" i="8"/>
  <c r="V123" i="8"/>
  <c r="V124" i="8"/>
  <c r="V125" i="8"/>
  <c r="V126" i="8"/>
  <c r="V127" i="8"/>
  <c r="V128" i="8"/>
  <c r="V129" i="8"/>
  <c r="V130" i="8"/>
  <c r="V131" i="8"/>
  <c r="V132" i="8"/>
  <c r="V133" i="8"/>
  <c r="V134" i="8"/>
  <c r="V135" i="8"/>
  <c r="V136" i="8"/>
  <c r="V137" i="8"/>
  <c r="V138" i="8"/>
  <c r="V139" i="8"/>
  <c r="V140" i="8"/>
  <c r="V141" i="8"/>
  <c r="V142" i="8"/>
  <c r="V143" i="8"/>
  <c r="V144" i="8"/>
  <c r="V145" i="8"/>
  <c r="V146" i="8"/>
  <c r="V147" i="8"/>
  <c r="V148" i="8"/>
  <c r="V149" i="8"/>
  <c r="V150" i="8"/>
  <c r="V151" i="8"/>
  <c r="V152" i="8"/>
  <c r="V153" i="8"/>
  <c r="V154" i="8"/>
  <c r="V155" i="8"/>
  <c r="V156" i="8"/>
  <c r="V157" i="8"/>
  <c r="V158" i="8"/>
  <c r="V159" i="8"/>
  <c r="V160" i="8"/>
  <c r="V161" i="8"/>
  <c r="V162" i="8"/>
  <c r="V163" i="8"/>
  <c r="V164" i="8"/>
  <c r="V165" i="8"/>
  <c r="V166" i="8"/>
  <c r="V167" i="8"/>
  <c r="V168" i="8"/>
  <c r="V169" i="8"/>
  <c r="V170" i="8"/>
  <c r="V171" i="8"/>
  <c r="V172" i="8"/>
  <c r="V173" i="8"/>
  <c r="V174" i="8"/>
  <c r="V175" i="8"/>
  <c r="V176" i="8"/>
  <c r="V177" i="8"/>
  <c r="V178" i="8"/>
  <c r="V179" i="8"/>
  <c r="V180" i="8"/>
  <c r="V181" i="8"/>
  <c r="V182" i="8"/>
  <c r="V183" i="8"/>
  <c r="V184" i="8"/>
  <c r="V185" i="8"/>
  <c r="V186" i="8"/>
  <c r="V187" i="8"/>
  <c r="V188" i="8"/>
  <c r="V189" i="8"/>
  <c r="V190" i="8"/>
  <c r="V191" i="8"/>
  <c r="V192" i="8"/>
  <c r="V193" i="8"/>
  <c r="V194" i="8"/>
  <c r="V195" i="8"/>
  <c r="V196" i="8"/>
  <c r="V197" i="8"/>
  <c r="V198" i="8"/>
  <c r="V199" i="8"/>
  <c r="V200" i="8"/>
  <c r="V201" i="8"/>
  <c r="V202" i="8"/>
  <c r="V203" i="8"/>
  <c r="V204" i="8"/>
  <c r="V205" i="8"/>
  <c r="V206" i="8"/>
  <c r="V207" i="8"/>
  <c r="V208" i="8"/>
  <c r="V209" i="8"/>
  <c r="V210" i="8"/>
  <c r="V211" i="8"/>
  <c r="V212" i="8"/>
  <c r="V213" i="8"/>
  <c r="V214" i="8"/>
  <c r="V215" i="8"/>
  <c r="V216" i="8"/>
  <c r="V217" i="8"/>
  <c r="V218" i="8"/>
  <c r="V219" i="8"/>
  <c r="V220" i="8"/>
  <c r="V221" i="8"/>
  <c r="V222" i="8"/>
  <c r="V223" i="8"/>
  <c r="V224" i="8"/>
  <c r="V225" i="8"/>
  <c r="V226" i="8"/>
  <c r="V227" i="8"/>
  <c r="V228" i="8"/>
  <c r="V229" i="8"/>
  <c r="V230" i="8"/>
  <c r="V231" i="8"/>
  <c r="V232" i="8"/>
  <c r="V233" i="8"/>
  <c r="V234" i="8"/>
  <c r="V235" i="8"/>
  <c r="V236" i="8"/>
  <c r="V237" i="8"/>
  <c r="V238" i="8"/>
  <c r="V239" i="8"/>
  <c r="V240" i="8"/>
  <c r="V241" i="8"/>
  <c r="V242" i="8"/>
  <c r="V243" i="8"/>
  <c r="V244" i="8"/>
  <c r="V245" i="8"/>
  <c r="V246" i="8"/>
  <c r="V247" i="8"/>
  <c r="V248" i="8"/>
  <c r="V249" i="8"/>
  <c r="V250" i="8"/>
  <c r="V251" i="8"/>
  <c r="V252" i="8"/>
  <c r="V253" i="8"/>
  <c r="V254" i="8"/>
  <c r="V255" i="8"/>
  <c r="V256" i="8"/>
  <c r="V257" i="8"/>
  <c r="V258" i="8"/>
  <c r="V259" i="8"/>
  <c r="V260" i="8"/>
  <c r="V261" i="8"/>
  <c r="V262" i="8"/>
  <c r="V263" i="8"/>
  <c r="V264" i="8"/>
  <c r="V265" i="8"/>
  <c r="V266" i="8"/>
  <c r="V267" i="8"/>
  <c r="V268" i="8"/>
  <c r="V269" i="8"/>
  <c r="V270" i="8"/>
  <c r="V271" i="8"/>
  <c r="V272" i="8"/>
  <c r="V273" i="8"/>
  <c r="V274" i="8"/>
  <c r="V275" i="8"/>
  <c r="V276" i="8"/>
  <c r="V277" i="8"/>
  <c r="V278" i="8"/>
  <c r="V279" i="8"/>
  <c r="V280" i="8"/>
  <c r="V281" i="8"/>
  <c r="V282" i="8"/>
  <c r="V283" i="8"/>
  <c r="V284" i="8"/>
  <c r="V285" i="8"/>
  <c r="V286" i="8"/>
  <c r="V287" i="8"/>
  <c r="V288" i="8"/>
  <c r="V289" i="8"/>
  <c r="V290" i="8"/>
  <c r="V291" i="8"/>
  <c r="V292" i="8"/>
  <c r="V293" i="8"/>
  <c r="V294" i="8"/>
  <c r="V295" i="8"/>
  <c r="V296" i="8"/>
  <c r="V297" i="8"/>
  <c r="V298" i="8"/>
  <c r="V299" i="8"/>
  <c r="V300" i="8"/>
  <c r="V301" i="8"/>
  <c r="V302" i="8"/>
  <c r="V303" i="8"/>
  <c r="V304" i="8"/>
  <c r="V305" i="8"/>
  <c r="V306" i="8"/>
  <c r="V307" i="8"/>
  <c r="V308" i="8"/>
  <c r="V309" i="8"/>
  <c r="V310" i="8"/>
  <c r="V311" i="8"/>
  <c r="V312" i="8"/>
  <c r="V313" i="8"/>
  <c r="V314" i="8"/>
  <c r="V315" i="8"/>
  <c r="V316" i="8"/>
  <c r="V317" i="8"/>
  <c r="V318" i="8"/>
  <c r="V319" i="8"/>
  <c r="V320" i="8"/>
  <c r="V321" i="8"/>
  <c r="V322" i="8"/>
  <c r="V323" i="8"/>
  <c r="V324" i="8"/>
  <c r="V325" i="8"/>
  <c r="V326" i="8"/>
  <c r="V327" i="8"/>
  <c r="V328" i="8"/>
  <c r="V329" i="8"/>
  <c r="V330" i="8"/>
  <c r="V331" i="8"/>
  <c r="V332" i="8"/>
  <c r="V333" i="8"/>
  <c r="V334" i="8"/>
  <c r="V335" i="8"/>
  <c r="V336" i="8"/>
  <c r="V337" i="8"/>
  <c r="V338" i="8"/>
  <c r="V339" i="8"/>
  <c r="V340" i="8"/>
  <c r="V341" i="8"/>
  <c r="V342" i="8"/>
  <c r="V343" i="8"/>
  <c r="V344" i="8"/>
  <c r="V345" i="8"/>
  <c r="V346" i="8"/>
  <c r="V347" i="8"/>
  <c r="V348" i="8"/>
  <c r="V349" i="8"/>
  <c r="V350" i="8"/>
  <c r="V351" i="8"/>
  <c r="V352" i="8"/>
  <c r="V353" i="8"/>
  <c r="V354" i="8"/>
  <c r="V355" i="8"/>
  <c r="V356" i="8"/>
  <c r="V357" i="8"/>
  <c r="V358" i="8"/>
  <c r="V359" i="8"/>
  <c r="V360" i="8"/>
  <c r="V361" i="8"/>
  <c r="V362" i="8"/>
  <c r="V363" i="8"/>
  <c r="V364" i="8"/>
  <c r="V365" i="8"/>
  <c r="V366" i="8"/>
  <c r="V367" i="8"/>
  <c r="V368" i="8"/>
  <c r="V369" i="8"/>
  <c r="V370" i="8"/>
  <c r="V371" i="8"/>
  <c r="V372" i="8"/>
  <c r="V373" i="8"/>
  <c r="V374" i="8"/>
  <c r="V375" i="8"/>
  <c r="V376" i="8"/>
  <c r="V377" i="8"/>
  <c r="V378" i="8"/>
  <c r="V379" i="8"/>
  <c r="V380" i="8"/>
  <c r="V381" i="8"/>
  <c r="V382" i="8"/>
  <c r="V383" i="8"/>
  <c r="V384" i="8"/>
  <c r="V385" i="8"/>
  <c r="V386" i="8"/>
  <c r="V387" i="8"/>
  <c r="V388" i="8"/>
  <c r="V389" i="8"/>
  <c r="V390" i="8"/>
  <c r="V391" i="8"/>
  <c r="V392" i="8"/>
  <c r="V393" i="8"/>
  <c r="V394" i="8"/>
  <c r="V395" i="8"/>
  <c r="V396" i="8"/>
  <c r="V397" i="8"/>
  <c r="V398" i="8"/>
  <c r="V399" i="8"/>
  <c r="V400" i="8"/>
  <c r="V401" i="8"/>
  <c r="V402" i="8"/>
  <c r="V403" i="8"/>
  <c r="V404" i="8"/>
  <c r="V405" i="8"/>
  <c r="V406" i="8"/>
  <c r="V407" i="8"/>
  <c r="V408" i="8"/>
  <c r="V409" i="8"/>
  <c r="V410" i="8"/>
  <c r="V411" i="8"/>
  <c r="V412" i="8"/>
  <c r="V413" i="8"/>
  <c r="V414" i="8"/>
  <c r="V415" i="8"/>
  <c r="V416" i="8"/>
  <c r="V417" i="8"/>
  <c r="V418" i="8"/>
  <c r="V419" i="8"/>
  <c r="V420" i="8"/>
  <c r="V421" i="8"/>
  <c r="V422" i="8"/>
  <c r="V423" i="8"/>
  <c r="V424" i="8"/>
  <c r="V425" i="8"/>
  <c r="V426" i="8"/>
  <c r="V427" i="8"/>
  <c r="V428" i="8"/>
  <c r="V429" i="8"/>
  <c r="V430" i="8"/>
  <c r="V431" i="8"/>
  <c r="V432" i="8"/>
  <c r="V433" i="8"/>
  <c r="V434" i="8"/>
  <c r="V435" i="8"/>
  <c r="V436" i="8"/>
  <c r="V437" i="8"/>
  <c r="V438" i="8"/>
  <c r="V439" i="8"/>
  <c r="V440" i="8"/>
  <c r="V441" i="8"/>
  <c r="V442" i="8"/>
  <c r="V443" i="8"/>
  <c r="V444" i="8"/>
  <c r="V445" i="8"/>
  <c r="V446" i="8"/>
  <c r="V447" i="8"/>
  <c r="V448" i="8"/>
  <c r="V449" i="8"/>
  <c r="V450" i="8"/>
  <c r="V451" i="8"/>
  <c r="V452" i="8"/>
  <c r="V453" i="8"/>
  <c r="V454" i="8"/>
  <c r="V455" i="8"/>
  <c r="V456" i="8"/>
  <c r="V457" i="8"/>
  <c r="V458" i="8"/>
  <c r="V459" i="8"/>
  <c r="V460" i="8"/>
  <c r="V461" i="8"/>
  <c r="V462" i="8"/>
  <c r="V463" i="8"/>
  <c r="V464" i="8"/>
  <c r="V465" i="8"/>
  <c r="V466" i="8"/>
  <c r="V467" i="8"/>
  <c r="V468" i="8"/>
  <c r="V469" i="8"/>
  <c r="V470" i="8"/>
  <c r="V471" i="8"/>
  <c r="V472" i="8"/>
  <c r="V473" i="8"/>
  <c r="V474" i="8"/>
  <c r="V475" i="8"/>
  <c r="V476" i="8"/>
  <c r="V477" i="8"/>
  <c r="V478" i="8"/>
  <c r="V479" i="8"/>
  <c r="V480" i="8"/>
  <c r="V481" i="8"/>
  <c r="V482" i="8"/>
  <c r="V483" i="8"/>
  <c r="V484" i="8"/>
  <c r="V485" i="8"/>
  <c r="V486" i="8"/>
  <c r="V487" i="8"/>
  <c r="V488" i="8"/>
  <c r="V489" i="8"/>
  <c r="V490" i="8"/>
  <c r="V491" i="8"/>
  <c r="V492" i="8"/>
  <c r="V493" i="8"/>
  <c r="V494" i="8"/>
  <c r="V495" i="8"/>
  <c r="V496" i="8"/>
  <c r="V497" i="8"/>
  <c r="V498" i="8"/>
  <c r="V499" i="8"/>
  <c r="V500" i="8"/>
  <c r="V501" i="8"/>
  <c r="V502" i="8"/>
  <c r="V503" i="8"/>
  <c r="V504" i="8"/>
  <c r="V505" i="8"/>
  <c r="V506" i="8"/>
  <c r="V507" i="8"/>
  <c r="V508" i="8"/>
  <c r="V509" i="8"/>
  <c r="V510" i="8"/>
  <c r="V511" i="8"/>
  <c r="V512" i="8"/>
  <c r="V513" i="8"/>
  <c r="V514" i="8"/>
  <c r="V515" i="8"/>
  <c r="V516" i="8"/>
  <c r="V517" i="8"/>
  <c r="V518" i="8"/>
  <c r="V519" i="8"/>
  <c r="V520" i="8"/>
  <c r="V521" i="8"/>
  <c r="V522" i="8"/>
  <c r="V523" i="8"/>
  <c r="V524" i="8"/>
  <c r="V525" i="8"/>
  <c r="V526" i="8"/>
  <c r="V527" i="8"/>
  <c r="V528" i="8"/>
  <c r="V529" i="8"/>
  <c r="V530" i="8"/>
  <c r="V531" i="8"/>
  <c r="V532" i="8"/>
  <c r="V533" i="8"/>
  <c r="V534" i="8"/>
  <c r="V535" i="8"/>
  <c r="V536" i="8"/>
  <c r="V537" i="8"/>
  <c r="V538" i="8"/>
  <c r="V539" i="8"/>
  <c r="V540" i="8"/>
  <c r="V541" i="8"/>
  <c r="V542" i="8"/>
  <c r="V543" i="8"/>
  <c r="V544" i="8"/>
  <c r="V545" i="8"/>
  <c r="V546" i="8"/>
  <c r="V547" i="8"/>
  <c r="V548" i="8"/>
  <c r="V549" i="8"/>
  <c r="V550" i="8"/>
  <c r="V551" i="8"/>
  <c r="V552" i="8"/>
  <c r="V553" i="8"/>
  <c r="V554" i="8"/>
  <c r="V555" i="8"/>
  <c r="V556" i="8"/>
  <c r="V557" i="8"/>
  <c r="V558" i="8"/>
  <c r="V559" i="8"/>
  <c r="V560" i="8"/>
  <c r="V561" i="8"/>
  <c r="V562" i="8"/>
  <c r="V563" i="8"/>
  <c r="V564" i="8"/>
  <c r="V565" i="8"/>
  <c r="V566" i="8"/>
  <c r="V567" i="8"/>
  <c r="V568" i="8"/>
  <c r="V569" i="8"/>
  <c r="V570" i="8"/>
  <c r="V571" i="8"/>
  <c r="V572" i="8"/>
  <c r="V573" i="8"/>
  <c r="V574" i="8"/>
  <c r="V575" i="8"/>
  <c r="V576" i="8"/>
  <c r="V577" i="8"/>
  <c r="V578" i="8"/>
  <c r="V579" i="8"/>
  <c r="V580" i="8"/>
  <c r="V581" i="8"/>
  <c r="V582" i="8"/>
  <c r="V583" i="8"/>
  <c r="V584" i="8"/>
  <c r="V585" i="8"/>
  <c r="V586" i="8"/>
  <c r="V587" i="8"/>
  <c r="V588" i="8"/>
  <c r="V589" i="8"/>
  <c r="V590" i="8"/>
  <c r="V591" i="8"/>
  <c r="V592" i="8"/>
  <c r="V593" i="8"/>
  <c r="V594" i="8"/>
  <c r="V595" i="8"/>
  <c r="V596" i="8"/>
  <c r="V597" i="8"/>
  <c r="V598" i="8"/>
  <c r="V599" i="8"/>
  <c r="V600" i="8"/>
  <c r="V601" i="8"/>
  <c r="V602" i="8"/>
  <c r="V603" i="8"/>
  <c r="V604" i="8"/>
  <c r="V605" i="8"/>
  <c r="V606" i="8"/>
  <c r="V607" i="8"/>
  <c r="V608" i="8"/>
  <c r="V609" i="8"/>
  <c r="V610" i="8"/>
  <c r="V611" i="8"/>
  <c r="V612" i="8"/>
  <c r="V613" i="8"/>
  <c r="V614" i="8"/>
  <c r="V615" i="8"/>
  <c r="V616" i="8"/>
  <c r="V617" i="8"/>
  <c r="V618" i="8"/>
  <c r="V619" i="8"/>
  <c r="V620" i="8"/>
  <c r="V621" i="8"/>
  <c r="V622" i="8"/>
  <c r="V623" i="8"/>
  <c r="V624" i="8"/>
  <c r="V625" i="8"/>
  <c r="V626" i="8"/>
  <c r="V627" i="8"/>
  <c r="V628" i="8"/>
  <c r="V629" i="8"/>
  <c r="V630" i="8"/>
  <c r="V631" i="8"/>
  <c r="V632" i="8"/>
  <c r="V633" i="8"/>
  <c r="V634" i="8"/>
  <c r="V635" i="8"/>
  <c r="V636" i="8"/>
  <c r="V637" i="8"/>
  <c r="V638" i="8"/>
  <c r="V639" i="8"/>
  <c r="V640" i="8"/>
  <c r="V641" i="8"/>
  <c r="V642" i="8"/>
  <c r="V643" i="8"/>
  <c r="V644" i="8"/>
  <c r="V645" i="8"/>
  <c r="V646" i="8"/>
  <c r="V647" i="8"/>
  <c r="V648" i="8"/>
  <c r="V649" i="8"/>
  <c r="V650" i="8"/>
  <c r="V651" i="8"/>
  <c r="V652" i="8"/>
  <c r="V653" i="8"/>
  <c r="V654" i="8"/>
  <c r="V655" i="8"/>
  <c r="V656" i="8"/>
  <c r="V657" i="8"/>
  <c r="V658" i="8"/>
  <c r="V659" i="8"/>
  <c r="V660" i="8"/>
  <c r="V661" i="8"/>
  <c r="V662" i="8"/>
  <c r="V663" i="8"/>
  <c r="V664" i="8"/>
  <c r="V665" i="8"/>
  <c r="V666" i="8"/>
  <c r="V667" i="8"/>
  <c r="V668" i="8"/>
  <c r="V669" i="8"/>
  <c r="V670" i="8"/>
  <c r="V671" i="8"/>
  <c r="V672" i="8"/>
  <c r="V673" i="8"/>
  <c r="V674" i="8"/>
  <c r="V675" i="8"/>
  <c r="V676" i="8"/>
  <c r="V677" i="8"/>
  <c r="V678" i="8"/>
  <c r="V679" i="8"/>
  <c r="V680" i="8"/>
  <c r="V681" i="8"/>
  <c r="V682" i="8"/>
  <c r="V683" i="8"/>
  <c r="V684" i="8"/>
  <c r="V685" i="8"/>
  <c r="V686" i="8"/>
  <c r="V687" i="8"/>
  <c r="V688" i="8"/>
  <c r="V689" i="8"/>
  <c r="V690" i="8"/>
  <c r="V691" i="8"/>
  <c r="V692" i="8"/>
  <c r="V693" i="8"/>
  <c r="V694" i="8"/>
  <c r="V695" i="8"/>
  <c r="V696" i="8"/>
  <c r="V697" i="8"/>
  <c r="V698" i="8"/>
  <c r="V699" i="8"/>
  <c r="V700" i="8"/>
  <c r="V701" i="8"/>
  <c r="V702" i="8"/>
  <c r="V703" i="8"/>
  <c r="V704" i="8"/>
  <c r="V705" i="8"/>
  <c r="V706" i="8"/>
  <c r="V707" i="8"/>
  <c r="V708" i="8"/>
  <c r="V709" i="8"/>
  <c r="V710" i="8"/>
  <c r="V711" i="8"/>
  <c r="V712" i="8"/>
  <c r="V713" i="8"/>
  <c r="V714" i="8"/>
  <c r="V715" i="8"/>
  <c r="V716" i="8"/>
  <c r="V717" i="8"/>
  <c r="V718" i="8"/>
  <c r="V719" i="8"/>
  <c r="V720" i="8"/>
  <c r="V721" i="8"/>
  <c r="V722" i="8"/>
  <c r="V723" i="8"/>
  <c r="V724" i="8"/>
  <c r="V725" i="8"/>
  <c r="V726" i="8"/>
  <c r="V727" i="8"/>
  <c r="V728" i="8"/>
  <c r="V729" i="8"/>
  <c r="V730" i="8"/>
  <c r="V731" i="8"/>
  <c r="V732" i="8"/>
  <c r="V733" i="8"/>
  <c r="V734" i="8"/>
  <c r="V735" i="8"/>
  <c r="V736" i="8"/>
  <c r="V737" i="8"/>
  <c r="V738" i="8"/>
  <c r="V739" i="8"/>
  <c r="V740" i="8"/>
  <c r="V741" i="8"/>
  <c r="V742" i="8"/>
  <c r="V743" i="8"/>
  <c r="V744" i="8"/>
  <c r="V745" i="8"/>
  <c r="V746" i="8"/>
  <c r="V747" i="8"/>
  <c r="V748" i="8"/>
  <c r="V749" i="8"/>
  <c r="V750" i="8"/>
  <c r="V751" i="8"/>
  <c r="V752" i="8"/>
  <c r="V753" i="8"/>
  <c r="V754" i="8"/>
  <c r="V755" i="8"/>
  <c r="V756" i="8"/>
  <c r="V757" i="8"/>
  <c r="V758" i="8"/>
  <c r="V759" i="8"/>
  <c r="V760" i="8"/>
  <c r="V761" i="8"/>
  <c r="V762" i="8"/>
  <c r="V763" i="8"/>
  <c r="V764" i="8"/>
  <c r="V765" i="8"/>
  <c r="V766" i="8"/>
  <c r="V767" i="8"/>
  <c r="V768" i="8"/>
  <c r="V769" i="8"/>
  <c r="V770" i="8"/>
  <c r="V771" i="8"/>
  <c r="V772" i="8"/>
  <c r="V773" i="8"/>
  <c r="V774" i="8"/>
  <c r="V775" i="8"/>
  <c r="V776" i="8"/>
  <c r="V777" i="8"/>
  <c r="V778" i="8"/>
  <c r="V779" i="8"/>
  <c r="V780" i="8"/>
  <c r="V781" i="8"/>
  <c r="V782" i="8"/>
  <c r="V783" i="8"/>
  <c r="V784" i="8"/>
  <c r="V785" i="8"/>
  <c r="V786" i="8"/>
  <c r="V787" i="8"/>
  <c r="V788" i="8"/>
  <c r="V789" i="8"/>
  <c r="V790" i="8"/>
  <c r="V791" i="8"/>
  <c r="V792" i="8"/>
  <c r="V793" i="8"/>
  <c r="V794" i="8"/>
  <c r="V795" i="8"/>
  <c r="V796" i="8"/>
  <c r="V797" i="8"/>
  <c r="V798" i="8"/>
  <c r="V799" i="8"/>
  <c r="V800" i="8"/>
  <c r="V801" i="8"/>
  <c r="V802" i="8"/>
  <c r="V803" i="8"/>
  <c r="V804" i="8"/>
  <c r="V805" i="8"/>
  <c r="V806" i="8"/>
  <c r="V807" i="8"/>
  <c r="V808" i="8"/>
  <c r="V809" i="8"/>
  <c r="V810" i="8"/>
  <c r="V811" i="8"/>
  <c r="V812" i="8"/>
  <c r="V813" i="8"/>
  <c r="V814" i="8"/>
  <c r="V815" i="8"/>
  <c r="V816" i="8"/>
  <c r="V817" i="8"/>
  <c r="V818" i="8"/>
  <c r="V819" i="8"/>
  <c r="V820" i="8"/>
  <c r="V821" i="8"/>
  <c r="V822" i="8"/>
  <c r="V823" i="8"/>
  <c r="V824" i="8"/>
  <c r="V825" i="8"/>
  <c r="V826" i="8"/>
  <c r="V827" i="8"/>
  <c r="V828" i="8"/>
  <c r="V829" i="8"/>
  <c r="V830" i="8"/>
  <c r="V831" i="8"/>
  <c r="V832" i="8"/>
  <c r="V833" i="8"/>
  <c r="V834" i="8"/>
  <c r="V835" i="8"/>
  <c r="V836" i="8"/>
  <c r="V837" i="8"/>
  <c r="V838" i="8"/>
  <c r="V839" i="8"/>
  <c r="V840" i="8"/>
  <c r="V841" i="8"/>
  <c r="V842" i="8"/>
  <c r="V843" i="8"/>
  <c r="V844" i="8"/>
  <c r="V845" i="8"/>
  <c r="V846" i="8"/>
  <c r="V847" i="8"/>
  <c r="V848" i="8"/>
  <c r="V849" i="8"/>
  <c r="V850" i="8"/>
  <c r="V851" i="8"/>
  <c r="V852" i="8"/>
  <c r="V853" i="8"/>
  <c r="V854" i="8"/>
  <c r="V855" i="8"/>
  <c r="V856" i="8"/>
  <c r="V857" i="8"/>
  <c r="V858" i="8"/>
  <c r="V859" i="8"/>
  <c r="V860" i="8"/>
  <c r="V861" i="8"/>
  <c r="V862" i="8"/>
  <c r="V863" i="8"/>
  <c r="V864" i="8"/>
  <c r="V865" i="8"/>
  <c r="V866" i="8"/>
  <c r="V867" i="8"/>
  <c r="V868" i="8"/>
  <c r="V869" i="8"/>
  <c r="V870" i="8"/>
  <c r="V871" i="8"/>
  <c r="V872" i="8"/>
  <c r="V873" i="8"/>
  <c r="V874" i="8"/>
  <c r="V875" i="8"/>
  <c r="V876" i="8"/>
  <c r="V877" i="8"/>
  <c r="V878" i="8"/>
  <c r="V879" i="8"/>
  <c r="V880" i="8"/>
  <c r="V881" i="8"/>
  <c r="V882" i="8"/>
  <c r="V883" i="8"/>
  <c r="V884" i="8"/>
  <c r="V885" i="8"/>
  <c r="V886" i="8"/>
  <c r="V887" i="8"/>
  <c r="V888" i="8"/>
  <c r="V889" i="8"/>
  <c r="V890" i="8"/>
  <c r="V891" i="8"/>
  <c r="V892" i="8"/>
  <c r="V893" i="8"/>
  <c r="V894" i="8"/>
  <c r="V895" i="8"/>
  <c r="V896" i="8"/>
  <c r="V897" i="8"/>
  <c r="V898" i="8"/>
  <c r="V899" i="8"/>
  <c r="V900" i="8"/>
  <c r="V901" i="8"/>
  <c r="V902" i="8"/>
  <c r="V903" i="8"/>
  <c r="V904" i="8"/>
  <c r="V905" i="8"/>
  <c r="V906" i="8"/>
  <c r="V907" i="8"/>
  <c r="V908" i="8"/>
  <c r="V909" i="8"/>
  <c r="V910" i="8"/>
  <c r="V911" i="8"/>
  <c r="V912" i="8"/>
  <c r="V913" i="8"/>
  <c r="V914" i="8"/>
  <c r="V915" i="8"/>
  <c r="V916" i="8"/>
  <c r="V917" i="8"/>
  <c r="V918" i="8"/>
  <c r="V919" i="8"/>
  <c r="V920" i="8"/>
  <c r="V921" i="8"/>
  <c r="V922" i="8"/>
  <c r="V923" i="8"/>
  <c r="V924" i="8"/>
  <c r="V925" i="8"/>
  <c r="V926" i="8"/>
  <c r="V927" i="8"/>
  <c r="V928" i="8"/>
  <c r="V929" i="8"/>
  <c r="V930" i="8"/>
  <c r="V931" i="8"/>
  <c r="V932" i="8"/>
  <c r="V933" i="8"/>
  <c r="V934" i="8"/>
  <c r="V935" i="8"/>
  <c r="V936" i="8"/>
  <c r="V937" i="8"/>
  <c r="V938" i="8"/>
  <c r="V939" i="8"/>
  <c r="V940" i="8"/>
  <c r="V941" i="8"/>
  <c r="V942" i="8"/>
  <c r="V943" i="8"/>
  <c r="V944" i="8"/>
  <c r="V945" i="8"/>
  <c r="V946" i="8"/>
  <c r="V947" i="8"/>
  <c r="V948" i="8"/>
  <c r="V949" i="8"/>
  <c r="V950" i="8"/>
  <c r="V951" i="8"/>
  <c r="V952" i="8"/>
  <c r="V953" i="8"/>
  <c r="V954" i="8"/>
  <c r="V955" i="8"/>
  <c r="V956" i="8"/>
  <c r="V957" i="8"/>
  <c r="V958" i="8"/>
  <c r="V959" i="8"/>
  <c r="V960" i="8"/>
  <c r="V961" i="8"/>
  <c r="V962" i="8"/>
  <c r="V963" i="8"/>
  <c r="V964" i="8"/>
  <c r="V965" i="8"/>
  <c r="V966" i="8"/>
  <c r="V967" i="8"/>
  <c r="V968" i="8"/>
  <c r="V969" i="8"/>
  <c r="V970" i="8"/>
  <c r="V971" i="8"/>
  <c r="V972" i="8"/>
  <c r="V973" i="8"/>
  <c r="V974" i="8"/>
  <c r="V975" i="8"/>
  <c r="V976" i="8"/>
  <c r="V977" i="8"/>
  <c r="V978" i="8"/>
  <c r="V979" i="8"/>
  <c r="V980" i="8"/>
  <c r="V981" i="8"/>
  <c r="V982" i="8"/>
  <c r="V983" i="8"/>
  <c r="V984" i="8"/>
  <c r="V985" i="8"/>
  <c r="V986" i="8"/>
  <c r="V987" i="8"/>
  <c r="V988" i="8"/>
  <c r="V989" i="8"/>
  <c r="V990" i="8"/>
  <c r="V991" i="8"/>
  <c r="V992" i="8"/>
  <c r="V993" i="8"/>
  <c r="V994" i="8"/>
  <c r="V995" i="8"/>
  <c r="V996" i="8"/>
  <c r="V997" i="8"/>
  <c r="V998" i="8"/>
  <c r="V999" i="8"/>
  <c r="V1000" i="8"/>
  <c r="V1001" i="8"/>
  <c r="V1002" i="8"/>
  <c r="V1003" i="8"/>
  <c r="V1004" i="8"/>
  <c r="V1005" i="8"/>
  <c r="V1006" i="8"/>
  <c r="V1007" i="8"/>
  <c r="V1008" i="8"/>
  <c r="V1009" i="8"/>
  <c r="V1010" i="8"/>
  <c r="V1011" i="8"/>
  <c r="V1012" i="8"/>
  <c r="V1013" i="8"/>
  <c r="V1014" i="8"/>
  <c r="V1015" i="8"/>
  <c r="V1016" i="8"/>
  <c r="V1017" i="8"/>
  <c r="V1018" i="8"/>
  <c r="V1019" i="8"/>
  <c r="V1020" i="8"/>
  <c r="V1021" i="8"/>
  <c r="V1022" i="8"/>
  <c r="V1023" i="8"/>
  <c r="V1024" i="8"/>
  <c r="V1025" i="8"/>
  <c r="V1026" i="8"/>
  <c r="V1027" i="8"/>
  <c r="V1028" i="8"/>
  <c r="V1029" i="8"/>
  <c r="V1030" i="8"/>
  <c r="V1031" i="8"/>
  <c r="V1032" i="8"/>
  <c r="V1033" i="8"/>
  <c r="V1034" i="8"/>
  <c r="V1035" i="8"/>
  <c r="V1036" i="8"/>
  <c r="V1037" i="8"/>
  <c r="V1038" i="8"/>
  <c r="V1039" i="8"/>
  <c r="V1040" i="8"/>
  <c r="V1041" i="8"/>
  <c r="V1042" i="8"/>
  <c r="V1043" i="8"/>
  <c r="V1044" i="8"/>
  <c r="V1045" i="8"/>
  <c r="V1046" i="8"/>
  <c r="V1047" i="8"/>
  <c r="V1048" i="8"/>
  <c r="V1049" i="8"/>
  <c r="V1050" i="8"/>
  <c r="V1051" i="8"/>
  <c r="V1052" i="8"/>
  <c r="V1053" i="8"/>
  <c r="V1054" i="8"/>
  <c r="V1055" i="8"/>
  <c r="V1056" i="8"/>
  <c r="V1057" i="8"/>
  <c r="V1058" i="8"/>
  <c r="V1059" i="8"/>
  <c r="V1060" i="8"/>
  <c r="V1061" i="8"/>
  <c r="V1062" i="8"/>
  <c r="V1063" i="8"/>
  <c r="V1064" i="8"/>
  <c r="V1065" i="8"/>
  <c r="V1066" i="8"/>
  <c r="V1067" i="8"/>
  <c r="V1068" i="8"/>
  <c r="V1069" i="8"/>
  <c r="V1070" i="8"/>
  <c r="V1071" i="8"/>
  <c r="V1072" i="8"/>
  <c r="V1073" i="8"/>
  <c r="V1074" i="8"/>
  <c r="V1075" i="8"/>
  <c r="V1076" i="8"/>
  <c r="V1077" i="8"/>
  <c r="V1078" i="8"/>
  <c r="V1079" i="8"/>
  <c r="V1080" i="8"/>
  <c r="V1081" i="8"/>
  <c r="V1082" i="8"/>
  <c r="V1083" i="8"/>
  <c r="V1084" i="8"/>
  <c r="V1085" i="8"/>
  <c r="V1086" i="8"/>
  <c r="V1087" i="8"/>
  <c r="V1088" i="8"/>
  <c r="V1089" i="8"/>
  <c r="V1090" i="8"/>
  <c r="V1091" i="8"/>
  <c r="V1092" i="8"/>
  <c r="V1093" i="8"/>
  <c r="V1094" i="8"/>
  <c r="V1095" i="8"/>
  <c r="V1096" i="8"/>
  <c r="V1097" i="8"/>
  <c r="V1098" i="8"/>
  <c r="V1099" i="8"/>
  <c r="V1100" i="8"/>
  <c r="V1101" i="8"/>
  <c r="V1102" i="8"/>
  <c r="V1103" i="8"/>
  <c r="V1104" i="8"/>
  <c r="V1105" i="8"/>
  <c r="V1106" i="8"/>
  <c r="V1107" i="8"/>
  <c r="V1108" i="8"/>
  <c r="V1109" i="8"/>
  <c r="V1110" i="8"/>
  <c r="V1111" i="8"/>
  <c r="V1112" i="8"/>
  <c r="V1113" i="8"/>
  <c r="V1114" i="8"/>
  <c r="V1115" i="8"/>
  <c r="V1116" i="8"/>
  <c r="V1117" i="8"/>
  <c r="V1118" i="8"/>
  <c r="V1119" i="8"/>
  <c r="V1120" i="8"/>
  <c r="V1121" i="8"/>
  <c r="V1122" i="8"/>
  <c r="V1123" i="8"/>
  <c r="V1124" i="8"/>
  <c r="V1125" i="8"/>
  <c r="V1126" i="8"/>
  <c r="V1127" i="8"/>
  <c r="V1128" i="8"/>
  <c r="V1129" i="8"/>
  <c r="V1130" i="8"/>
  <c r="V1131" i="8"/>
  <c r="V1132" i="8"/>
  <c r="V1133" i="8"/>
  <c r="V1134" i="8"/>
  <c r="V1135" i="8"/>
  <c r="V1136" i="8"/>
  <c r="V1137" i="8"/>
  <c r="V1138" i="8"/>
  <c r="V1139" i="8"/>
  <c r="V1140" i="8"/>
  <c r="V1141" i="8"/>
  <c r="V1142" i="8"/>
  <c r="V1143" i="8"/>
  <c r="V1144" i="8"/>
  <c r="V1145" i="8"/>
  <c r="V1146" i="8"/>
  <c r="V1147" i="8"/>
  <c r="V1148" i="8"/>
  <c r="V1149" i="8"/>
  <c r="V1150" i="8"/>
  <c r="V1151" i="8"/>
  <c r="V1152" i="8"/>
  <c r="V1153" i="8"/>
  <c r="V1154" i="8"/>
  <c r="V1155" i="8"/>
  <c r="V1156" i="8"/>
  <c r="V1157" i="8"/>
  <c r="V1158" i="8"/>
  <c r="V1159" i="8"/>
  <c r="V1160" i="8"/>
  <c r="V1161" i="8"/>
  <c r="V1162" i="8"/>
  <c r="V1163" i="8"/>
  <c r="V1164" i="8"/>
  <c r="V1165" i="8"/>
  <c r="V1166" i="8"/>
  <c r="V1167" i="8"/>
  <c r="V1168" i="8"/>
  <c r="V1169" i="8"/>
  <c r="V1170" i="8"/>
  <c r="V1171" i="8"/>
  <c r="V1172" i="8"/>
  <c r="V1173" i="8"/>
  <c r="V1174" i="8"/>
  <c r="V1175" i="8"/>
  <c r="V1176" i="8"/>
  <c r="V1177" i="8"/>
  <c r="V1178" i="8"/>
  <c r="V1179" i="8"/>
  <c r="V1180" i="8"/>
  <c r="V1181" i="8"/>
  <c r="V1182" i="8"/>
  <c r="V1183" i="8"/>
  <c r="V1184" i="8"/>
  <c r="V1185" i="8"/>
  <c r="V1186" i="8"/>
  <c r="V1187" i="8"/>
  <c r="V1188" i="8"/>
  <c r="V1189" i="8"/>
  <c r="V1190" i="8"/>
  <c r="V1191" i="8"/>
  <c r="V1192" i="8"/>
  <c r="V1193" i="8"/>
  <c r="V1194" i="8"/>
  <c r="V1195" i="8"/>
  <c r="V1196" i="8"/>
  <c r="V1197" i="8"/>
  <c r="V1198" i="8"/>
  <c r="V1199" i="8"/>
  <c r="V1200" i="8"/>
  <c r="V1201" i="8"/>
  <c r="V1202" i="8"/>
  <c r="V1203" i="8"/>
  <c r="V1204" i="8"/>
  <c r="V1205" i="8"/>
  <c r="V1206" i="8"/>
  <c r="V1207" i="8"/>
  <c r="V1208" i="8"/>
  <c r="V1209" i="8"/>
  <c r="V1210" i="8"/>
  <c r="V1211" i="8"/>
  <c r="V1212" i="8"/>
  <c r="V1213" i="8"/>
  <c r="V1214" i="8"/>
  <c r="V1215" i="8"/>
  <c r="V1216" i="8"/>
  <c r="V1217" i="8"/>
  <c r="V1218" i="8"/>
  <c r="V1219" i="8"/>
  <c r="V1220" i="8"/>
  <c r="V1221" i="8"/>
  <c r="V1222" i="8"/>
  <c r="V1223" i="8"/>
  <c r="V1224" i="8"/>
  <c r="V1225" i="8"/>
  <c r="V1226" i="8"/>
  <c r="V1227" i="8"/>
  <c r="V1228" i="8"/>
  <c r="V1229" i="8"/>
  <c r="V1230" i="8"/>
  <c r="V1231" i="8"/>
  <c r="V1232" i="8"/>
  <c r="V1233" i="8"/>
  <c r="V1234" i="8"/>
  <c r="V1235" i="8"/>
  <c r="V1236" i="8"/>
  <c r="V1237" i="8"/>
  <c r="V1238" i="8"/>
  <c r="V1239" i="8"/>
  <c r="V1240" i="8"/>
  <c r="V1241" i="8"/>
  <c r="V1242" i="8"/>
  <c r="V1243" i="8"/>
  <c r="V1244" i="8"/>
  <c r="V1245" i="8"/>
  <c r="V1246" i="8"/>
  <c r="V1247" i="8"/>
  <c r="V1248" i="8"/>
  <c r="V1249" i="8"/>
  <c r="V1250" i="8"/>
  <c r="V1251" i="8"/>
  <c r="V1252" i="8"/>
  <c r="V1253" i="8"/>
  <c r="V1254" i="8"/>
  <c r="V1255" i="8"/>
  <c r="V1256" i="8"/>
  <c r="V1257" i="8"/>
  <c r="V1258" i="8"/>
  <c r="V1259" i="8"/>
  <c r="V1260" i="8"/>
  <c r="V1261" i="8"/>
  <c r="V1262" i="8"/>
  <c r="V1263" i="8"/>
  <c r="V1264" i="8"/>
  <c r="V1265" i="8"/>
  <c r="V1266" i="8"/>
  <c r="V1267" i="8"/>
  <c r="V1268" i="8"/>
  <c r="V1269" i="8"/>
  <c r="V1270" i="8"/>
  <c r="V1271" i="8"/>
  <c r="V1272" i="8"/>
  <c r="V1273" i="8"/>
  <c r="V1274" i="8"/>
  <c r="V1275" i="8"/>
  <c r="V1276" i="8"/>
  <c r="V1277" i="8"/>
  <c r="V1278" i="8"/>
  <c r="V1279" i="8"/>
  <c r="V1280" i="8"/>
  <c r="V1281" i="8"/>
  <c r="V1282" i="8"/>
  <c r="V1283" i="8"/>
  <c r="V1284" i="8"/>
  <c r="V1285" i="8"/>
  <c r="V1286" i="8"/>
  <c r="V1287" i="8"/>
  <c r="V1288" i="8"/>
  <c r="V1289" i="8"/>
  <c r="V1290" i="8"/>
  <c r="V1291" i="8"/>
  <c r="V1292" i="8"/>
  <c r="V1293" i="8"/>
  <c r="V1294" i="8"/>
  <c r="V1295" i="8"/>
  <c r="V1296" i="8"/>
  <c r="V1297" i="8"/>
  <c r="V1298" i="8"/>
  <c r="V1299" i="8"/>
  <c r="V1300" i="8"/>
  <c r="V1301" i="8"/>
  <c r="V1302" i="8"/>
  <c r="V1303" i="8"/>
  <c r="V1304" i="8"/>
  <c r="V1305" i="8"/>
  <c r="V1306" i="8"/>
  <c r="V1307" i="8"/>
  <c r="V1308" i="8"/>
  <c r="V1309" i="8"/>
  <c r="V1310" i="8"/>
  <c r="V1311" i="8"/>
  <c r="V1312" i="8"/>
  <c r="V1313" i="8"/>
  <c r="V1314" i="8"/>
  <c r="V1315" i="8"/>
  <c r="V1316" i="8"/>
  <c r="V1317" i="8"/>
  <c r="V1318" i="8"/>
  <c r="V1319" i="8"/>
  <c r="V1320" i="8"/>
  <c r="V1321" i="8"/>
  <c r="V1322" i="8"/>
  <c r="V1323" i="8"/>
  <c r="V1324" i="8"/>
  <c r="V1325" i="8"/>
  <c r="V1326" i="8"/>
  <c r="V1327" i="8"/>
  <c r="V1328" i="8"/>
  <c r="V1329" i="8"/>
  <c r="V1330" i="8"/>
  <c r="V1331" i="8"/>
  <c r="V1332" i="8"/>
  <c r="V1333" i="8"/>
  <c r="V1334" i="8"/>
  <c r="V1335" i="8"/>
  <c r="V1336" i="8"/>
  <c r="V1337" i="8"/>
  <c r="V1338" i="8"/>
  <c r="V1339" i="8"/>
  <c r="V1340" i="8"/>
  <c r="V1341" i="8"/>
  <c r="V1342" i="8"/>
  <c r="V1343" i="8"/>
  <c r="V1344" i="8"/>
  <c r="V1345" i="8"/>
  <c r="V1346" i="8"/>
  <c r="V1347" i="8"/>
  <c r="V1348" i="8"/>
  <c r="V1349" i="8"/>
  <c r="V1350" i="8"/>
  <c r="V1351" i="8"/>
  <c r="V1352" i="8"/>
  <c r="V1353" i="8"/>
  <c r="V1354" i="8"/>
  <c r="V1355" i="8"/>
  <c r="V1356" i="8"/>
  <c r="V1357" i="8"/>
  <c r="V1358" i="8"/>
  <c r="V1359" i="8"/>
  <c r="V1360" i="8"/>
  <c r="V1361" i="8"/>
  <c r="V1362" i="8"/>
  <c r="V1363" i="8"/>
  <c r="V1364" i="8"/>
  <c r="V1365" i="8"/>
  <c r="V1366" i="8"/>
  <c r="V1367" i="8"/>
  <c r="V1368" i="8"/>
  <c r="V1369" i="8"/>
  <c r="V1370" i="8"/>
  <c r="V1371" i="8"/>
  <c r="V1372" i="8"/>
  <c r="V1373" i="8"/>
  <c r="W2" i="7"/>
  <c r="W3" i="7"/>
  <c r="W4" i="7"/>
  <c r="W5" i="7"/>
  <c r="W6" i="7"/>
  <c r="W7" i="7"/>
  <c r="W8" i="7"/>
  <c r="W9" i="7"/>
  <c r="W10" i="7"/>
  <c r="W11" i="7"/>
  <c r="W12" i="7"/>
  <c r="W13" i="7"/>
  <c r="W14" i="7"/>
  <c r="W15" i="7"/>
  <c r="W16" i="7"/>
  <c r="W17" i="7"/>
  <c r="W18" i="7"/>
  <c r="W19" i="7"/>
  <c r="W20" i="7"/>
  <c r="W21" i="7"/>
  <c r="W22" i="7"/>
  <c r="W23" i="7"/>
  <c r="W24" i="7"/>
  <c r="W25" i="7"/>
  <c r="W26" i="7"/>
  <c r="W27" i="7"/>
  <c r="W28" i="7"/>
  <c r="W29" i="7"/>
  <c r="W30" i="7"/>
  <c r="W31" i="7"/>
  <c r="W32" i="7"/>
  <c r="W33" i="7"/>
  <c r="W34" i="7"/>
  <c r="W35" i="7"/>
  <c r="W36" i="7"/>
  <c r="W37" i="7"/>
  <c r="W38" i="7"/>
  <c r="W39" i="7"/>
  <c r="W40" i="7"/>
  <c r="W41" i="7"/>
  <c r="W42" i="7"/>
  <c r="W43" i="7"/>
  <c r="W44" i="7"/>
  <c r="W45" i="7"/>
  <c r="W46" i="7"/>
  <c r="W47" i="7"/>
  <c r="W48" i="7"/>
  <c r="W49" i="7"/>
  <c r="W50" i="7"/>
  <c r="W51" i="7"/>
  <c r="W52" i="7"/>
  <c r="W53" i="7"/>
  <c r="W54" i="7"/>
  <c r="W55" i="7"/>
  <c r="W56" i="7"/>
  <c r="W57" i="7"/>
  <c r="W58" i="7"/>
  <c r="W59" i="7"/>
  <c r="W60" i="7"/>
  <c r="W61" i="7"/>
  <c r="W62" i="7"/>
  <c r="W63" i="7"/>
  <c r="W64" i="7"/>
  <c r="W65" i="7"/>
  <c r="W66" i="7"/>
  <c r="W67" i="7"/>
  <c r="W68" i="7"/>
  <c r="W69" i="7"/>
  <c r="W70" i="7"/>
  <c r="W71" i="7"/>
  <c r="W72" i="7"/>
  <c r="W73" i="7"/>
  <c r="W74" i="7"/>
  <c r="W75" i="7"/>
  <c r="W76" i="7"/>
  <c r="W77" i="7"/>
  <c r="W78" i="7"/>
  <c r="W79" i="7"/>
  <c r="W80" i="7"/>
  <c r="W81" i="7"/>
  <c r="W82" i="7"/>
  <c r="W83" i="7"/>
  <c r="W84" i="7"/>
  <c r="W85" i="7"/>
  <c r="W86" i="7"/>
  <c r="W87" i="7"/>
  <c r="W88" i="7"/>
  <c r="W89" i="7"/>
  <c r="W90" i="7"/>
  <c r="W91" i="7"/>
  <c r="W92" i="7"/>
  <c r="W93" i="7"/>
  <c r="W94" i="7"/>
  <c r="W95" i="7"/>
  <c r="W96" i="7"/>
  <c r="W97" i="7"/>
  <c r="W98" i="7"/>
  <c r="W99" i="7"/>
  <c r="W100" i="7"/>
  <c r="W101" i="7"/>
  <c r="W102" i="7"/>
  <c r="W103" i="7"/>
  <c r="W104" i="7"/>
  <c r="W105" i="7"/>
  <c r="W106" i="7"/>
  <c r="W107" i="7"/>
  <c r="W108" i="7"/>
  <c r="AM2" i="6"/>
  <c r="AM3" i="6"/>
  <c r="AM4" i="6"/>
  <c r="AM5" i="6"/>
  <c r="AM6" i="6"/>
  <c r="AM7" i="6"/>
  <c r="AM8" i="6"/>
  <c r="AM9" i="6"/>
  <c r="AM10" i="6"/>
  <c r="AM11" i="6"/>
  <c r="AM12" i="6"/>
  <c r="AM13" i="6"/>
  <c r="AM14" i="6"/>
  <c r="AM15" i="6"/>
  <c r="AM16" i="6"/>
  <c r="AM17" i="6"/>
  <c r="AM18" i="6"/>
  <c r="AM19" i="6"/>
  <c r="AM20" i="6"/>
  <c r="AM21" i="6"/>
  <c r="AM22" i="6"/>
  <c r="AM23" i="6"/>
  <c r="AM24" i="6"/>
  <c r="AM25" i="6"/>
  <c r="AM26" i="6"/>
  <c r="AM27" i="6"/>
  <c r="AM28" i="6"/>
  <c r="AM29" i="6"/>
  <c r="AM30" i="6"/>
  <c r="AM31" i="6"/>
  <c r="AM32" i="6"/>
  <c r="AM33" i="6"/>
  <c r="AM34" i="6"/>
  <c r="AM35" i="6"/>
  <c r="AM36" i="6"/>
  <c r="AM37" i="6"/>
  <c r="AM38" i="6"/>
  <c r="AM39" i="6"/>
  <c r="AM40" i="6"/>
  <c r="AM41" i="6"/>
  <c r="AM42" i="6"/>
  <c r="AM43" i="6"/>
  <c r="AM44" i="6"/>
  <c r="AM45" i="6"/>
  <c r="AM46" i="6"/>
  <c r="AM47" i="6"/>
  <c r="AM48" i="6"/>
  <c r="AM49" i="6"/>
  <c r="AM50" i="6"/>
  <c r="AM51" i="6"/>
  <c r="AM52" i="6"/>
  <c r="AM53" i="6"/>
  <c r="AM54" i="6"/>
  <c r="AM55" i="6"/>
  <c r="AM56" i="6"/>
  <c r="AM57" i="6"/>
  <c r="AM58" i="6"/>
  <c r="AM59" i="6"/>
  <c r="AM60" i="6"/>
  <c r="AM61" i="6"/>
  <c r="AM62" i="6"/>
  <c r="AM63" i="6"/>
  <c r="AM64" i="6"/>
  <c r="AM65" i="6"/>
  <c r="AM66" i="6"/>
  <c r="AM67" i="6"/>
  <c r="AM68" i="6"/>
  <c r="AM69" i="6"/>
  <c r="AM70" i="6"/>
  <c r="AM71" i="6"/>
  <c r="AM72" i="6"/>
  <c r="AM73" i="6"/>
  <c r="AM74" i="6"/>
  <c r="AM75" i="6"/>
  <c r="AM76" i="6"/>
  <c r="AM77" i="6"/>
  <c r="AM78" i="6"/>
  <c r="AM79" i="6"/>
  <c r="AM80" i="6"/>
  <c r="AM81" i="6"/>
  <c r="AM82" i="6"/>
  <c r="AM83" i="6"/>
  <c r="AM84" i="6"/>
  <c r="AM85" i="6"/>
  <c r="AM86" i="6"/>
  <c r="AM87" i="6"/>
  <c r="AM88" i="6"/>
  <c r="AM89" i="6"/>
  <c r="AM90" i="6"/>
  <c r="AM91" i="6"/>
  <c r="AM92" i="6"/>
  <c r="AM93" i="6"/>
  <c r="AM94" i="6"/>
  <c r="AM95" i="6"/>
  <c r="AM96" i="6"/>
  <c r="AM97" i="6"/>
  <c r="AM98" i="6"/>
  <c r="AM99" i="6"/>
  <c r="AM100" i="6"/>
  <c r="AM101" i="6"/>
  <c r="AM102" i="6"/>
  <c r="AM103" i="6"/>
  <c r="AM104" i="6"/>
  <c r="AM105" i="6"/>
  <c r="AM106" i="6"/>
  <c r="AM107" i="6"/>
  <c r="AM108" i="6"/>
  <c r="AM109" i="6"/>
  <c r="AM110" i="6"/>
  <c r="AM111" i="6"/>
  <c r="AM112" i="6"/>
  <c r="AM113" i="6"/>
  <c r="AM114" i="6"/>
  <c r="AM115" i="6"/>
  <c r="AM116" i="6"/>
  <c r="AM117" i="6"/>
  <c r="AM118" i="6"/>
  <c r="AM119" i="6"/>
  <c r="AM120" i="6"/>
  <c r="AM121" i="6"/>
  <c r="AM122" i="6"/>
  <c r="AM123" i="6"/>
  <c r="AM124" i="6"/>
  <c r="AM125" i="6"/>
  <c r="AM126" i="6"/>
  <c r="AM127" i="6"/>
  <c r="AM128" i="6"/>
  <c r="AM129" i="6"/>
  <c r="AM130" i="6"/>
  <c r="AM131" i="6"/>
  <c r="AM132" i="6"/>
  <c r="AM133" i="6"/>
  <c r="AM134" i="6"/>
  <c r="AM135" i="6"/>
  <c r="AM136" i="6"/>
  <c r="AM137" i="6"/>
  <c r="AM138" i="6"/>
  <c r="AM139" i="6"/>
  <c r="AM140" i="6"/>
  <c r="AM141" i="6"/>
  <c r="AM142" i="6"/>
  <c r="AM143" i="6"/>
  <c r="AM144" i="6"/>
  <c r="AM145" i="6"/>
  <c r="AM146" i="6"/>
  <c r="AM147" i="6"/>
  <c r="AM148" i="6"/>
  <c r="AM149" i="6"/>
  <c r="AM150" i="6"/>
  <c r="AM151" i="6"/>
  <c r="AM152" i="6"/>
  <c r="AM153" i="6"/>
  <c r="AM154" i="6"/>
  <c r="AM155" i="6"/>
  <c r="AM156" i="6"/>
  <c r="AM157" i="6"/>
  <c r="AM158" i="6"/>
  <c r="AM159" i="6"/>
  <c r="AM160" i="6"/>
  <c r="AM161" i="6"/>
  <c r="AM162" i="6"/>
  <c r="AM163" i="6"/>
  <c r="AM164" i="6"/>
  <c r="AM165" i="6"/>
  <c r="AM166" i="6"/>
  <c r="AM167" i="6"/>
  <c r="AM168" i="6"/>
  <c r="AM169" i="6"/>
  <c r="AM170" i="6"/>
  <c r="AM171" i="6"/>
  <c r="AM172" i="6"/>
  <c r="AM173" i="6"/>
  <c r="AM174" i="6"/>
  <c r="AM175" i="6"/>
  <c r="AM176" i="6"/>
  <c r="AM177" i="6"/>
  <c r="AM178" i="6"/>
  <c r="AM179" i="6"/>
  <c r="AM180" i="6"/>
  <c r="AM181" i="6"/>
  <c r="AM182" i="6"/>
  <c r="AM183" i="6"/>
  <c r="AM184" i="6"/>
  <c r="AM185" i="6"/>
  <c r="AM186" i="6"/>
  <c r="AM187" i="6"/>
  <c r="AM188" i="6"/>
  <c r="AM189" i="6"/>
  <c r="AM190" i="6"/>
  <c r="AM191" i="6"/>
  <c r="AM192" i="6"/>
  <c r="AM193" i="6"/>
  <c r="AM194" i="6"/>
  <c r="AM195" i="6"/>
  <c r="AM196" i="6"/>
  <c r="AM197" i="6"/>
  <c r="AM198" i="6"/>
  <c r="AM199" i="6"/>
  <c r="AM200" i="6"/>
  <c r="AM201" i="6"/>
  <c r="AM202" i="6"/>
  <c r="AM203" i="6"/>
  <c r="AM204" i="6"/>
  <c r="AM205" i="6"/>
  <c r="AM206" i="6"/>
  <c r="AM207" i="6"/>
  <c r="AM208" i="6"/>
  <c r="AM209" i="6"/>
  <c r="AM210" i="6"/>
  <c r="AM211" i="6"/>
  <c r="AM212" i="6"/>
  <c r="AM213" i="6"/>
  <c r="AM214" i="6"/>
  <c r="AM215" i="6"/>
  <c r="AM216" i="6"/>
  <c r="AM217" i="6"/>
  <c r="AM218" i="6"/>
  <c r="AM219" i="6"/>
  <c r="AM220" i="6"/>
  <c r="AM221" i="6"/>
  <c r="AM222" i="6"/>
  <c r="AM223" i="6"/>
  <c r="AM224" i="6"/>
  <c r="AM225" i="6"/>
  <c r="AM226" i="6"/>
  <c r="AM227" i="6"/>
  <c r="AM228" i="6"/>
  <c r="AM229" i="6"/>
  <c r="AM230" i="6"/>
  <c r="AM231" i="6"/>
  <c r="AM232" i="6"/>
  <c r="AM233" i="6"/>
  <c r="AM234" i="6"/>
  <c r="AM235" i="6"/>
  <c r="AM236" i="6"/>
  <c r="AM237" i="6"/>
  <c r="AM238" i="6"/>
  <c r="AM239" i="6"/>
  <c r="AM240" i="6"/>
  <c r="AM241" i="6"/>
  <c r="AM242" i="6"/>
  <c r="AM243" i="6"/>
  <c r="AM244" i="6"/>
  <c r="AM245" i="6"/>
  <c r="AM246" i="6"/>
  <c r="AM247" i="6"/>
  <c r="AM248" i="6"/>
  <c r="AM249" i="6"/>
  <c r="AM250" i="6"/>
  <c r="AM251" i="6"/>
  <c r="AM252" i="6"/>
  <c r="AM253" i="6"/>
  <c r="AM254" i="6"/>
  <c r="AM255" i="6"/>
  <c r="AM256" i="6"/>
  <c r="AM257" i="6"/>
  <c r="AM258" i="6"/>
  <c r="AM259" i="6"/>
  <c r="AM260" i="6"/>
  <c r="AM261" i="6"/>
  <c r="AM262" i="6"/>
  <c r="AM263" i="6"/>
  <c r="AM264" i="6"/>
  <c r="AM265" i="6"/>
  <c r="AM266" i="6"/>
  <c r="AM267" i="6"/>
  <c r="AM268" i="6"/>
  <c r="AM269" i="6"/>
  <c r="AM270" i="6"/>
  <c r="AM271" i="6"/>
  <c r="AM272" i="6"/>
  <c r="AM273" i="6"/>
  <c r="AM274" i="6"/>
  <c r="AM275" i="6"/>
  <c r="AM276" i="6"/>
  <c r="AM277" i="6"/>
  <c r="AM278" i="6"/>
  <c r="AM279" i="6"/>
  <c r="AM280" i="6"/>
  <c r="AM281" i="6"/>
  <c r="AM282" i="6"/>
  <c r="AM283" i="6"/>
  <c r="AM284" i="6"/>
  <c r="AM285" i="6"/>
  <c r="AM286" i="6"/>
  <c r="AM287" i="6"/>
  <c r="AM288" i="6"/>
  <c r="AM289" i="6"/>
  <c r="AM290" i="6"/>
  <c r="AM291" i="6"/>
  <c r="AM292" i="6"/>
  <c r="AM293" i="6"/>
  <c r="AM294" i="6"/>
  <c r="AM295" i="6"/>
  <c r="AM296" i="6"/>
  <c r="AM297" i="6"/>
  <c r="AM298" i="6"/>
  <c r="AM299" i="6"/>
  <c r="AM300" i="6"/>
  <c r="AM301" i="6"/>
  <c r="AM302" i="6"/>
  <c r="AM303" i="6"/>
  <c r="AM304" i="6"/>
  <c r="AM305" i="6"/>
  <c r="AM306" i="6"/>
  <c r="AM307" i="6"/>
  <c r="AM308" i="6"/>
  <c r="AM309" i="6"/>
  <c r="AM310" i="6"/>
  <c r="AM311" i="6"/>
  <c r="AM312" i="6"/>
  <c r="AM313" i="6"/>
  <c r="AM314" i="6"/>
  <c r="AM315" i="6"/>
  <c r="AM316" i="6"/>
  <c r="AM317" i="6"/>
  <c r="AM318" i="6"/>
  <c r="AM319" i="6"/>
  <c r="AM320" i="6"/>
  <c r="AM321" i="6"/>
  <c r="AM322" i="6"/>
  <c r="AM323" i="6"/>
  <c r="AM324" i="6"/>
  <c r="AM325" i="6"/>
  <c r="AM326" i="6"/>
  <c r="AM327" i="6"/>
  <c r="AM328" i="6"/>
  <c r="AM329" i="6"/>
  <c r="AM330" i="6"/>
  <c r="AM331" i="6"/>
  <c r="AM332" i="6"/>
  <c r="AM333" i="6"/>
  <c r="AM334" i="6"/>
  <c r="AM335" i="6"/>
  <c r="AM336" i="6"/>
  <c r="AM337" i="6"/>
  <c r="AM338" i="6"/>
  <c r="AM339" i="6"/>
  <c r="AM340" i="6"/>
  <c r="AM341" i="6"/>
  <c r="AM342" i="6"/>
  <c r="AM343" i="6"/>
  <c r="AM344" i="6"/>
  <c r="AM345" i="6"/>
  <c r="AM346" i="6"/>
  <c r="AM347" i="6"/>
  <c r="AM348" i="6"/>
  <c r="AM349" i="6"/>
  <c r="AM350" i="6"/>
  <c r="AM351" i="6"/>
  <c r="AM352" i="6"/>
  <c r="AM353" i="6"/>
  <c r="AM354" i="6"/>
  <c r="AM355" i="6"/>
  <c r="AM356" i="6"/>
  <c r="AM357" i="6"/>
  <c r="AM358" i="6"/>
  <c r="AM359" i="6"/>
  <c r="AM360" i="6"/>
  <c r="AM361" i="6"/>
  <c r="AM362" i="6"/>
  <c r="AM363" i="6"/>
  <c r="AM364" i="6"/>
  <c r="AM365" i="6"/>
  <c r="AM366" i="6"/>
  <c r="AM367" i="6"/>
  <c r="AM368" i="6"/>
  <c r="AM369" i="6"/>
  <c r="AM370" i="6"/>
  <c r="AM371" i="6"/>
  <c r="AM372" i="6"/>
  <c r="AM373" i="6"/>
  <c r="AM374" i="6"/>
  <c r="AM375" i="6"/>
  <c r="AM376" i="6"/>
  <c r="AM377" i="6"/>
  <c r="AM378" i="6"/>
  <c r="AM379" i="6"/>
  <c r="AM380" i="6"/>
  <c r="AM381" i="6"/>
  <c r="AM382" i="6"/>
  <c r="AM383" i="6"/>
  <c r="AM384" i="6"/>
  <c r="AM385" i="6"/>
  <c r="AM386" i="6"/>
  <c r="AM387" i="6"/>
  <c r="AM388" i="6"/>
  <c r="AM389" i="6"/>
  <c r="AM390" i="6"/>
  <c r="AM391" i="6"/>
  <c r="AM392" i="6"/>
  <c r="AM393" i="6"/>
  <c r="AM394" i="6"/>
  <c r="AM395" i="6"/>
  <c r="AM396" i="6"/>
  <c r="AM397" i="6"/>
  <c r="AM398" i="6"/>
  <c r="AM399" i="6"/>
  <c r="AM400" i="6"/>
  <c r="AM401" i="6"/>
  <c r="AM402" i="6"/>
  <c r="AM403" i="6"/>
  <c r="AM404" i="6"/>
  <c r="AM405" i="6"/>
  <c r="AM406" i="6"/>
  <c r="AM407" i="6"/>
  <c r="AM408" i="6"/>
  <c r="AM409" i="6"/>
  <c r="AM410" i="6"/>
  <c r="AM411" i="6"/>
  <c r="AM412" i="6"/>
  <c r="AM413" i="6"/>
  <c r="AM414" i="6"/>
  <c r="AM415" i="6"/>
  <c r="AM416" i="6"/>
  <c r="AM417" i="6"/>
  <c r="AM418" i="6"/>
  <c r="AM419" i="6"/>
  <c r="AM420" i="6"/>
  <c r="AM421" i="6"/>
  <c r="AM422" i="6"/>
  <c r="AM423" i="6"/>
  <c r="AM424" i="6"/>
  <c r="AM425" i="6"/>
  <c r="AM426" i="6"/>
  <c r="AM427" i="6"/>
  <c r="AM428" i="6"/>
  <c r="AM429" i="6"/>
  <c r="AM430" i="6"/>
  <c r="AM431" i="6"/>
  <c r="AM432" i="6"/>
  <c r="AM433" i="6"/>
  <c r="AM434" i="6"/>
  <c r="AM435" i="6"/>
  <c r="AM436" i="6"/>
  <c r="AM437" i="6"/>
  <c r="AM438" i="6"/>
  <c r="AM439" i="6"/>
  <c r="AM440" i="6"/>
  <c r="AM441" i="6"/>
  <c r="AM442" i="6"/>
  <c r="AM443" i="6"/>
  <c r="AM444" i="6"/>
  <c r="AM445" i="6"/>
  <c r="AM446" i="6"/>
  <c r="AM447" i="6"/>
  <c r="AM448" i="6"/>
  <c r="AM449" i="6"/>
  <c r="AM450" i="6"/>
  <c r="AM451" i="6"/>
  <c r="AM452" i="6"/>
  <c r="AM453" i="6"/>
  <c r="AM454" i="6"/>
  <c r="AM455" i="6"/>
  <c r="AM456" i="6"/>
  <c r="AM457" i="6"/>
  <c r="AM458" i="6"/>
  <c r="AM459" i="6"/>
  <c r="AM460" i="6"/>
  <c r="AM461" i="6"/>
  <c r="AM462" i="6"/>
  <c r="AM463" i="6"/>
  <c r="AM464" i="6"/>
  <c r="AM465" i="6"/>
  <c r="AM466" i="6"/>
  <c r="AM467" i="6"/>
  <c r="AM468" i="6"/>
  <c r="AM469" i="6"/>
  <c r="AM470" i="6"/>
  <c r="AM471" i="6"/>
  <c r="AM472" i="6"/>
  <c r="AM473" i="6"/>
  <c r="AM474" i="6"/>
  <c r="AM475" i="6"/>
  <c r="AM476" i="6"/>
  <c r="AM477" i="6"/>
  <c r="AM478" i="6"/>
  <c r="AM479" i="6"/>
  <c r="AM480" i="6"/>
  <c r="AM481" i="6"/>
  <c r="AM482" i="6"/>
  <c r="AM483" i="6"/>
  <c r="AM484" i="6"/>
  <c r="AM485" i="6"/>
  <c r="AM486" i="6"/>
  <c r="AM487" i="6"/>
  <c r="AM488" i="6"/>
  <c r="AM489" i="6"/>
  <c r="AM490" i="6"/>
  <c r="AM491" i="6"/>
  <c r="AM492" i="6"/>
  <c r="AM493" i="6"/>
  <c r="AM494" i="6"/>
  <c r="AM495" i="6"/>
  <c r="AM496" i="6"/>
  <c r="AM497" i="6"/>
  <c r="AM498" i="6"/>
  <c r="AM499" i="6"/>
  <c r="AM500" i="6"/>
  <c r="AM501" i="6"/>
  <c r="AM502" i="6"/>
  <c r="AM503" i="6"/>
  <c r="AM504" i="6"/>
  <c r="AM505" i="6"/>
  <c r="AM506" i="6"/>
  <c r="AM507" i="6"/>
  <c r="AM508" i="6"/>
  <c r="AM509" i="6"/>
  <c r="AM510" i="6"/>
  <c r="AM511" i="6"/>
  <c r="AM512" i="6"/>
  <c r="AM513" i="6"/>
  <c r="AM514" i="6"/>
  <c r="AM515" i="6"/>
  <c r="AM516" i="6"/>
  <c r="AM517" i="6"/>
  <c r="AM518" i="6"/>
  <c r="AM519" i="6"/>
  <c r="AM520" i="6"/>
  <c r="AM521" i="6"/>
  <c r="AM522" i="6"/>
  <c r="AM523" i="6"/>
  <c r="AM524" i="6"/>
  <c r="AM525" i="6"/>
  <c r="AM526" i="6"/>
  <c r="AM527" i="6"/>
  <c r="AM528" i="6"/>
  <c r="AM529" i="6"/>
  <c r="AM530" i="6"/>
  <c r="AM531" i="6"/>
  <c r="AM532" i="6"/>
  <c r="AM533" i="6"/>
  <c r="AM534" i="6"/>
  <c r="AM535" i="6"/>
  <c r="AM536" i="6"/>
  <c r="AM537" i="6"/>
  <c r="AM538" i="6"/>
  <c r="AM539" i="6"/>
  <c r="AM540" i="6"/>
  <c r="AM541" i="6"/>
  <c r="AM542" i="6"/>
  <c r="AM543" i="6"/>
  <c r="AM544" i="6"/>
  <c r="AM545" i="6"/>
  <c r="AM546" i="6"/>
  <c r="AM547" i="6"/>
  <c r="AM548" i="6"/>
  <c r="AM549" i="6"/>
  <c r="AM550" i="6"/>
  <c r="AM551" i="6"/>
  <c r="AM552" i="6"/>
  <c r="AM553" i="6"/>
  <c r="AM554" i="6"/>
  <c r="AM555" i="6"/>
  <c r="AM556" i="6"/>
  <c r="AM557" i="6"/>
  <c r="AM558" i="6"/>
  <c r="AM559" i="6"/>
  <c r="AM560" i="6"/>
  <c r="AM561" i="6"/>
  <c r="AM562" i="6"/>
  <c r="AM563" i="6"/>
  <c r="AM564" i="6"/>
  <c r="AM565" i="6"/>
  <c r="AM566" i="6"/>
  <c r="AM567" i="6"/>
  <c r="AM568" i="6"/>
  <c r="AM569" i="6"/>
  <c r="AM570" i="6"/>
  <c r="AM571" i="6"/>
  <c r="AM572" i="6"/>
  <c r="AM573" i="6"/>
  <c r="AM574" i="6"/>
  <c r="AM575" i="6"/>
  <c r="AM576" i="6"/>
  <c r="AM577" i="6"/>
  <c r="AM578" i="6"/>
  <c r="AM579" i="6"/>
  <c r="AM580" i="6"/>
  <c r="AM581" i="6"/>
  <c r="AM582" i="6"/>
  <c r="AM583" i="6"/>
  <c r="AM584" i="6"/>
  <c r="AM585" i="6"/>
  <c r="AM586" i="6"/>
  <c r="AM587" i="6"/>
  <c r="AM588" i="6"/>
  <c r="AM589" i="6"/>
  <c r="AM590" i="6"/>
  <c r="AM591" i="6"/>
  <c r="AM592" i="6"/>
  <c r="AM593" i="6"/>
  <c r="AM594" i="6"/>
  <c r="AM595" i="6"/>
  <c r="AM596" i="6"/>
  <c r="AM597" i="6"/>
  <c r="AM598" i="6"/>
  <c r="AM599" i="6"/>
  <c r="AM600" i="6"/>
  <c r="AM601" i="6"/>
  <c r="AM602" i="6"/>
  <c r="AM603" i="6"/>
  <c r="AM604" i="6"/>
  <c r="AM605" i="6"/>
  <c r="AM606" i="6"/>
  <c r="AM607" i="6"/>
  <c r="AM608" i="6"/>
  <c r="AM609" i="6"/>
  <c r="AM610" i="6"/>
  <c r="AM611" i="6"/>
  <c r="AM612" i="6"/>
  <c r="AM613" i="6"/>
  <c r="AM614" i="6"/>
  <c r="AM615" i="6"/>
  <c r="AM616" i="6"/>
  <c r="AM617" i="6"/>
  <c r="AM618" i="6"/>
  <c r="AM619" i="6"/>
  <c r="AM620" i="6"/>
  <c r="AM621" i="6"/>
  <c r="AM622" i="6"/>
  <c r="AM623" i="6"/>
  <c r="AM624" i="6"/>
  <c r="AM625" i="6"/>
  <c r="AM626" i="6"/>
  <c r="AM627" i="6"/>
  <c r="AM628" i="6"/>
  <c r="AM629" i="6"/>
  <c r="AM630" i="6"/>
  <c r="AM631" i="6"/>
  <c r="AM632" i="6"/>
  <c r="AM633" i="6"/>
  <c r="AM634" i="6"/>
  <c r="AM635" i="6"/>
  <c r="AM636" i="6"/>
  <c r="AM637" i="6"/>
  <c r="AM638" i="6"/>
  <c r="AM639" i="6"/>
  <c r="AM640" i="6"/>
  <c r="AM641" i="6"/>
  <c r="AM642" i="6"/>
  <c r="AM643" i="6"/>
  <c r="AM644" i="6"/>
  <c r="AM645" i="6"/>
  <c r="AM646" i="6"/>
  <c r="AM647" i="6"/>
  <c r="AM648" i="6"/>
  <c r="AM649" i="6"/>
  <c r="AM650" i="6"/>
  <c r="AM651" i="6"/>
  <c r="AM652" i="6"/>
  <c r="AM653" i="6"/>
  <c r="AM654" i="6"/>
  <c r="AM655" i="6"/>
  <c r="AM656" i="6"/>
  <c r="AM657" i="6"/>
  <c r="AM658" i="6"/>
  <c r="AM659" i="6"/>
  <c r="AM660" i="6"/>
  <c r="AM661" i="6"/>
  <c r="AM662" i="6"/>
  <c r="AM663" i="6"/>
  <c r="AM664" i="6"/>
  <c r="AM665" i="6"/>
  <c r="AM666" i="6"/>
  <c r="AM667" i="6"/>
  <c r="AM668" i="6"/>
  <c r="AM669" i="6"/>
  <c r="AM670" i="6"/>
  <c r="AM671" i="6"/>
  <c r="AM672" i="6"/>
  <c r="AM673" i="6"/>
  <c r="AM674" i="6"/>
  <c r="AM675" i="6"/>
  <c r="AM676" i="6"/>
  <c r="AM677" i="6"/>
  <c r="AM678" i="6"/>
  <c r="AM679" i="6"/>
  <c r="AM680" i="6"/>
  <c r="AM681" i="6"/>
  <c r="AM682" i="6"/>
  <c r="AM683" i="6"/>
  <c r="AM684" i="6"/>
  <c r="AM685" i="6"/>
  <c r="AM686" i="6"/>
  <c r="AM687" i="6"/>
  <c r="AM688" i="6"/>
  <c r="AM689" i="6"/>
  <c r="AM690" i="6"/>
  <c r="AM691" i="6"/>
  <c r="AM692" i="6"/>
  <c r="AM693" i="6"/>
  <c r="AM694" i="6"/>
  <c r="AM695" i="6"/>
  <c r="AM696" i="6"/>
  <c r="AM697" i="6"/>
  <c r="AM698" i="6"/>
  <c r="AM699" i="6"/>
  <c r="AM700" i="6"/>
  <c r="AM701" i="6"/>
  <c r="AM702" i="6"/>
  <c r="AM703" i="6"/>
  <c r="AM704" i="6"/>
  <c r="AM705" i="6"/>
  <c r="AM706" i="6"/>
  <c r="AM707" i="6"/>
  <c r="AM708" i="6"/>
  <c r="AM709" i="6"/>
  <c r="AM710" i="6"/>
  <c r="AM711" i="6"/>
  <c r="AM712" i="6"/>
  <c r="AM713" i="6"/>
  <c r="AM714" i="6"/>
  <c r="AM715" i="6"/>
  <c r="AM716" i="6"/>
  <c r="AM717" i="6"/>
  <c r="AM718" i="6"/>
  <c r="AM719" i="6"/>
  <c r="AM720" i="6"/>
  <c r="AM721" i="6"/>
  <c r="AM722" i="6"/>
  <c r="AM723" i="6"/>
  <c r="AM724" i="6"/>
  <c r="AM725" i="6"/>
  <c r="AM726" i="6"/>
  <c r="AM727" i="6"/>
  <c r="AM728" i="6"/>
  <c r="AM729" i="6"/>
  <c r="AM730" i="6"/>
  <c r="AM731" i="6"/>
  <c r="AM732" i="6"/>
  <c r="AM733" i="6"/>
  <c r="AM734" i="6"/>
  <c r="AM735" i="6"/>
  <c r="AM736" i="6"/>
  <c r="AM737" i="6"/>
  <c r="AM738" i="6"/>
  <c r="AM739" i="6"/>
  <c r="AM740" i="6"/>
  <c r="AM741" i="6"/>
  <c r="AM742" i="6"/>
  <c r="AM743" i="6"/>
  <c r="AM744" i="6"/>
  <c r="AM745" i="6"/>
  <c r="AM746" i="6"/>
  <c r="AM747" i="6"/>
  <c r="AM748" i="6"/>
  <c r="AM749" i="6"/>
  <c r="AM750" i="6"/>
  <c r="AM751" i="6"/>
  <c r="AM752" i="6"/>
  <c r="AM753" i="6"/>
  <c r="AM754" i="6"/>
  <c r="AM755" i="6"/>
  <c r="AM756" i="6"/>
  <c r="AM757" i="6"/>
  <c r="AM758" i="6"/>
  <c r="AM759" i="6"/>
  <c r="AM760" i="6"/>
  <c r="AM761" i="6"/>
  <c r="AM762" i="6"/>
  <c r="AM763" i="6"/>
  <c r="AM764" i="6"/>
  <c r="AM765" i="6"/>
  <c r="AM766" i="6"/>
  <c r="AM767" i="6"/>
  <c r="AM768" i="6"/>
  <c r="AM769" i="6"/>
  <c r="AM770" i="6"/>
  <c r="AM771" i="6"/>
  <c r="AM772" i="6"/>
  <c r="AM773" i="6"/>
  <c r="AM774" i="6"/>
  <c r="AM775" i="6"/>
  <c r="AM776" i="6"/>
  <c r="AM777" i="6"/>
  <c r="AM778" i="6"/>
  <c r="AM779" i="6"/>
  <c r="AM780" i="6"/>
  <c r="AM781" i="6"/>
  <c r="AM782" i="6"/>
  <c r="AM783" i="6"/>
  <c r="AM784" i="6"/>
  <c r="AM785" i="6"/>
  <c r="AM786" i="6"/>
  <c r="AM787" i="6"/>
  <c r="AM788" i="6"/>
  <c r="AM789" i="6"/>
  <c r="AM790" i="6"/>
  <c r="AM791" i="6"/>
  <c r="AM792" i="6"/>
  <c r="AM793" i="6"/>
  <c r="AM794" i="6"/>
  <c r="AM795" i="6"/>
  <c r="AM796" i="6"/>
  <c r="AM797" i="6"/>
  <c r="AM798" i="6"/>
  <c r="AM799" i="6"/>
  <c r="AM800" i="6"/>
  <c r="AM801" i="6"/>
  <c r="AM802" i="6"/>
  <c r="AM803" i="6"/>
  <c r="AM804" i="6"/>
  <c r="AM2" i="5"/>
  <c r="AM3" i="5"/>
  <c r="AM4" i="5"/>
  <c r="AM5" i="5"/>
  <c r="AM6" i="5"/>
  <c r="AM7" i="5"/>
  <c r="AM8" i="5"/>
  <c r="AM9" i="5"/>
  <c r="AM10" i="5"/>
  <c r="AM11" i="5"/>
  <c r="AM12" i="5"/>
  <c r="AM13" i="5"/>
  <c r="AM14" i="5"/>
  <c r="AM15" i="5"/>
  <c r="AM16" i="5"/>
  <c r="AM17" i="5"/>
  <c r="AM18" i="5"/>
  <c r="AM19" i="5"/>
  <c r="AM20" i="5"/>
  <c r="AM21" i="5"/>
  <c r="AM22" i="5"/>
  <c r="AM23" i="5"/>
  <c r="AM24" i="5"/>
  <c r="AM25" i="5"/>
  <c r="AM26" i="5"/>
  <c r="AM27" i="5"/>
  <c r="AM28" i="5"/>
  <c r="AM29" i="5"/>
  <c r="AM30" i="5"/>
  <c r="AM31" i="5"/>
  <c r="AM32" i="5"/>
  <c r="AM33" i="5"/>
  <c r="AM34" i="5"/>
  <c r="AM35" i="5"/>
  <c r="AM36" i="5"/>
  <c r="AM37" i="5"/>
  <c r="AM38" i="5"/>
  <c r="AM39" i="5"/>
  <c r="AM40" i="5"/>
  <c r="AM41" i="5"/>
  <c r="AM42" i="5"/>
  <c r="AM43" i="5"/>
  <c r="AM44" i="5"/>
  <c r="AM45" i="5"/>
  <c r="AM46" i="5"/>
  <c r="AM47" i="5"/>
  <c r="AM48" i="5"/>
  <c r="AM49" i="5"/>
  <c r="AM50" i="5"/>
  <c r="AM51" i="5"/>
  <c r="AM52" i="5"/>
  <c r="AM53" i="5"/>
  <c r="AM54" i="5"/>
  <c r="AM55" i="5"/>
  <c r="AM56" i="5"/>
  <c r="AM57" i="5"/>
  <c r="AM58" i="5"/>
  <c r="AM59" i="5"/>
  <c r="AM60" i="5"/>
  <c r="AM61" i="5"/>
  <c r="AM62" i="5"/>
  <c r="AM63" i="5"/>
  <c r="AM64" i="5"/>
  <c r="AM65" i="5"/>
  <c r="AM66" i="5"/>
  <c r="AM67" i="5"/>
  <c r="AM68" i="5"/>
  <c r="AM69" i="5"/>
  <c r="AM70" i="5"/>
  <c r="AM71" i="5"/>
  <c r="AM72" i="5"/>
  <c r="AM73" i="5"/>
  <c r="AM74" i="5"/>
  <c r="AM75" i="5"/>
  <c r="AM76" i="5"/>
  <c r="AM77" i="5"/>
  <c r="AM78" i="5"/>
  <c r="AM79" i="5"/>
  <c r="AM80" i="5"/>
  <c r="AM81" i="5"/>
  <c r="AM82" i="5"/>
  <c r="AM83" i="5"/>
  <c r="AM84" i="5"/>
  <c r="AM85" i="5"/>
  <c r="AM86" i="5"/>
  <c r="AM87" i="5"/>
  <c r="AM88" i="5"/>
  <c r="AM89" i="5"/>
  <c r="AM90" i="5"/>
  <c r="AM91" i="5"/>
  <c r="AM92" i="5"/>
  <c r="AM93" i="5"/>
  <c r="AM94" i="5"/>
  <c r="AM95" i="5"/>
  <c r="AM96" i="5"/>
  <c r="AM97" i="5"/>
  <c r="AM98" i="5"/>
  <c r="AM99" i="5"/>
  <c r="AM100" i="5"/>
  <c r="AM101" i="5"/>
  <c r="AM102" i="5"/>
  <c r="AM103" i="5"/>
  <c r="AM104" i="5"/>
  <c r="AM105" i="5"/>
  <c r="AM106" i="5"/>
  <c r="AM107" i="5"/>
  <c r="AM108" i="5"/>
  <c r="AM109" i="5"/>
  <c r="AM110" i="5"/>
  <c r="AM111" i="5"/>
  <c r="AM112" i="5"/>
  <c r="AM113" i="5"/>
  <c r="AM114" i="5"/>
  <c r="AM115" i="5"/>
  <c r="AM116" i="5"/>
  <c r="AM117" i="5"/>
  <c r="AM118" i="5"/>
  <c r="AM119" i="5"/>
  <c r="AM120" i="5"/>
  <c r="AM121" i="5"/>
  <c r="AM122" i="5"/>
  <c r="AM123" i="5"/>
  <c r="AM124" i="5"/>
  <c r="AM125" i="5"/>
  <c r="AM126" i="5"/>
  <c r="AM127" i="5"/>
  <c r="AM128" i="5"/>
  <c r="AM129" i="5"/>
  <c r="AM130" i="5"/>
  <c r="AM131" i="5"/>
  <c r="AM132" i="5"/>
  <c r="AM133" i="5"/>
  <c r="AM134" i="5"/>
  <c r="AM135" i="5"/>
  <c r="AM136" i="5"/>
  <c r="AM137" i="5"/>
  <c r="AM138" i="5"/>
  <c r="AM139" i="5"/>
  <c r="AM140" i="5"/>
  <c r="AM141" i="5"/>
  <c r="AM142" i="5"/>
  <c r="AM143" i="5"/>
  <c r="AM144" i="5"/>
  <c r="AM145" i="5"/>
  <c r="AM146" i="5"/>
  <c r="AM147" i="5"/>
  <c r="AM148" i="5"/>
  <c r="AM149" i="5"/>
  <c r="AM150" i="5"/>
  <c r="AM151" i="5"/>
  <c r="AM152" i="5"/>
  <c r="AM153" i="5"/>
  <c r="AM154" i="5"/>
  <c r="AM155" i="5"/>
  <c r="AM156" i="5"/>
  <c r="AM157" i="5"/>
  <c r="AM158" i="5"/>
  <c r="AM159" i="5"/>
  <c r="AM160" i="5"/>
  <c r="AM161" i="5"/>
  <c r="AM162" i="5"/>
  <c r="AM163" i="5"/>
  <c r="AM164" i="5"/>
  <c r="AM165" i="5"/>
  <c r="AM166" i="5"/>
  <c r="AM167" i="5"/>
  <c r="AM168" i="5"/>
  <c r="AM169" i="5"/>
  <c r="AM170" i="5"/>
  <c r="AM171" i="5"/>
  <c r="AM172" i="5"/>
  <c r="AM173" i="5"/>
  <c r="AM174" i="5"/>
  <c r="AM175" i="5"/>
  <c r="AM176" i="5"/>
  <c r="AM177" i="5"/>
  <c r="AM178" i="5"/>
  <c r="AM179" i="5"/>
  <c r="AM180" i="5"/>
  <c r="AM181" i="5"/>
  <c r="AM182" i="5"/>
  <c r="AM183" i="5"/>
  <c r="AM184" i="5"/>
  <c r="AM185" i="5"/>
  <c r="AM186" i="5"/>
  <c r="AM187" i="5"/>
  <c r="AM188" i="5"/>
  <c r="AM189" i="5"/>
  <c r="AM190" i="5"/>
  <c r="AM191" i="5"/>
  <c r="AM192" i="5"/>
  <c r="AM193" i="5"/>
  <c r="AM194" i="5"/>
  <c r="AM195" i="5"/>
  <c r="AM196" i="5"/>
  <c r="AM197" i="5"/>
  <c r="AM198" i="5"/>
  <c r="AM199" i="5"/>
  <c r="AM200" i="5"/>
  <c r="AM201" i="5"/>
  <c r="AM202" i="5"/>
  <c r="AM203" i="5"/>
  <c r="AM204" i="5"/>
  <c r="AM205" i="5"/>
  <c r="AM206" i="5"/>
  <c r="AM207" i="5"/>
  <c r="AM208" i="5"/>
  <c r="AM209" i="5"/>
  <c r="AM210" i="5"/>
  <c r="AM211" i="5"/>
  <c r="AM212" i="5"/>
  <c r="AM213" i="5"/>
  <c r="AM214" i="5"/>
  <c r="AM215" i="5"/>
  <c r="AM216" i="5"/>
  <c r="AM217" i="5"/>
  <c r="AM218" i="5"/>
  <c r="AM219" i="5"/>
  <c r="AM220" i="5"/>
  <c r="AM221" i="5"/>
  <c r="AM222" i="5"/>
  <c r="AM223" i="5"/>
  <c r="AM224" i="5"/>
  <c r="AM225" i="5"/>
  <c r="AM226" i="5"/>
  <c r="AM227" i="5"/>
  <c r="AM228" i="5"/>
  <c r="AM229" i="5"/>
  <c r="AM230" i="5"/>
  <c r="AM231" i="5"/>
  <c r="AM232" i="5"/>
  <c r="AM233" i="5"/>
  <c r="AM234" i="5"/>
  <c r="AM235" i="5"/>
  <c r="AM236" i="5"/>
  <c r="AM237" i="5"/>
  <c r="AM238" i="5"/>
  <c r="AM239" i="5"/>
  <c r="AM240" i="5"/>
  <c r="AM241" i="5"/>
  <c r="AM242" i="5"/>
  <c r="AM243" i="5"/>
  <c r="AM244" i="5"/>
  <c r="AM245" i="5"/>
  <c r="AM246" i="5"/>
  <c r="AM247" i="5"/>
  <c r="AM248" i="5"/>
  <c r="AM249" i="5"/>
  <c r="AM250" i="5"/>
  <c r="AM251" i="5"/>
  <c r="AM252" i="5"/>
  <c r="AM253" i="5"/>
  <c r="AM254" i="5"/>
  <c r="AM255" i="5"/>
  <c r="AM256" i="5"/>
  <c r="AM257" i="5"/>
  <c r="AM258" i="5"/>
  <c r="AM259" i="5"/>
  <c r="AM260" i="5"/>
  <c r="AM261" i="5"/>
  <c r="AM262" i="5"/>
  <c r="AM263" i="5"/>
  <c r="AM264" i="5"/>
  <c r="AM265" i="5"/>
  <c r="AM266" i="5"/>
  <c r="AM267" i="5"/>
  <c r="AM268" i="5"/>
  <c r="AM269" i="5"/>
  <c r="AM270" i="5"/>
  <c r="AM271" i="5"/>
  <c r="AM272" i="5"/>
  <c r="AM273" i="5"/>
  <c r="AM274" i="5"/>
  <c r="AM275" i="5"/>
  <c r="AM276" i="5"/>
  <c r="AM277" i="5"/>
  <c r="AM278" i="5"/>
  <c r="AM279" i="5"/>
  <c r="AM280" i="5"/>
  <c r="AM281" i="5"/>
  <c r="AM282" i="5"/>
  <c r="AM283" i="5"/>
  <c r="AM284" i="5"/>
  <c r="AM285" i="5"/>
  <c r="AM286" i="5"/>
  <c r="AM287" i="5"/>
  <c r="AM288" i="5"/>
  <c r="AM289" i="5"/>
  <c r="AM290" i="5"/>
  <c r="AM291" i="5"/>
  <c r="AM292" i="5"/>
  <c r="AM293" i="5"/>
  <c r="AM294" i="5"/>
  <c r="AM295" i="5"/>
  <c r="AM296" i="5"/>
  <c r="AM297" i="5"/>
  <c r="AM298" i="5"/>
  <c r="AM299" i="5"/>
  <c r="AM300" i="5"/>
  <c r="AM301" i="5"/>
  <c r="AM302" i="5"/>
  <c r="AM303" i="5"/>
  <c r="AM304" i="5"/>
  <c r="AM305" i="5"/>
  <c r="AM306" i="5"/>
  <c r="AM307" i="5"/>
  <c r="AM308" i="5"/>
  <c r="AM309" i="5"/>
  <c r="AM310" i="5"/>
  <c r="AM311" i="5"/>
  <c r="AM312" i="5"/>
  <c r="AM313" i="5"/>
  <c r="AM314" i="5"/>
  <c r="AM315" i="5"/>
  <c r="AM316" i="5"/>
  <c r="AM317" i="5"/>
  <c r="AM318" i="5"/>
  <c r="AM319" i="5"/>
  <c r="AM320" i="5"/>
  <c r="AM321" i="5"/>
  <c r="AM322" i="5"/>
  <c r="AM323" i="5"/>
  <c r="AM324" i="5"/>
  <c r="AM325" i="5"/>
  <c r="AM326" i="5"/>
  <c r="AM327" i="5"/>
  <c r="AM328" i="5"/>
  <c r="AM329" i="5"/>
  <c r="AM330" i="5"/>
  <c r="AM331" i="5"/>
  <c r="AM332" i="5"/>
  <c r="AM333" i="5"/>
  <c r="AM334" i="5"/>
  <c r="AM335" i="5"/>
  <c r="AM336" i="5"/>
  <c r="AM337" i="5"/>
  <c r="AM338" i="5"/>
  <c r="AM339" i="5"/>
  <c r="AM340" i="5"/>
  <c r="AM341" i="5"/>
  <c r="AM342" i="5"/>
  <c r="AM343" i="5"/>
  <c r="AM344" i="5"/>
  <c r="AM345" i="5"/>
  <c r="AM346" i="5"/>
  <c r="AM347" i="5"/>
  <c r="AM348" i="5"/>
  <c r="AM349" i="5"/>
  <c r="AM350" i="5"/>
  <c r="AM351" i="5"/>
  <c r="AM352" i="5"/>
  <c r="AM353" i="5"/>
  <c r="AM354" i="5"/>
  <c r="AM355" i="5"/>
  <c r="AM356" i="5"/>
  <c r="AM357" i="5"/>
  <c r="AM358" i="5"/>
  <c r="AM359" i="5"/>
  <c r="AM360" i="5"/>
  <c r="AM361" i="5"/>
  <c r="AM362" i="5"/>
  <c r="AM363" i="5"/>
  <c r="AM364" i="5"/>
  <c r="AM365" i="5"/>
  <c r="AM366" i="5"/>
  <c r="AM367" i="5"/>
  <c r="AM368" i="5"/>
  <c r="AM369" i="5"/>
  <c r="AM370" i="5"/>
  <c r="AM371" i="5"/>
  <c r="AM372" i="5"/>
  <c r="AM373" i="5"/>
  <c r="AM374" i="5"/>
  <c r="AM375" i="5"/>
  <c r="AM376" i="5"/>
  <c r="AM377" i="5"/>
  <c r="AM378" i="5"/>
  <c r="AM379" i="5"/>
  <c r="AM380" i="5"/>
  <c r="AM381" i="5"/>
  <c r="AM382" i="5"/>
  <c r="AM383" i="5"/>
  <c r="AM384" i="5"/>
  <c r="AM385" i="5"/>
  <c r="AM386" i="5"/>
  <c r="AM387" i="5"/>
  <c r="AM388" i="5"/>
  <c r="AM389" i="5"/>
  <c r="AM390" i="5"/>
  <c r="AM391" i="5"/>
  <c r="AM392" i="5"/>
  <c r="AM393" i="5"/>
  <c r="AM394" i="5"/>
  <c r="AM395" i="5"/>
  <c r="AM396" i="5"/>
  <c r="AM397" i="5"/>
  <c r="AM398" i="5"/>
  <c r="AM399" i="5"/>
  <c r="AM400" i="5"/>
  <c r="AM401" i="5"/>
  <c r="AM402" i="5"/>
  <c r="AM403" i="5"/>
  <c r="AM404" i="5"/>
  <c r="AM405" i="5"/>
  <c r="AM406" i="5"/>
  <c r="AM407" i="5"/>
  <c r="AM408" i="5"/>
  <c r="AM409" i="5"/>
  <c r="AM410" i="5"/>
  <c r="AM411" i="5"/>
  <c r="AM412" i="5"/>
  <c r="AM413" i="5"/>
  <c r="AM414" i="5"/>
  <c r="AM415" i="5"/>
  <c r="AM416" i="5"/>
  <c r="AM417" i="5"/>
  <c r="AM418" i="5"/>
  <c r="AM419" i="5"/>
  <c r="AM420" i="5"/>
  <c r="AM421" i="5"/>
  <c r="AM422" i="5"/>
  <c r="AM423" i="5"/>
  <c r="AM424" i="5"/>
  <c r="AM425" i="5"/>
  <c r="AM426" i="5"/>
  <c r="AM427" i="5"/>
  <c r="AM428" i="5"/>
  <c r="AM429" i="5"/>
  <c r="AM430" i="5"/>
  <c r="AM431" i="5"/>
  <c r="AM432" i="5"/>
  <c r="AM433" i="5"/>
  <c r="AM434" i="5"/>
  <c r="AM435" i="5"/>
  <c r="AM436" i="5"/>
  <c r="AM437" i="5"/>
  <c r="AM438" i="5"/>
  <c r="AM439" i="5"/>
  <c r="AM440" i="5"/>
  <c r="AM441" i="5"/>
  <c r="AM442" i="5"/>
  <c r="AM443" i="5"/>
  <c r="AM444" i="5"/>
  <c r="AM445" i="5"/>
  <c r="AM446" i="5"/>
  <c r="AM447" i="5"/>
  <c r="AM448" i="5"/>
  <c r="AM449" i="5"/>
  <c r="AM450" i="5"/>
  <c r="AM451" i="5"/>
  <c r="AM452" i="5"/>
  <c r="AM453" i="5"/>
  <c r="AM454" i="5"/>
  <c r="AM455" i="5"/>
  <c r="AM456" i="5"/>
  <c r="AM457" i="5"/>
  <c r="AM458" i="5"/>
  <c r="AM459" i="5"/>
  <c r="AM460" i="5"/>
  <c r="AM461" i="5"/>
  <c r="AM462" i="5"/>
  <c r="AM463" i="5"/>
  <c r="AM464" i="5"/>
  <c r="AM465" i="5"/>
  <c r="AM466" i="5"/>
  <c r="AM467" i="5"/>
  <c r="AM468" i="5"/>
  <c r="AM469" i="5"/>
  <c r="AM470" i="5"/>
  <c r="AM471" i="5"/>
  <c r="AM472" i="5"/>
  <c r="AM473" i="5"/>
  <c r="AM474" i="5"/>
  <c r="AM475" i="5"/>
  <c r="AM476" i="5"/>
  <c r="AM477" i="5"/>
  <c r="AM478" i="5"/>
  <c r="AM479" i="5"/>
  <c r="AM480" i="5"/>
  <c r="AM481" i="5"/>
  <c r="AM482" i="5"/>
  <c r="AM483" i="5"/>
  <c r="AM484" i="5"/>
  <c r="AM485" i="5"/>
  <c r="AM486" i="5"/>
  <c r="AM487" i="5"/>
  <c r="AM488" i="5"/>
  <c r="AM489" i="5"/>
  <c r="AM490" i="5"/>
  <c r="AM491" i="5"/>
  <c r="AM492" i="5"/>
  <c r="AM493" i="5"/>
  <c r="AM494" i="5"/>
  <c r="AM495" i="5"/>
  <c r="AM496" i="5"/>
  <c r="AM497" i="5"/>
  <c r="AM498" i="5"/>
  <c r="AM499" i="5"/>
  <c r="AM500" i="5"/>
  <c r="AM501" i="5"/>
  <c r="AM502" i="5"/>
  <c r="AM503" i="5"/>
  <c r="AM504" i="5"/>
  <c r="AM505" i="5"/>
  <c r="AM506" i="5"/>
  <c r="AM507" i="5"/>
  <c r="AM508" i="5"/>
  <c r="AM509" i="5"/>
  <c r="AM510" i="5"/>
  <c r="AM511" i="5"/>
  <c r="AM512" i="5"/>
  <c r="AM513" i="5"/>
  <c r="AM514" i="5"/>
  <c r="AM515" i="5"/>
  <c r="AM516" i="5"/>
  <c r="AM517" i="5"/>
  <c r="AM518" i="5"/>
  <c r="AM519" i="5"/>
  <c r="AM520" i="5"/>
  <c r="AM521" i="5"/>
  <c r="AM522" i="5"/>
  <c r="AM523" i="5"/>
  <c r="AM524" i="5"/>
  <c r="AM525" i="5"/>
  <c r="AM526" i="5"/>
  <c r="AM527" i="5"/>
  <c r="AM528" i="5"/>
  <c r="AM529" i="5"/>
  <c r="AM530" i="5"/>
  <c r="AM531" i="5"/>
  <c r="AM532" i="5"/>
  <c r="AM533" i="5"/>
  <c r="AM534" i="5"/>
  <c r="AM535" i="5"/>
  <c r="AM536" i="5"/>
  <c r="AM537" i="5"/>
  <c r="AM538" i="5"/>
  <c r="AM539" i="5"/>
  <c r="AM540" i="5"/>
  <c r="AM541" i="5"/>
  <c r="AM542" i="5"/>
  <c r="AM543" i="5"/>
  <c r="AM544" i="5"/>
  <c r="AM545" i="5"/>
  <c r="AM546" i="5"/>
  <c r="AM547" i="5"/>
  <c r="AM548" i="5"/>
  <c r="AM549" i="5"/>
  <c r="AM550" i="5"/>
  <c r="AM551" i="5"/>
  <c r="AM552" i="5"/>
  <c r="AM553" i="5"/>
  <c r="AM554" i="5"/>
  <c r="AM555" i="5"/>
  <c r="AM556" i="5"/>
  <c r="AM557" i="5"/>
  <c r="AM558" i="5"/>
  <c r="AM559" i="5"/>
  <c r="AM560" i="5"/>
  <c r="AM561" i="5"/>
  <c r="AM562" i="5"/>
  <c r="AM563" i="5"/>
  <c r="AM564" i="5"/>
  <c r="AM565" i="5"/>
  <c r="AM566" i="5"/>
  <c r="AM567" i="5"/>
  <c r="AM568" i="5"/>
  <c r="AM569" i="5"/>
  <c r="AM570" i="5"/>
  <c r="AM571" i="5"/>
  <c r="AM572" i="5"/>
  <c r="AM573" i="5"/>
  <c r="AM574" i="5"/>
  <c r="AM575" i="5"/>
  <c r="AM576" i="5"/>
  <c r="AM577" i="5"/>
  <c r="AM578" i="5"/>
  <c r="AM579" i="5"/>
  <c r="AM580" i="5"/>
  <c r="AM581" i="5"/>
  <c r="AM582" i="5"/>
  <c r="AM583" i="5"/>
  <c r="AM584" i="5"/>
  <c r="AM585" i="5"/>
  <c r="AM586" i="5"/>
  <c r="AM587" i="5"/>
  <c r="AM588" i="5"/>
  <c r="AM589" i="5"/>
  <c r="AM590" i="5"/>
  <c r="AM591" i="5"/>
  <c r="AM592" i="5"/>
  <c r="AM593" i="5"/>
  <c r="AM594" i="5"/>
  <c r="AM595" i="5"/>
  <c r="AM596" i="5"/>
  <c r="AM597" i="5"/>
  <c r="AM598" i="5"/>
  <c r="AM599" i="5"/>
  <c r="AM600" i="5"/>
  <c r="AM601" i="5"/>
  <c r="AM602" i="5"/>
  <c r="AM603" i="5"/>
  <c r="AM604" i="5"/>
  <c r="AM605" i="5"/>
  <c r="AM606" i="5"/>
  <c r="AM607" i="5"/>
  <c r="AM608" i="5"/>
  <c r="AM609" i="5"/>
  <c r="AM610" i="5"/>
  <c r="AM611" i="5"/>
  <c r="AM612" i="5"/>
  <c r="AM613" i="5"/>
  <c r="AM614" i="5"/>
  <c r="AM615" i="5"/>
  <c r="AM616" i="5"/>
  <c r="AM617" i="5"/>
  <c r="AM618" i="5"/>
  <c r="AM619" i="5"/>
  <c r="AM620" i="5"/>
  <c r="AM621" i="5"/>
  <c r="AM622" i="5"/>
  <c r="AM623" i="5"/>
  <c r="AM624" i="5"/>
  <c r="AM625" i="5"/>
  <c r="AM626" i="5"/>
  <c r="AM627" i="5"/>
  <c r="AM628" i="5"/>
  <c r="AM629" i="5"/>
  <c r="AM630" i="5"/>
  <c r="AM631" i="5"/>
  <c r="AM632" i="5"/>
  <c r="AM633" i="5"/>
  <c r="AM634" i="5"/>
  <c r="AM635" i="5"/>
  <c r="AM636" i="5"/>
  <c r="AM637" i="5"/>
  <c r="AM638" i="5"/>
  <c r="AM639" i="5"/>
  <c r="AM640" i="5"/>
  <c r="AM641" i="5"/>
  <c r="AM642" i="5"/>
  <c r="AM643" i="5"/>
  <c r="AM644" i="5"/>
  <c r="AM645" i="5"/>
  <c r="AM646" i="5"/>
  <c r="AM647" i="5"/>
  <c r="AM648" i="5"/>
  <c r="AM649" i="5"/>
  <c r="AM650" i="5"/>
  <c r="AM651" i="5"/>
  <c r="AM652" i="5"/>
  <c r="AM653" i="5"/>
  <c r="AM654" i="5"/>
  <c r="AM655" i="5"/>
  <c r="AM656" i="5"/>
  <c r="AM657" i="5"/>
  <c r="AM658" i="5"/>
  <c r="AM659" i="5"/>
  <c r="AM660" i="5"/>
  <c r="AM661" i="5"/>
  <c r="AM662" i="5"/>
  <c r="AM663" i="5"/>
  <c r="AM664" i="5"/>
  <c r="AM665" i="5"/>
  <c r="AM666" i="5"/>
  <c r="AM667" i="5"/>
  <c r="AM668" i="5"/>
  <c r="AM669" i="5"/>
  <c r="AM670" i="5"/>
  <c r="AM671" i="5"/>
  <c r="AM672" i="5"/>
  <c r="AM673" i="5"/>
  <c r="AM674" i="5"/>
  <c r="AM675" i="5"/>
  <c r="AM676" i="5"/>
  <c r="AM677" i="5"/>
  <c r="L2" i="4" l="1"/>
  <c r="L37" i="4"/>
  <c r="L17" i="4"/>
  <c r="L3" i="4"/>
  <c r="L4" i="4"/>
  <c r="L5" i="4"/>
  <c r="L6" i="4"/>
  <c r="L7" i="4"/>
  <c r="L8" i="4"/>
  <c r="L9" i="4"/>
  <c r="L10" i="4"/>
  <c r="L11" i="4"/>
  <c r="L12" i="4"/>
  <c r="L13" i="4"/>
  <c r="L14" i="4"/>
  <c r="L15" i="4"/>
  <c r="L16" i="4"/>
  <c r="L18" i="4"/>
  <c r="L19" i="4"/>
  <c r="L20" i="4"/>
  <c r="L21" i="4"/>
  <c r="L22" i="4"/>
  <c r="L23" i="4"/>
  <c r="L24" i="4"/>
  <c r="L25" i="4"/>
  <c r="L26" i="4"/>
  <c r="L27" i="4"/>
  <c r="L28" i="4"/>
  <c r="L29" i="4"/>
  <c r="L30" i="4"/>
  <c r="L31" i="4"/>
  <c r="L32" i="4"/>
  <c r="L33" i="4"/>
  <c r="L34" i="4"/>
  <c r="L35" i="4"/>
  <c r="L36" i="4"/>
  <c r="A4" i="2" l="1"/>
  <c r="B33" i="4" l="1"/>
  <c r="U2" i="4" l="1"/>
  <c r="S2" i="4"/>
</calcChain>
</file>

<file path=xl/sharedStrings.xml><?xml version="1.0" encoding="utf-8"?>
<sst xmlns="http://purl.oclc.org/ooxml/spreadsheetml/main" count="15274" uniqueCount="7195">
  <si>
    <t>标识</t>
  </si>
  <si>
    <t>dwID</t>
  </si>
  <si>
    <t>等级</t>
  </si>
  <si>
    <t>层数</t>
  </si>
  <si>
    <t>名称</t>
  </si>
  <si>
    <t>备注信息</t>
  </si>
  <si>
    <t>饱食</t>
  </si>
  <si>
    <t>家园饱食BUFF</t>
  </si>
  <si>
    <t>藏匿</t>
  </si>
  <si>
    <t>月影沙</t>
  </si>
  <si>
    <t>凝血盾</t>
  </si>
  <si>
    <t>伪传·龙啸九天</t>
  </si>
  <si>
    <t>伪传·驭羽骋风</t>
  </si>
  <si>
    <t>伪传·枯残蛊</t>
  </si>
  <si>
    <t>伪传·崇岭连绵剑</t>
  </si>
  <si>
    <t>折骨</t>
  </si>
  <si>
    <t>舍身</t>
  </si>
  <si>
    <t>平沙落雁</t>
  </si>
  <si>
    <t>暗尘弥散</t>
  </si>
  <si>
    <t>超然</t>
  </si>
  <si>
    <t>笑醉狂</t>
  </si>
  <si>
    <t>散流霞</t>
  </si>
  <si>
    <t>抓捕的卢时不可选中</t>
  </si>
  <si>
    <t>握针</t>
  </si>
  <si>
    <t>霸体</t>
  </si>
  <si>
    <t>南风吐月</t>
  </si>
  <si>
    <t>天工甲士</t>
  </si>
  <si>
    <t>翰墨永誓</t>
  </si>
  <si>
    <t>笼花</t>
  </si>
  <si>
    <t>大针</t>
  </si>
  <si>
    <t>春泥护花</t>
  </si>
  <si>
    <t>星楼月影</t>
  </si>
  <si>
    <t>月斜</t>
  </si>
  <si>
    <t>水月</t>
  </si>
  <si>
    <t>水月无间</t>
  </si>
  <si>
    <t>局针</t>
  </si>
  <si>
    <t>冥泽</t>
  </si>
  <si>
    <t>天地低昂</t>
  </si>
  <si>
    <t>雾雨</t>
  </si>
  <si>
    <t>两生</t>
  </si>
  <si>
    <t>棠梨</t>
  </si>
  <si>
    <t>鹊踏枝</t>
  </si>
  <si>
    <t>音韵</t>
  </si>
  <si>
    <t>飞竹</t>
  </si>
  <si>
    <t>独觉</t>
  </si>
  <si>
    <t>健骨</t>
  </si>
  <si>
    <t>不动</t>
  </si>
  <si>
    <t>轮回</t>
  </si>
  <si>
    <t>弘法</t>
  </si>
  <si>
    <t>舍生</t>
  </si>
  <si>
    <t>狮啸</t>
  </si>
  <si>
    <t>妙法</t>
  </si>
  <si>
    <t>千斤坠</t>
  </si>
  <si>
    <t>镇山河</t>
  </si>
  <si>
    <t>行天道</t>
  </si>
  <si>
    <t>御风而行</t>
  </si>
  <si>
    <t>啸如虎</t>
  </si>
  <si>
    <t>守如山</t>
  </si>
  <si>
    <t>御</t>
  </si>
  <si>
    <t>长致</t>
  </si>
  <si>
    <t>泉凝月</t>
  </si>
  <si>
    <t>云栖松</t>
  </si>
  <si>
    <t>鹤归孤山</t>
  </si>
  <si>
    <t>庇佑</t>
  </si>
  <si>
    <t>噬蛊</t>
  </si>
  <si>
    <t>蛊虫献祭</t>
  </si>
  <si>
    <t>驭虫</t>
  </si>
  <si>
    <t>鬼斧神工</t>
  </si>
  <si>
    <t>浮光掠影</t>
  </si>
  <si>
    <t>瑕草无霜</t>
  </si>
  <si>
    <t>惊鸿游龙</t>
  </si>
  <si>
    <t>浮空</t>
  </si>
  <si>
    <t>飞鸢逐月</t>
  </si>
  <si>
    <t>流火飞星</t>
  </si>
  <si>
    <t>生死之交</t>
  </si>
  <si>
    <t>微妙风</t>
  </si>
  <si>
    <t>贪魔体</t>
  </si>
  <si>
    <t>秘影</t>
  </si>
  <si>
    <t>冥月渡心</t>
  </si>
  <si>
    <t>无间影狱</t>
  </si>
  <si>
    <t>仁德</t>
  </si>
  <si>
    <t>龙啸九天</t>
  </si>
  <si>
    <t>乘龙戏水</t>
  </si>
  <si>
    <t>龙跃于渊</t>
  </si>
  <si>
    <t>隐</t>
  </si>
  <si>
    <t>盾立</t>
  </si>
  <si>
    <t>激奋</t>
  </si>
  <si>
    <t>盾墙</t>
  </si>
  <si>
    <t>盾壁</t>
  </si>
  <si>
    <t>无惧</t>
  </si>
  <si>
    <t>孤影化双</t>
  </si>
  <si>
    <t>清绝影歌</t>
  </si>
  <si>
    <t>石间意</t>
  </si>
  <si>
    <t>逸尘步虚</t>
  </si>
  <si>
    <t>浮游天地</t>
  </si>
  <si>
    <t>十方玄机</t>
  </si>
  <si>
    <t>日月吴钩</t>
  </si>
  <si>
    <t>崔嵬鬼步</t>
  </si>
  <si>
    <t>巨门北落</t>
  </si>
  <si>
    <t>祝由·水坎</t>
  </si>
  <si>
    <t>逐云寒蕊</t>
  </si>
  <si>
    <t>浅碧</t>
  </si>
  <si>
    <t>绿野蔓生</t>
  </si>
  <si>
    <t>应天授命</t>
  </si>
  <si>
    <t>护持</t>
  </si>
  <si>
    <t>游雾乘云</t>
  </si>
  <si>
    <t>澄神</t>
  </si>
  <si>
    <t>白羽焰翼</t>
  </si>
  <si>
    <t>飞</t>
  </si>
  <si>
    <t>准备</t>
  </si>
  <si>
    <t>霜聚结露·愈</t>
  </si>
  <si>
    <t>腾云</t>
  </si>
  <si>
    <t>剑舞表现</t>
  </si>
  <si>
    <t>通用CD1</t>
  </si>
  <si>
    <t>通用CD2</t>
  </si>
  <si>
    <t>木桩道具_5分钟倒计时</t>
  </si>
  <si>
    <t>鹿武童道具_5分钟倒计时</t>
  </si>
  <si>
    <t>木滚滚道具_5分钟倒计时</t>
  </si>
  <si>
    <t>述怀</t>
  </si>
  <si>
    <t>翔舞</t>
  </si>
  <si>
    <t>上元点鬟</t>
  </si>
  <si>
    <t>宫</t>
  </si>
  <si>
    <t>商</t>
  </si>
  <si>
    <t>角</t>
  </si>
  <si>
    <t>梅花三弄</t>
  </si>
  <si>
    <t>赤芍寒香</t>
  </si>
  <si>
    <t>坐隐</t>
  </si>
  <si>
    <t>毫针</t>
  </si>
  <si>
    <t>金屋</t>
  </si>
  <si>
    <t>轻燕</t>
  </si>
  <si>
    <t>碧水滔天</t>
  </si>
  <si>
    <t>韶景</t>
  </si>
  <si>
    <t>璇妗</t>
  </si>
  <si>
    <t>灵犀</t>
  </si>
  <si>
    <t>初熟</t>
  </si>
  <si>
    <t>玉骨</t>
  </si>
  <si>
    <t>左旋右转</t>
  </si>
  <si>
    <t>低昂</t>
  </si>
  <si>
    <t>留风</t>
  </si>
  <si>
    <t>无相诀</t>
  </si>
  <si>
    <t>转乾坤</t>
  </si>
  <si>
    <t>无我</t>
  </si>
  <si>
    <t>玄德</t>
  </si>
  <si>
    <t>剑冲阴阳</t>
  </si>
  <si>
    <t>坐忘无我</t>
  </si>
  <si>
    <t>生太极</t>
  </si>
  <si>
    <t>渊</t>
  </si>
  <si>
    <t>金甲</t>
  </si>
  <si>
    <t>破重围</t>
  </si>
  <si>
    <t>盘蛇</t>
  </si>
  <si>
    <t>铁骑</t>
  </si>
  <si>
    <t>力拔</t>
  </si>
  <si>
    <t>纵轻骑</t>
  </si>
  <si>
    <t>青阳</t>
  </si>
  <si>
    <t>突</t>
  </si>
  <si>
    <t>御天</t>
  </si>
  <si>
    <t>探梅</t>
  </si>
  <si>
    <t>云台</t>
  </si>
  <si>
    <t>乘风</t>
  </si>
  <si>
    <t>梦泉虎跑</t>
  </si>
  <si>
    <t>风吹荷</t>
  </si>
  <si>
    <t>玉泉鱼跃</t>
  </si>
  <si>
    <t>凤凰蛊</t>
  </si>
  <si>
    <t>女希</t>
  </si>
  <si>
    <t>千蝶吐瑞</t>
  </si>
  <si>
    <t>圣元</t>
  </si>
  <si>
    <t>女娲补天</t>
  </si>
  <si>
    <t>圣手织天</t>
  </si>
  <si>
    <t>玄水蛊</t>
  </si>
  <si>
    <t>蝶戏水</t>
  </si>
  <si>
    <t>散影</t>
  </si>
  <si>
    <t>蛊影</t>
  </si>
  <si>
    <t>求凰</t>
  </si>
  <si>
    <t>忘攸蛊</t>
  </si>
  <si>
    <t>茧灵</t>
  </si>
  <si>
    <t>展屏</t>
  </si>
  <si>
    <t>烟消云散</t>
  </si>
  <si>
    <t>飞遁</t>
  </si>
  <si>
    <t>圣体</t>
  </si>
  <si>
    <t>渡厄</t>
  </si>
  <si>
    <t>羁影</t>
  </si>
  <si>
    <t>朝圣</t>
  </si>
  <si>
    <t>性命海</t>
  </si>
  <si>
    <t>具智</t>
  </si>
  <si>
    <t>落水打狗</t>
  </si>
  <si>
    <t>城复于隍</t>
  </si>
  <si>
    <t>龙威</t>
  </si>
  <si>
    <t>宽野</t>
  </si>
  <si>
    <t>百炼</t>
  </si>
  <si>
    <t>捍卫</t>
  </si>
  <si>
    <t>雄峦</t>
  </si>
  <si>
    <t>过涯</t>
  </si>
  <si>
    <t>移山</t>
  </si>
  <si>
    <t>盾击</t>
  </si>
  <si>
    <t>劫化</t>
  </si>
  <si>
    <t>杯水留影</t>
  </si>
  <si>
    <t>笑傲光阴</t>
  </si>
  <si>
    <t>青霄飞羽</t>
  </si>
  <si>
    <t>寒梅</t>
  </si>
  <si>
    <t>捣衣</t>
  </si>
  <si>
    <t>流影</t>
  </si>
  <si>
    <t>临渊蹈河</t>
  </si>
  <si>
    <t>上将军印</t>
  </si>
  <si>
    <t>风身</t>
  </si>
  <si>
    <t>疾电叱羽</t>
  </si>
  <si>
    <t>骋风</t>
  </si>
  <si>
    <t>定波砥澜</t>
  </si>
  <si>
    <t>遨宇</t>
  </si>
  <si>
    <t>斩无常</t>
  </si>
  <si>
    <t>天堑</t>
  </si>
  <si>
    <t>司命</t>
  </si>
  <si>
    <t>问吉</t>
  </si>
  <si>
    <t>龙马出河</t>
  </si>
  <si>
    <t>延年</t>
  </si>
  <si>
    <t>神占·水坎</t>
  </si>
  <si>
    <t>起卦</t>
  </si>
  <si>
    <t>神遁</t>
  </si>
  <si>
    <t>风遁</t>
  </si>
  <si>
    <t>返闭惊魂</t>
  </si>
  <si>
    <t>凝壁</t>
  </si>
  <si>
    <t>千枝绽蕊</t>
  </si>
  <si>
    <t>自馨</t>
  </si>
  <si>
    <t>龙葵</t>
  </si>
  <si>
    <t>流银</t>
  </si>
  <si>
    <t>凌然天风</t>
  </si>
  <si>
    <t>渡若</t>
  </si>
  <si>
    <t>势钧</t>
  </si>
  <si>
    <t>驰风八步</t>
  </si>
  <si>
    <t>游风飘踪</t>
  </si>
  <si>
    <t>识意</t>
  </si>
  <si>
    <t>与共</t>
  </si>
  <si>
    <t>畴野</t>
  </si>
  <si>
    <t>万花</t>
  </si>
  <si>
    <t>七秀</t>
  </si>
  <si>
    <t>龙门荒漠</t>
  </si>
  <si>
    <t>龙门飞剑_云龙三折</t>
  </si>
  <si>
    <t>龙门飞剑_轻灵踏燕</t>
  </si>
  <si>
    <t>龙门飞剑_惊鸿照影</t>
  </si>
  <si>
    <t>冲刺</t>
  </si>
  <si>
    <t>飞剑</t>
  </si>
  <si>
    <t>浩气盟</t>
  </si>
  <si>
    <t>恶人谷</t>
  </si>
  <si>
    <t>瞿塘峡</t>
  </si>
  <si>
    <t>七十级云湖天池</t>
  </si>
  <si>
    <t>唐门</t>
  </si>
  <si>
    <t>明教</t>
  </si>
  <si>
    <t>丐帮</t>
  </si>
  <si>
    <t>垂钓</t>
  </si>
  <si>
    <t>醉烟波_垂钓_BUFF</t>
  </si>
  <si>
    <t>醉烟波_收竿_BUFF</t>
  </si>
  <si>
    <t>长安城</t>
  </si>
  <si>
    <t>浮香丘</t>
  </si>
  <si>
    <t>五台山</t>
  </si>
  <si>
    <t>调息</t>
  </si>
  <si>
    <t>移速</t>
  </si>
  <si>
    <t>守卫佛像·佛像</t>
  </si>
  <si>
    <t>阴山大草原</t>
  </si>
  <si>
    <t>黑戈壁</t>
  </si>
  <si>
    <t>洛阳城</t>
  </si>
  <si>
    <t>霸刀山庄</t>
  </si>
  <si>
    <t>云梦幽泽</t>
  </si>
  <si>
    <t>龙泉府</t>
  </si>
  <si>
    <t>经首道源岛</t>
  </si>
  <si>
    <t>镜</t>
  </si>
  <si>
    <t>鲲鹏岛</t>
  </si>
  <si>
    <t>雪山温泉</t>
  </si>
  <si>
    <t>天原绝境</t>
  </si>
  <si>
    <t>晟江</t>
  </si>
  <si>
    <t>万灵山庄</t>
  </si>
  <si>
    <t>罗小黑建木海</t>
  </si>
  <si>
    <t>szLang = "zhcn",</t>
    <phoneticPr fontId="18" type="noConversion"/>
  </si>
  <si>
    <t>语言，默认可不修改</t>
    <phoneticPr fontId="18" type="noConversion"/>
  </si>
  <si>
    <t>导出时的玩家名称</t>
    <phoneticPr fontId="18" type="noConversion"/>
  </si>
  <si>
    <t>szAuthor = "角色名",</t>
    <phoneticPr fontId="18" type="noConversion"/>
  </si>
  <si>
    <t>时间戳</t>
    <phoneticPr fontId="18" type="noConversion"/>
  </si>
  <si>
    <t>导出时的服务器名称</t>
    <phoneticPr fontId="18" type="noConversion"/>
  </si>
  <si>
    <t>szServer = "服务器名",</t>
    <phoneticPr fontId="18" type="noConversion"/>
  </si>
  <si>
    <t>数据推荐官方语音包uuid</t>
    <phoneticPr fontId="18" type="noConversion"/>
  </si>
  <si>
    <t>数据推荐插件语音包uuid</t>
    <phoneticPr fontId="18" type="noConversion"/>
  </si>
  <si>
    <t>__meta = {</t>
    <phoneticPr fontId="18" type="noConversion"/>
  </si>
  <si>
    <t>},</t>
    <phoneticPr fontId="18" type="noConversion"/>
  </si>
  <si>
    <t>平静</t>
  </si>
  <si>
    <t>易容</t>
  </si>
  <si>
    <t>伪装</t>
  </si>
  <si>
    <t>骑御</t>
  </si>
  <si>
    <t>幽冥</t>
  </si>
  <si>
    <t>霹雳</t>
  </si>
  <si>
    <t>交通</t>
  </si>
  <si>
    <t>眩晕</t>
  </si>
  <si>
    <t>恐惧</t>
  </si>
  <si>
    <t>抢珠式</t>
  </si>
  <si>
    <t>玄一</t>
  </si>
  <si>
    <t>大道无术</t>
  </si>
  <si>
    <t>定身</t>
  </si>
  <si>
    <t>七星拱瑞</t>
  </si>
  <si>
    <t>八卦洞玄</t>
  </si>
  <si>
    <t>三才化生</t>
  </si>
  <si>
    <t>云景</t>
  </si>
  <si>
    <t>飞倾列缺</t>
  </si>
  <si>
    <t>大狮子吼</t>
  </si>
  <si>
    <t>剑飞惊天</t>
  </si>
  <si>
    <t>尘息</t>
  </si>
  <si>
    <t>厥阴指</t>
  </si>
  <si>
    <t>紫霞功</t>
  </si>
  <si>
    <t>商阳指</t>
  </si>
  <si>
    <t>钟林毓秀</t>
  </si>
  <si>
    <t>芙蓉并蒂</t>
  </si>
  <si>
    <t>锁足</t>
  </si>
  <si>
    <t>雷霆震怒</t>
  </si>
  <si>
    <t>帝骖龙翔</t>
  </si>
  <si>
    <t>剑心通明</t>
  </si>
  <si>
    <t>沉默</t>
  </si>
  <si>
    <t>毒</t>
  </si>
  <si>
    <t>兰摧玉折</t>
  </si>
  <si>
    <t>传功</t>
  </si>
  <si>
    <t>崩</t>
  </si>
  <si>
    <t>DEBUFF</t>
  </si>
  <si>
    <t>叠刃</t>
  </si>
  <si>
    <t>剧毒</t>
  </si>
  <si>
    <t>晕</t>
  </si>
  <si>
    <t>倒地</t>
  </si>
  <si>
    <t>太阴指</t>
  </si>
  <si>
    <t>洗髓经</t>
  </si>
  <si>
    <t>易筋经</t>
  </si>
  <si>
    <t>破势</t>
  </si>
  <si>
    <t>同归</t>
  </si>
  <si>
    <t>断魂刺</t>
  </si>
  <si>
    <t>如意</t>
  </si>
  <si>
    <t>涓埃</t>
  </si>
  <si>
    <t>醉月</t>
  </si>
  <si>
    <t>梦冧</t>
  </si>
  <si>
    <t>挖宝_寻宝CD控制</t>
  </si>
  <si>
    <t>松涛</t>
  </si>
  <si>
    <t>挖宝_挖宝玩家状态</t>
  </si>
  <si>
    <t>危楼</t>
  </si>
  <si>
    <t>摧城</t>
  </si>
  <si>
    <t>严寒</t>
  </si>
  <si>
    <t>阴</t>
  </si>
  <si>
    <t>五方行尽</t>
  </si>
  <si>
    <t>万剑归宗</t>
  </si>
  <si>
    <t>幻蛊</t>
  </si>
  <si>
    <t>蛊惑众生</t>
  </si>
  <si>
    <t>钓鱼</t>
  </si>
  <si>
    <t>蝎心迷心</t>
  </si>
  <si>
    <t>蟾啸迷心</t>
  </si>
  <si>
    <t>百足迷心</t>
  </si>
  <si>
    <t>蝎蛰</t>
  </si>
  <si>
    <t>丝牵</t>
  </si>
  <si>
    <t>破绽</t>
  </si>
  <si>
    <t>北斗</t>
  </si>
  <si>
    <t>凄切</t>
  </si>
  <si>
    <t>剑破虚空</t>
  </si>
  <si>
    <t>日影</t>
  </si>
  <si>
    <t>迷神钉</t>
  </si>
  <si>
    <t>穿心弩</t>
  </si>
  <si>
    <t>荆天棘地</t>
  </si>
  <si>
    <t>雷震子</t>
  </si>
  <si>
    <t>梅花针</t>
  </si>
  <si>
    <t>面纱</t>
  </si>
  <si>
    <t>禁疗</t>
  </si>
  <si>
    <t>锁定</t>
  </si>
  <si>
    <t>元旦活动_宝箱独占buff</t>
  </si>
  <si>
    <t>自在</t>
  </si>
  <si>
    <t>逐月</t>
  </si>
  <si>
    <t>日劫</t>
  </si>
  <si>
    <t>月劫</t>
  </si>
  <si>
    <t>怖畏暗刑</t>
  </si>
  <si>
    <t>慈悲</t>
  </si>
  <si>
    <t>残影</t>
  </si>
  <si>
    <t>冲撞</t>
  </si>
  <si>
    <t>僵直</t>
  </si>
  <si>
    <t>张岩召唤宠物CD</t>
  </si>
  <si>
    <t>慈悲愿</t>
  </si>
  <si>
    <t>定</t>
  </si>
  <si>
    <t>无明魂锁</t>
  </si>
  <si>
    <t>镇魔</t>
  </si>
  <si>
    <t>沈剑心</t>
  </si>
  <si>
    <t>龙门飞剑_4秒锁足</t>
  </si>
  <si>
    <t>影子</t>
  </si>
  <si>
    <t>兴奋</t>
  </si>
  <si>
    <t>跟随</t>
  </si>
  <si>
    <t>沃土</t>
  </si>
  <si>
    <t>极乐引</t>
  </si>
  <si>
    <t>重创</t>
  </si>
  <si>
    <t>虎啸</t>
  </si>
  <si>
    <t>逃兵</t>
  </si>
  <si>
    <t>弩击</t>
  </si>
  <si>
    <t>天绝地灭</t>
  </si>
  <si>
    <t>虎震</t>
  </si>
  <si>
    <t>活祭</t>
  </si>
  <si>
    <t>毒手</t>
  </si>
  <si>
    <t>幻光步</t>
  </si>
  <si>
    <t>极本溯源</t>
  </si>
  <si>
    <t>净世破魔击</t>
  </si>
  <si>
    <t>亢龙有悔</t>
  </si>
  <si>
    <t>安患</t>
  </si>
  <si>
    <t>醉逍遥</t>
  </si>
  <si>
    <t>传军情跟随npc控制</t>
  </si>
  <si>
    <t>血战天策</t>
  </si>
  <si>
    <t>呕吐表现</t>
  </si>
  <si>
    <t>易水</t>
  </si>
  <si>
    <t>标记</t>
  </si>
  <si>
    <t>逐星箭</t>
  </si>
  <si>
    <t>情</t>
  </si>
  <si>
    <t>痴</t>
  </si>
  <si>
    <t>据点大旗</t>
  </si>
  <si>
    <t>守卫据点</t>
  </si>
  <si>
    <t>神机雷</t>
  </si>
  <si>
    <t>宝箱</t>
  </si>
  <si>
    <t>落雁</t>
  </si>
  <si>
    <t>撼地</t>
  </si>
  <si>
    <t>横绝</t>
  </si>
  <si>
    <t>雷云</t>
  </si>
  <si>
    <t>速度·劲足</t>
  </si>
  <si>
    <t>盾猛</t>
  </si>
  <si>
    <t>气力·调息</t>
  </si>
  <si>
    <t>少年行</t>
  </si>
  <si>
    <t>茶馆奇缘_CD</t>
  </si>
  <si>
    <t>清音长啸</t>
  </si>
  <si>
    <t>江逐月天</t>
  </si>
  <si>
    <t>云生结海</t>
  </si>
  <si>
    <t>迴光</t>
  </si>
  <si>
    <t>井仪</t>
  </si>
  <si>
    <t>楚济</t>
  </si>
  <si>
    <t>片玉</t>
  </si>
  <si>
    <t>碎玉</t>
  </si>
  <si>
    <t>寒月耀</t>
  </si>
  <si>
    <t>盏萤</t>
  </si>
  <si>
    <t>蚀心蛊</t>
  </si>
  <si>
    <t>胜负局_间隔时间BUFF</t>
  </si>
  <si>
    <t>清茗经_记录_BUFF</t>
  </si>
  <si>
    <t>阴山大草原_篝火会_面纱CD</t>
  </si>
  <si>
    <t>扬旌沙场</t>
  </si>
  <si>
    <t>减疗</t>
  </si>
  <si>
    <t>背负</t>
  </si>
  <si>
    <t>石敢当奇遇日常buff</t>
  </si>
  <si>
    <t>石敢当QTE_Buff1</t>
  </si>
  <si>
    <t>石敢当QTE_Buff2</t>
  </si>
  <si>
    <t>石敢当QTE_Buff3</t>
  </si>
  <si>
    <t>石敢当QTE_Buff4</t>
  </si>
  <si>
    <t>千岛湖QTE触发CDbuff</t>
  </si>
  <si>
    <t>秀明尘身</t>
  </si>
  <si>
    <t>无名</t>
  </si>
  <si>
    <t>踏宴扬旗</t>
  </si>
  <si>
    <t>割据秦宫</t>
  </si>
  <si>
    <t>风切</t>
  </si>
  <si>
    <t>吞楚</t>
  </si>
  <si>
    <t>背负苍云伤兵</t>
  </si>
  <si>
    <t>擒龙</t>
  </si>
  <si>
    <t>稚子心_标记_buff</t>
  </si>
  <si>
    <t>方士_念红尘</t>
  </si>
  <si>
    <t>裁骨</t>
  </si>
  <si>
    <t>缘灭</t>
  </si>
  <si>
    <t>雇主被击杀</t>
  </si>
  <si>
    <t>内满·贰</t>
  </si>
  <si>
    <t>凝华</t>
  </si>
  <si>
    <t>东海客_隔日CD</t>
  </si>
  <si>
    <t>北行镖_隔天CD</t>
  </si>
  <si>
    <t>霞流</t>
  </si>
  <si>
    <t>锋芒展_伙计对话</t>
  </si>
  <si>
    <t>定身封内</t>
  </si>
  <si>
    <t>啸影</t>
  </si>
  <si>
    <t>图兰的挑唆</t>
  </si>
  <si>
    <t>戎马边_定时_BUFF</t>
  </si>
  <si>
    <t>呛烟</t>
  </si>
  <si>
    <t>雪雪乘船CD</t>
  </si>
  <si>
    <t>禁足</t>
  </si>
  <si>
    <t>乘龙</t>
  </si>
  <si>
    <t>平湖断月</t>
  </si>
  <si>
    <t>辟寒</t>
  </si>
  <si>
    <t>秘宝图_计时_BUFF</t>
  </si>
  <si>
    <t>无涯</t>
  </si>
  <si>
    <t>翔极碧落</t>
  </si>
  <si>
    <t>跃潮</t>
  </si>
  <si>
    <t>成就排名申请CD</t>
  </si>
  <si>
    <t>霜天剑泠</t>
  </si>
  <si>
    <t>羽化</t>
  </si>
  <si>
    <t>曦凰的挑唆</t>
  </si>
  <si>
    <t>静静_CD_BUFF</t>
  </si>
  <si>
    <t>链接</t>
  </si>
  <si>
    <t>骤雨寒江</t>
  </si>
  <si>
    <t>嵬崖</t>
  </si>
  <si>
    <t>狂躁不安</t>
  </si>
  <si>
    <t>乱天狼</t>
  </si>
  <si>
    <t>长绝</t>
  </si>
  <si>
    <t>燕歌</t>
  </si>
  <si>
    <t>横云意</t>
  </si>
  <si>
    <t>别鹤</t>
  </si>
  <si>
    <t>非梵</t>
  </si>
  <si>
    <t>兵戈</t>
  </si>
  <si>
    <t>静寂之美</t>
  </si>
  <si>
    <t>畏缩不前</t>
  </si>
  <si>
    <t>无忧无虑</t>
  </si>
  <si>
    <t>神采飞扬</t>
  </si>
  <si>
    <t>元旦活动_拾取限制</t>
  </si>
  <si>
    <t>元旦活动_特殊金蛋产出</t>
  </si>
  <si>
    <t>偷菜次数限制</t>
  </si>
  <si>
    <t>白日梦</t>
  </si>
  <si>
    <t>千回百转（虚弱）</t>
  </si>
  <si>
    <t>管家技能_当前交互管家ID</t>
  </si>
  <si>
    <t>义结金兰QTE跪</t>
  </si>
  <si>
    <t>义结金兰QTE说</t>
  </si>
  <si>
    <t>义结金兰QTE站</t>
  </si>
  <si>
    <t>义结金兰QTE喝</t>
  </si>
  <si>
    <t>机关</t>
  </si>
  <si>
    <t>拔刀相助QTE呔</t>
  </si>
  <si>
    <t>拔刀相助QTE说</t>
  </si>
  <si>
    <t>拔刀相助QTE崩</t>
  </si>
  <si>
    <t>拔刀相助QTE溜</t>
  </si>
  <si>
    <t>者</t>
  </si>
  <si>
    <t>踏星行</t>
  </si>
  <si>
    <t>祝由·火离</t>
  </si>
  <si>
    <t>鸿蒙天禁</t>
  </si>
  <si>
    <t>灌顶</t>
  </si>
  <si>
    <t>乘墨由心</t>
  </si>
  <si>
    <t>洛川神韵</t>
  </si>
  <si>
    <t>龙蛇</t>
  </si>
  <si>
    <t>凌云剑</t>
  </si>
  <si>
    <t>绰态</t>
  </si>
  <si>
    <t>月出东山</t>
  </si>
  <si>
    <t>皆</t>
  </si>
  <si>
    <t>休囚</t>
  </si>
  <si>
    <t>流火连星</t>
  </si>
  <si>
    <t>诡面埋伏</t>
  </si>
  <si>
    <t>阵营日常_拾取CD1</t>
  </si>
  <si>
    <t>仇非</t>
  </si>
  <si>
    <t>剑·商</t>
  </si>
  <si>
    <t>游太清</t>
  </si>
  <si>
    <t>鬼星开穴</t>
  </si>
  <si>
    <t>奇门飞宫</t>
  </si>
  <si>
    <t>增卜</t>
  </si>
  <si>
    <t>乌蒙贵的挑唆</t>
  </si>
  <si>
    <t>丹青记_拿樱桃CD</t>
  </si>
  <si>
    <t>守卫</t>
  </si>
  <si>
    <t>惊鸿掠水</t>
  </si>
  <si>
    <t>逆乱</t>
  </si>
  <si>
    <t>且待时休</t>
  </si>
  <si>
    <t>枯木苏息</t>
  </si>
  <si>
    <t>紫叶沉疴</t>
  </si>
  <si>
    <t>鳞粉</t>
  </si>
  <si>
    <t>伪·九霄风雷</t>
  </si>
  <si>
    <t>自苦</t>
  </si>
  <si>
    <t>沾衣未妨</t>
  </si>
  <si>
    <t>荡襟</t>
  </si>
  <si>
    <t>坠凌花</t>
  </si>
  <si>
    <t>坠凌花·结</t>
  </si>
  <si>
    <t>立眩</t>
  </si>
  <si>
    <t>迷雾</t>
  </si>
  <si>
    <t>并蒂夺株·寒</t>
  </si>
  <si>
    <t>并蒂夺株·温</t>
  </si>
  <si>
    <t>守拙</t>
  </si>
  <si>
    <t>神占·山艮</t>
  </si>
  <si>
    <t>深寒剑气</t>
  </si>
  <si>
    <t>敛意</t>
  </si>
  <si>
    <t>当归四逆</t>
  </si>
  <si>
    <t>青鸾剑气</t>
  </si>
  <si>
    <t>枭影·引爆</t>
  </si>
  <si>
    <t>童蒙志_小剧场_BUFF</t>
  </si>
  <si>
    <t>灵荆</t>
  </si>
  <si>
    <t>篾片蛊</t>
  </si>
  <si>
    <t>流火</t>
  </si>
  <si>
    <t>凌云梯_切磋3天Buff</t>
  </si>
  <si>
    <t>荆障</t>
  </si>
  <si>
    <t>伪传·玄水蛊</t>
  </si>
  <si>
    <t>伪传·鸿蒙天禁</t>
  </si>
  <si>
    <t>剑出鸿蒙</t>
  </si>
  <si>
    <t>忘攸蛊·束骨</t>
  </si>
  <si>
    <t>霜疾</t>
  </si>
  <si>
    <t>凝形逐踪</t>
  </si>
  <si>
    <t>湛存</t>
  </si>
  <si>
    <t>对酌</t>
  </si>
  <si>
    <t>好感度任务_唐小珂0_6进行中标记</t>
  </si>
  <si>
    <t>助战指令_跟随</t>
  </si>
  <si>
    <t>助战指令_停留</t>
  </si>
  <si>
    <t>凝云势</t>
  </si>
  <si>
    <t>伪传·绛唇珠袖</t>
  </si>
  <si>
    <t>伪传·幻蛊</t>
  </si>
  <si>
    <t>洗兵雨</t>
  </si>
  <si>
    <t>伪传·傍花随柳</t>
  </si>
  <si>
    <t>斗转</t>
  </si>
  <si>
    <t>游风飘踪·眩晕</t>
  </si>
  <si>
    <t>游风飘踪·定身</t>
  </si>
  <si>
    <t>袭伐</t>
  </si>
  <si>
    <t>遏云势</t>
  </si>
  <si>
    <t>驰心</t>
  </si>
  <si>
    <t>辞霈</t>
  </si>
  <si>
    <t>江海凝波</t>
  </si>
  <si>
    <t>凝波</t>
  </si>
  <si>
    <t>霜月</t>
  </si>
  <si>
    <t>血誓</t>
  </si>
  <si>
    <t>锋寒</t>
  </si>
  <si>
    <t>寂灭蛊</t>
  </si>
  <si>
    <t>余声</t>
  </si>
  <si>
    <t>拘形</t>
  </si>
  <si>
    <t>芳尘</t>
  </si>
  <si>
    <t>渊冰</t>
  </si>
  <si>
    <t>灼痕</t>
  </si>
  <si>
    <t>威刑</t>
  </si>
  <si>
    <t>罚罪狱</t>
  </si>
  <si>
    <t>断诛邪见</t>
  </si>
  <si>
    <t>泽风同承</t>
  </si>
  <si>
    <t>身无分文</t>
  </si>
  <si>
    <t>飞镖</t>
  </si>
  <si>
    <t>急躁</t>
  </si>
  <si>
    <t>拍卖分红·周一</t>
  </si>
  <si>
    <t>拍卖分红·周三</t>
  </si>
  <si>
    <t>拍卖分红·周五</t>
  </si>
  <si>
    <t>挑飞</t>
  </si>
  <si>
    <t>泽靡</t>
  </si>
  <si>
    <t>引泽</t>
  </si>
  <si>
    <t>剑入</t>
  </si>
  <si>
    <t>浴血沁骨</t>
  </si>
  <si>
    <t>荧惑守心</t>
  </si>
  <si>
    <t>怀泽蛊</t>
  </si>
  <si>
    <t>少林打坐帮战debuff</t>
  </si>
  <si>
    <t>乱红鸾_QTE按键1</t>
  </si>
  <si>
    <t>乱红鸾_QTE按键2</t>
  </si>
  <si>
    <t>栖灵洞天</t>
  </si>
  <si>
    <t>合神</t>
  </si>
  <si>
    <t>空弦惊雁·减速</t>
  </si>
  <si>
    <t>空弦惊雁·锁足</t>
  </si>
  <si>
    <t>空弦惊雁·定身</t>
  </si>
  <si>
    <t>空弦惊雁·眩晕</t>
  </si>
  <si>
    <t>焦沃</t>
  </si>
  <si>
    <t>汇灵合契</t>
  </si>
  <si>
    <t>尘劫</t>
  </si>
  <si>
    <t>剑道万象</t>
  </si>
  <si>
    <t>pet_Type</t>
    <phoneticPr fontId="18" type="noConversion"/>
  </si>
  <si>
    <t>Source</t>
    <phoneticPr fontId="18" type="noConversion"/>
  </si>
  <si>
    <t>出行饲料</t>
    <phoneticPr fontId="18" type="noConversion"/>
  </si>
  <si>
    <t>宠物对应饲料</t>
    <phoneticPr fontId="18" type="noConversion"/>
  </si>
  <si>
    <t>宠物类型</t>
    <phoneticPr fontId="18" type="noConversion"/>
  </si>
  <si>
    <t>服务器</t>
    <phoneticPr fontId="18" type="noConversion"/>
  </si>
  <si>
    <t>鱼虾类</t>
    <phoneticPr fontId="18" type="noConversion"/>
  </si>
  <si>
    <t>小鱼虾</t>
    <phoneticPr fontId="18" type="noConversion"/>
  </si>
  <si>
    <t>禽鸟</t>
    <phoneticPr fontId="18" type="noConversion"/>
  </si>
  <si>
    <t>杂粮谷物</t>
  </si>
  <si>
    <t>猪</t>
    <phoneticPr fontId="18" type="noConversion"/>
  </si>
  <si>
    <t>家畜</t>
    <phoneticPr fontId="18" type="noConversion"/>
  </si>
  <si>
    <t>绝代天骄</t>
    <phoneticPr fontId="18" type="noConversion"/>
  </si>
  <si>
    <t>电信八区</t>
    <phoneticPr fontId="18" type="noConversion"/>
  </si>
  <si>
    <t>水族</t>
  </si>
  <si>
    <t>锦绣霓裳活动</t>
    <phoneticPr fontId="18" type="noConversion"/>
  </si>
  <si>
    <t>谷物类</t>
    <phoneticPr fontId="18" type="noConversion"/>
  </si>
  <si>
    <t>羊</t>
    <phoneticPr fontId="18" type="noConversion"/>
  </si>
  <si>
    <t>稻香村</t>
  </si>
  <si>
    <t>斗转星移</t>
    <phoneticPr fontId="18" type="noConversion"/>
  </si>
  <si>
    <t>电信五区</t>
    <phoneticPr fontId="18" type="noConversion"/>
  </si>
  <si>
    <t>大师赛竞猜</t>
    <phoneticPr fontId="18" type="noConversion"/>
  </si>
  <si>
    <t>肉类</t>
    <phoneticPr fontId="18" type="noConversion"/>
  </si>
  <si>
    <t>封家小块肉排</t>
  </si>
  <si>
    <t>皇竹草</t>
    <phoneticPr fontId="18" type="noConversion"/>
  </si>
  <si>
    <t>马</t>
    <phoneticPr fontId="18" type="noConversion"/>
  </si>
  <si>
    <t>唯我独尊</t>
    <phoneticPr fontId="18" type="noConversion"/>
  </si>
  <si>
    <t>走兽</t>
    <phoneticPr fontId="18" type="noConversion"/>
  </si>
  <si>
    <t>积分福袋</t>
    <phoneticPr fontId="18" type="noConversion"/>
  </si>
  <si>
    <t>机关组装零件</t>
    <phoneticPr fontId="18" type="noConversion"/>
  </si>
  <si>
    <t>猫科</t>
    <phoneticPr fontId="18" type="noConversion"/>
  </si>
  <si>
    <t>1024_蓝天白云</t>
  </si>
  <si>
    <t>乾坤一掷</t>
    <phoneticPr fontId="18" type="noConversion"/>
  </si>
  <si>
    <t>机关</t>
    <phoneticPr fontId="18" type="noConversion"/>
  </si>
  <si>
    <t>未知</t>
    <phoneticPr fontId="18" type="noConversion"/>
  </si>
  <si>
    <t>啮齿类</t>
    <phoneticPr fontId="18" type="noConversion"/>
  </si>
  <si>
    <t>磨牙棒</t>
  </si>
  <si>
    <t>犬科</t>
    <phoneticPr fontId="18" type="noConversion"/>
  </si>
  <si>
    <t>少林</t>
  </si>
  <si>
    <t>横刀断浪</t>
    <phoneticPr fontId="18" type="noConversion"/>
  </si>
  <si>
    <t>世界奇遇</t>
    <phoneticPr fontId="18" type="noConversion"/>
  </si>
  <si>
    <t>异宠类</t>
    <phoneticPr fontId="18" type="noConversion"/>
  </si>
  <si>
    <t>草饼</t>
  </si>
  <si>
    <t>啮齿</t>
    <phoneticPr fontId="18" type="noConversion"/>
  </si>
  <si>
    <t>扬州</t>
  </si>
  <si>
    <t>剑胆琴心</t>
    <phoneticPr fontId="18" type="noConversion"/>
  </si>
  <si>
    <t>积分回馈</t>
    <phoneticPr fontId="18" type="noConversion"/>
  </si>
  <si>
    <t>草料类</t>
    <phoneticPr fontId="18" type="noConversion"/>
  </si>
  <si>
    <t>纯阳</t>
  </si>
  <si>
    <t>幽月轮</t>
    <phoneticPr fontId="18" type="noConversion"/>
  </si>
  <si>
    <t>秘境奇遇</t>
    <phoneticPr fontId="18" type="noConversion"/>
  </si>
  <si>
    <t>异宠</t>
    <phoneticPr fontId="18" type="noConversion"/>
  </si>
  <si>
    <t>洛阳</t>
  </si>
  <si>
    <t>梦江南</t>
    <phoneticPr fontId="18" type="noConversion"/>
  </si>
  <si>
    <t>门派特有</t>
    <phoneticPr fontId="18" type="noConversion"/>
  </si>
  <si>
    <t>任何</t>
    <phoneticPr fontId="18" type="noConversion"/>
  </si>
  <si>
    <t>蜀黍</t>
    <phoneticPr fontId="18" type="noConversion"/>
  </si>
  <si>
    <t>洛道</t>
  </si>
  <si>
    <t>执子之手</t>
    <phoneticPr fontId="18" type="noConversion"/>
  </si>
  <si>
    <t>游戏活动</t>
    <phoneticPr fontId="18" type="noConversion"/>
  </si>
  <si>
    <t>寇岛</t>
  </si>
  <si>
    <t>飞龙在天</t>
    <phoneticPr fontId="18" type="noConversion"/>
  </si>
  <si>
    <t>双线二区</t>
    <phoneticPr fontId="18" type="noConversion"/>
  </si>
  <si>
    <t>限时宠物</t>
    <phoneticPr fontId="18" type="noConversion"/>
  </si>
  <si>
    <t>天策</t>
  </si>
  <si>
    <t>破阵子</t>
    <phoneticPr fontId="18" type="noConversion"/>
  </si>
  <si>
    <t>双线一区</t>
    <phoneticPr fontId="18" type="noConversion"/>
  </si>
  <si>
    <t>运营活动</t>
    <phoneticPr fontId="18" type="noConversion"/>
  </si>
  <si>
    <t>枫华谷</t>
  </si>
  <si>
    <t>天鹅坪</t>
    <phoneticPr fontId="18" type="noConversion"/>
  </si>
  <si>
    <t>金水镇</t>
  </si>
  <si>
    <t>长安城</t>
    <phoneticPr fontId="18" type="noConversion"/>
  </si>
  <si>
    <t>电信一区</t>
    <phoneticPr fontId="18" type="noConversion"/>
  </si>
  <si>
    <t>灵霄峡</t>
  </si>
  <si>
    <t>蝶恋花</t>
    <phoneticPr fontId="18" type="noConversion"/>
  </si>
  <si>
    <t>长安</t>
  </si>
  <si>
    <t>龙争虎斗</t>
    <phoneticPr fontId="18" type="noConversion"/>
  </si>
  <si>
    <t>青梅煮酒</t>
    <phoneticPr fontId="18" type="noConversion"/>
  </si>
  <si>
    <t>双线四区</t>
    <phoneticPr fontId="18" type="noConversion"/>
  </si>
  <si>
    <t>天工坊</t>
  </si>
  <si>
    <t>奉天证道</t>
    <phoneticPr fontId="18" type="noConversion"/>
  </si>
  <si>
    <t>无盐岛</t>
  </si>
  <si>
    <t>空雾峰</t>
  </si>
  <si>
    <t>天地三才阵</t>
  </si>
  <si>
    <t>巴陵县</t>
  </si>
  <si>
    <t>南屏山</t>
  </si>
  <si>
    <t>荻花宫前山</t>
  </si>
  <si>
    <t>日轮山城</t>
  </si>
  <si>
    <t>五十级云湖天池</t>
  </si>
  <si>
    <t>昆仑</t>
  </si>
  <si>
    <t>特殊光照地图2</t>
  </si>
  <si>
    <t>战宝迦兰</t>
  </si>
  <si>
    <t>天子峰</t>
  </si>
  <si>
    <t>风雨稻香村</t>
  </si>
  <si>
    <t>英雄天地三才阵</t>
  </si>
  <si>
    <t>英雄天工坊</t>
  </si>
  <si>
    <t>神农洇</t>
  </si>
  <si>
    <t>四十级云湖天池</t>
  </si>
  <si>
    <t>英雄荻花宫前山</t>
  </si>
  <si>
    <t>英雄无盐岛</t>
  </si>
  <si>
    <t>英雄天子峰</t>
  </si>
  <si>
    <t>英雄空雾峰</t>
  </si>
  <si>
    <t>英雄日轮山城</t>
  </si>
  <si>
    <t>英雄灵霄峡</t>
  </si>
  <si>
    <t>英雄战宝迦兰</t>
  </si>
  <si>
    <t>英雄风雨稻香村</t>
  </si>
  <si>
    <t>珍珑棋谷</t>
  </si>
  <si>
    <t>藏剑山庄</t>
  </si>
  <si>
    <t>丝绸之路</t>
  </si>
  <si>
    <t>剑冢</t>
  </si>
  <si>
    <t>邀星坪_夜射天狼</t>
  </si>
  <si>
    <t>守株围场_打猎</t>
  </si>
  <si>
    <t>困龙岭_梅花桩</t>
  </si>
  <si>
    <t>陷空坳_宇文宝藏</t>
  </si>
  <si>
    <t>百草园</t>
  </si>
  <si>
    <t>持国天王殿</t>
  </si>
  <si>
    <t>宫中神武遗迹</t>
  </si>
  <si>
    <t>英雄剑冢</t>
  </si>
  <si>
    <t>英雄宫中神武遗迹</t>
  </si>
  <si>
    <t>25人普通宫中神武遗迹</t>
  </si>
  <si>
    <t>25人普通持国天王殿</t>
  </si>
  <si>
    <t>英雄持国天王殿</t>
  </si>
  <si>
    <t>荻花宫后山</t>
  </si>
  <si>
    <t>荻花圣殿</t>
  </si>
  <si>
    <t>10人英雄荻花圣殿</t>
  </si>
  <si>
    <t>25人普通荻花圣殿</t>
  </si>
  <si>
    <t>仙踪林</t>
  </si>
  <si>
    <t>25人英雄荻花圣殿</t>
  </si>
  <si>
    <t>英雄荻花宫后山</t>
  </si>
  <si>
    <t>帮会领地</t>
  </si>
  <si>
    <t>毒神殿</t>
  </si>
  <si>
    <t>白龙口</t>
  </si>
  <si>
    <t>无量山</t>
  </si>
  <si>
    <t>五毒</t>
  </si>
  <si>
    <t>融天岭</t>
  </si>
  <si>
    <t>黑龙沼</t>
  </si>
  <si>
    <t>苍山洱海</t>
  </si>
  <si>
    <t>法王窟</t>
  </si>
  <si>
    <t>无量宫</t>
  </si>
  <si>
    <t>成都</t>
  </si>
  <si>
    <t>龙渊泽</t>
  </si>
  <si>
    <t>寂灭厅</t>
  </si>
  <si>
    <t>英雄仙踪林</t>
  </si>
  <si>
    <t>英雄毒神殿</t>
  </si>
  <si>
    <t>英雄寂灭厅</t>
  </si>
  <si>
    <t>英雄无量宫</t>
  </si>
  <si>
    <t>英雄法王窟</t>
  </si>
  <si>
    <t>低级仙踪林</t>
  </si>
  <si>
    <t>25人英雄龙渊泽</t>
  </si>
  <si>
    <t>25人普通龙渊泽</t>
  </si>
  <si>
    <t>10人英雄龙渊泽</t>
  </si>
  <si>
    <t>荻花洞窟</t>
  </si>
  <si>
    <t>英雄神农洇</t>
  </si>
  <si>
    <t>低级唐门密室</t>
  </si>
  <si>
    <t>唐门密室</t>
  </si>
  <si>
    <t>神剑冢</t>
  </si>
  <si>
    <t>天山碎冰谷</t>
  </si>
  <si>
    <t>乐山大佛窟</t>
  </si>
  <si>
    <t>华山之巅</t>
  </si>
  <si>
    <t>英雄荻花洞窟</t>
  </si>
  <si>
    <t>持国天王回忆录</t>
  </si>
  <si>
    <t>25人英雄烛龙殿</t>
  </si>
  <si>
    <t>烛龙殿</t>
  </si>
  <si>
    <t>三国古战场</t>
  </si>
  <si>
    <t>会战唐门</t>
  </si>
  <si>
    <t>大漠楼兰</t>
  </si>
  <si>
    <t>25人英雄会战唐门</t>
  </si>
  <si>
    <t>枫华谷·战乱</t>
  </si>
  <si>
    <t>南诏皇宫</t>
  </si>
  <si>
    <t>光明顶秘道</t>
  </si>
  <si>
    <t>低级光明顶秘道</t>
  </si>
  <si>
    <t>试炼之地</t>
  </si>
  <si>
    <t>英雄持国回忆录</t>
  </si>
  <si>
    <t>雪原争锋</t>
  </si>
  <si>
    <t>洛阳·战乱</t>
  </si>
  <si>
    <t>大唐监狱</t>
  </si>
  <si>
    <t>马嵬驿</t>
  </si>
  <si>
    <t>英雄南诏皇宫</t>
  </si>
  <si>
    <t>长安·战乱</t>
  </si>
  <si>
    <t>英雄一线天</t>
  </si>
  <si>
    <t>天策·战乱</t>
  </si>
  <si>
    <t>战宝军械库</t>
  </si>
  <si>
    <t>华清宫</t>
  </si>
  <si>
    <t>英雄华清宫</t>
  </si>
  <si>
    <t>华清宫回忆录</t>
  </si>
  <si>
    <t>大明宫</t>
  </si>
  <si>
    <t>英雄大明宫</t>
  </si>
  <si>
    <t>一线天</t>
  </si>
  <si>
    <t>流离岛</t>
  </si>
  <si>
    <t>英雄流离岛</t>
  </si>
  <si>
    <t>英雄战宝军械库</t>
  </si>
  <si>
    <t>齐物阁</t>
  </si>
  <si>
    <t>迷仙引</t>
  </si>
  <si>
    <t>英雄血战天策</t>
  </si>
  <si>
    <t>风雪稻香村</t>
  </si>
  <si>
    <t>英雄风雪稻香村</t>
  </si>
  <si>
    <t>直城门</t>
  </si>
  <si>
    <t>狼影殿</t>
  </si>
  <si>
    <t>秦皇陵</t>
  </si>
  <si>
    <t>英雄秦皇陵</t>
  </si>
  <si>
    <t>墨家秘殿</t>
  </si>
  <si>
    <t>春明门</t>
  </si>
  <si>
    <t>藏宝洞·野人谷</t>
  </si>
  <si>
    <t>藏宝洞·夜狼山</t>
  </si>
  <si>
    <t>太原之战·夜守孤城</t>
  </si>
  <si>
    <t>太原之战·逐虎驱狼</t>
  </si>
  <si>
    <t>苍云</t>
  </si>
  <si>
    <t>太原</t>
  </si>
  <si>
    <t>雁门关之役</t>
  </si>
  <si>
    <t>普通雁门关之役</t>
  </si>
  <si>
    <t>英雄太原之战·夜守孤城</t>
  </si>
  <si>
    <t>英雄太原之战·逐虎驱狼</t>
  </si>
  <si>
    <t>璨翠海厅</t>
  </si>
  <si>
    <t>天泣林</t>
  </si>
  <si>
    <t>阴山圣泉</t>
  </si>
  <si>
    <t>挑战太原之战·夜守孤城</t>
  </si>
  <si>
    <t>挑战太原之战·逐虎驱狼</t>
  </si>
  <si>
    <t>梵空禅院</t>
  </si>
  <si>
    <t>10人挑战太原之战·夜守孤城</t>
  </si>
  <si>
    <t>10人挑战太原之战·逐虎驱狼</t>
  </si>
  <si>
    <t>长歌门</t>
  </si>
  <si>
    <t>千岛湖</t>
  </si>
  <si>
    <t>引仙水榭</t>
  </si>
  <si>
    <t>微山书院</t>
  </si>
  <si>
    <t>永王行宫_仙侣庭园</t>
  </si>
  <si>
    <t>永王行宫_花月别院</t>
  </si>
  <si>
    <t>挑战璨翠海厅</t>
  </si>
  <si>
    <t>英雄天泣林</t>
  </si>
  <si>
    <t>英雄微山书院</t>
  </si>
  <si>
    <t>英雄阴山圣泉</t>
  </si>
  <si>
    <t>英雄梵空禅院</t>
  </si>
  <si>
    <t>英雄引仙水榭</t>
  </si>
  <si>
    <t>英雄永王行宫_花月别院</t>
  </si>
  <si>
    <t>英雄永王行宫_仙侣庭园</t>
  </si>
  <si>
    <t>试炼永王行宫_仙侣庭园</t>
  </si>
  <si>
    <t>试炼永王行宫_花月别院</t>
  </si>
  <si>
    <t>10人挑战永王行宫_仙侣庭园</t>
  </si>
  <si>
    <t>10人挑战永王行宫_花月别院</t>
  </si>
  <si>
    <t>25人挑战永王行宫_仙侣庭园</t>
  </si>
  <si>
    <t>25人挑战永王行宫_花月别院</t>
  </si>
  <si>
    <t>青竹书院</t>
  </si>
  <si>
    <t>上阳宫_观风殿</t>
  </si>
  <si>
    <t>上阳宫_双曜亭</t>
  </si>
  <si>
    <t>白帝水宫</t>
  </si>
  <si>
    <t>挑战白帝水宫</t>
  </si>
  <si>
    <t>大梦迷境</t>
  </si>
  <si>
    <t>星海幻景</t>
  </si>
  <si>
    <t>梦回稻香</t>
  </si>
  <si>
    <t>英雄上阳宫_观风殿</t>
  </si>
  <si>
    <t>英雄上阳宫_双曜亭</t>
  </si>
  <si>
    <t>试炼上阳宫_观风殿</t>
  </si>
  <si>
    <t>试炼上阳宫_双曜亭</t>
  </si>
  <si>
    <t>夕颜阁</t>
  </si>
  <si>
    <t>英雄夕颜阁</t>
  </si>
  <si>
    <t>素月清秋</t>
  </si>
  <si>
    <t>竞技大师_华山之巅</t>
  </si>
  <si>
    <t>挑战夕颜阁</t>
  </si>
  <si>
    <t>天街灯市</t>
  </si>
  <si>
    <t>刀轮海厅</t>
  </si>
  <si>
    <t>风雷刀谷_锻刀厅</t>
  </si>
  <si>
    <t>风雷刀谷_千雷殿</t>
  </si>
  <si>
    <t>天街灯市·春节·福</t>
  </si>
  <si>
    <t>天街灯市·春节·禄</t>
  </si>
  <si>
    <t>天街灯市·春节·寿</t>
  </si>
  <si>
    <t>天街灯市·春节·祥</t>
  </si>
  <si>
    <t>天街灯市·春节·禧</t>
  </si>
  <si>
    <t>英雄风雷刀谷_千雷殿</t>
  </si>
  <si>
    <t>英雄风雷刀谷_锻刀厅</t>
  </si>
  <si>
    <t>帮会风雷刀谷_千雷殿</t>
  </si>
  <si>
    <t>帮会风雷刀谷_锻刀厅</t>
  </si>
  <si>
    <t>挑战刀轮海厅</t>
  </si>
  <si>
    <t>拭剑园</t>
  </si>
  <si>
    <t>拭剑台</t>
  </si>
  <si>
    <t>狼牙堡_战兽山</t>
    <phoneticPr fontId="18" type="noConversion"/>
  </si>
  <si>
    <t>狼牙堡_燕然峰</t>
  </si>
  <si>
    <t>银雾湖</t>
  </si>
  <si>
    <t>英雄狼牙堡_战兽山</t>
  </si>
  <si>
    <t>英雄狼牙堡_燕然峰</t>
  </si>
  <si>
    <t>帮会狼牙堡_战兽山</t>
  </si>
  <si>
    <t>帮会狼牙堡_燕然峰</t>
  </si>
  <si>
    <t>挑战银雾湖</t>
  </si>
  <si>
    <t>稻香秘事</t>
  </si>
  <si>
    <t>英雄稻香秘事</t>
  </si>
  <si>
    <t>拭剑园战场</t>
  </si>
  <si>
    <t>1024_商城默认</t>
  </si>
  <si>
    <t>挑战稻香秘事</t>
  </si>
  <si>
    <t>龙门绝境</t>
  </si>
  <si>
    <t>龙门绝境·夜</t>
  </si>
  <si>
    <t>狼牙堡·辉天堑</t>
  </si>
  <si>
    <t>狼牙堡_狼神殿</t>
  </si>
  <si>
    <t>英雄狼牙堡·辉天堑</t>
  </si>
  <si>
    <t>英雄狼牙堡·狼神殿</t>
  </si>
  <si>
    <t>历战_空雾峰</t>
  </si>
  <si>
    <t>历战_天子峰</t>
  </si>
  <si>
    <t>历战_寂灭厅</t>
  </si>
  <si>
    <t>历战_毒神殿</t>
  </si>
  <si>
    <t>历战_荻花圣殿</t>
  </si>
  <si>
    <t>历战_风雷刀谷</t>
  </si>
  <si>
    <t>历战_风雨稻香村</t>
  </si>
  <si>
    <t>历战_灵霄峡</t>
  </si>
  <si>
    <t>历战_南诏皇宫</t>
  </si>
  <si>
    <t>历战_日轮山城</t>
  </si>
  <si>
    <t>历战_天地三才阵</t>
  </si>
  <si>
    <t>历战_无盐岛</t>
  </si>
  <si>
    <t>历战_英雄风雨稻香村</t>
  </si>
  <si>
    <t>历战_荻花洞窟</t>
  </si>
  <si>
    <t>历战_烛龙殿</t>
  </si>
  <si>
    <t>历战_持国天王殿</t>
  </si>
  <si>
    <t>思过园</t>
  </si>
  <si>
    <t>李渡鬼域</t>
  </si>
  <si>
    <t>帮会狼牙堡_辉天堑</t>
  </si>
  <si>
    <t>帮会狼牙堡_狼神殿</t>
  </si>
  <si>
    <t>洞天福地岛</t>
  </si>
  <si>
    <t>九寨沟</t>
  </si>
  <si>
    <t>侠客岛</t>
  </si>
  <si>
    <t>蓬莱</t>
  </si>
  <si>
    <t>泥兰洞天</t>
  </si>
  <si>
    <t>1024_昼夜循环</t>
  </si>
  <si>
    <t>大衍盘丝洞</t>
  </si>
  <si>
    <t>镜泊湖</t>
  </si>
  <si>
    <t>冰火岛·荒血路</t>
  </si>
  <si>
    <t>九辩馆</t>
  </si>
  <si>
    <t>英雄迷渊岛</t>
  </si>
  <si>
    <t>浮丘岛</t>
  </si>
  <si>
    <t>冰火岛·青莲狱</t>
  </si>
  <si>
    <t>英雄冰火岛·青莲狱</t>
  </si>
  <si>
    <t>挑战冰火岛·青莲狱</t>
  </si>
  <si>
    <t>试炼冰火岛·青莲狱</t>
  </si>
  <si>
    <t>英雄冰火岛·荒血路</t>
  </si>
  <si>
    <t>英雄大衍盘丝洞</t>
  </si>
  <si>
    <t>英雄泥兰洞天</t>
  </si>
  <si>
    <t>英雄镜泊湖</t>
  </si>
  <si>
    <t>迷渊岛</t>
  </si>
  <si>
    <t>英雄九辩馆</t>
  </si>
  <si>
    <t>挑战冰火岛·荒血路</t>
  </si>
  <si>
    <t>试炼冰火岛·荒血路</t>
  </si>
  <si>
    <t>墟海之眼</t>
  </si>
  <si>
    <t>尘归海·巨冥湾</t>
  </si>
  <si>
    <t>英雄尘归海·巨冥湾</t>
  </si>
  <si>
    <t>挑战尘归海·巨冥湾</t>
  </si>
  <si>
    <t>尘归海·饕餮洞</t>
  </si>
  <si>
    <t>英雄尘归海·饕餮洞</t>
  </si>
  <si>
    <t>挑战尘归海·饕餮洞</t>
  </si>
  <si>
    <t>英雄周天屿</t>
  </si>
  <si>
    <t>挑战周天屿</t>
  </si>
  <si>
    <t>沧溟绝境</t>
  </si>
  <si>
    <t>列星岛</t>
  </si>
  <si>
    <t>望扬镇_压力测试</t>
  </si>
  <si>
    <t>扬州_望扬镇_家园_004</t>
  </si>
  <si>
    <t>野狸岛</t>
  </si>
  <si>
    <t>HD登陆界面_蓬莱001</t>
  </si>
  <si>
    <t>HD商城_001_1024</t>
  </si>
  <si>
    <t>凌雪阁</t>
  </si>
  <si>
    <t>HD登陆界面002_空</t>
  </si>
  <si>
    <t>浪客行·悬棺裂谷</t>
  </si>
  <si>
    <t>浪客行·桑珠草原</t>
  </si>
  <si>
    <t>浪客行·东水寨</t>
  </si>
  <si>
    <t>浪客行·湘竹溪</t>
  </si>
  <si>
    <t>浪客行·荒魂镇</t>
  </si>
  <si>
    <t>敖龙岛</t>
  </si>
  <si>
    <t>25人普通敖龙岛</t>
  </si>
  <si>
    <t>25人英雄敖龙岛</t>
  </si>
  <si>
    <t>玄鹤别院</t>
  </si>
  <si>
    <t>英雄玄鹤别院</t>
  </si>
  <si>
    <t>浪客行·有间客栈</t>
  </si>
  <si>
    <t>浪客行·绥梦山</t>
  </si>
  <si>
    <t>浪客行·华清宫</t>
  </si>
  <si>
    <t>浪客行·枫阳村</t>
  </si>
  <si>
    <t>浪客行·荒雪路</t>
  </si>
  <si>
    <t>浪客行·古祭坛</t>
  </si>
  <si>
    <t>浪客行·雾荧洞</t>
  </si>
  <si>
    <t>浪客行·阴风峡</t>
  </si>
  <si>
    <t>浪客行·翡翠瑶池</t>
  </si>
  <si>
    <t>浪客行·胡杨林道</t>
  </si>
  <si>
    <t>浪客行·浮景峰</t>
  </si>
  <si>
    <t>蔷薇列岛</t>
  </si>
  <si>
    <t>江南府邸</t>
  </si>
  <si>
    <t>HD商城_001</t>
  </si>
  <si>
    <t>HD登陆界面_凌雪阁003</t>
  </si>
  <si>
    <t>miniscene角色光照无地形</t>
  </si>
  <si>
    <t>范阳夜变</t>
  </si>
  <si>
    <t>25人普通范阳夜变</t>
  </si>
  <si>
    <t>25人英雄范阳夜变</t>
  </si>
  <si>
    <t>广陵邑</t>
  </si>
  <si>
    <t>望扬镇_单房屋测试</t>
  </si>
  <si>
    <t>1024_昼夜循环_家园</t>
  </si>
  <si>
    <t>范阳</t>
  </si>
  <si>
    <t>1024_格子图</t>
  </si>
  <si>
    <t>浪客行·落樱林</t>
  </si>
  <si>
    <t>九寨沟·镜海</t>
  </si>
  <si>
    <t>七秀_家园</t>
  </si>
  <si>
    <t>衍天宗</t>
  </si>
  <si>
    <t>望扬镇_单房屋</t>
  </si>
  <si>
    <t>HD家园商城001</t>
  </si>
  <si>
    <t>幻灵境</t>
  </si>
  <si>
    <t>剑冢惊变</t>
  </si>
  <si>
    <t>英雄剑冢惊变</t>
  </si>
  <si>
    <t>星海蜃影·零</t>
  </si>
  <si>
    <t>枫叶泊·乐苑</t>
  </si>
  <si>
    <t>万花·乱世</t>
  </si>
  <si>
    <t>七秀·乱世</t>
  </si>
  <si>
    <t>少林·乱世</t>
  </si>
  <si>
    <t>梦入集真岛</t>
  </si>
  <si>
    <t>梧桐山庄</t>
  </si>
  <si>
    <t>英雄梧桐山庄</t>
  </si>
  <si>
    <t>罗汉门</t>
  </si>
  <si>
    <t>英雄罗汉门</t>
  </si>
  <si>
    <t>英雄梦入集真岛</t>
  </si>
  <si>
    <t>达摩洞</t>
  </si>
  <si>
    <t>25人普通达摩洞</t>
  </si>
  <si>
    <t>25人英雄达摩洞</t>
  </si>
  <si>
    <t>枫叶泊·天苑</t>
  </si>
  <si>
    <t>镜花别院</t>
  </si>
  <si>
    <t>藏剑山庄·乱世</t>
  </si>
  <si>
    <t>月落三星</t>
  </si>
  <si>
    <t>英雄月落三星</t>
  </si>
  <si>
    <t>星海蜃影·一</t>
  </si>
  <si>
    <t>星海蜃影·二</t>
  </si>
  <si>
    <t>星海蜃影·三</t>
  </si>
  <si>
    <t>星海蜃影·四</t>
  </si>
  <si>
    <t>星海蜃影·五</t>
  </si>
  <si>
    <t>星海蜃影·六</t>
  </si>
  <si>
    <t>星海蜃影·七</t>
  </si>
  <si>
    <t>星海蜃影·八</t>
  </si>
  <si>
    <t>星海蜃影·九</t>
  </si>
  <si>
    <t>星海蜃影·十</t>
  </si>
  <si>
    <t>星海蜃影·十一</t>
  </si>
  <si>
    <t>星海蜃影·十二</t>
  </si>
  <si>
    <t>星海蜃影·十三</t>
  </si>
  <si>
    <t>星海蜃影·十四</t>
  </si>
  <si>
    <t>星海蜃影·十五</t>
  </si>
  <si>
    <t>星海蜃影·十六</t>
  </si>
  <si>
    <t>星海蜃影·十七</t>
  </si>
  <si>
    <t>星海蜃影·十八</t>
  </si>
  <si>
    <t>星海蜃影·十九</t>
  </si>
  <si>
    <t>星海蜃影·二十</t>
  </si>
  <si>
    <t>龙泉府_风雪镜泊湖</t>
  </si>
  <si>
    <t>白龙绝境</t>
  </si>
  <si>
    <t>HD登陆界面_衍天宗001</t>
  </si>
  <si>
    <t>雪龙风原</t>
  </si>
  <si>
    <t>1024_昼夜循环_标准2020</t>
  </si>
  <si>
    <t>少林_乱世_修罗挑战</t>
  </si>
  <si>
    <t>白帝江关</t>
  </si>
  <si>
    <t>25人普通白帝江关</t>
  </si>
  <si>
    <t>25人英雄白帝江关</t>
  </si>
  <si>
    <t>英雄漳水南路</t>
  </si>
  <si>
    <t>挑战漳水南路</t>
  </si>
  <si>
    <t>北墟河堤</t>
  </si>
  <si>
    <t>赤岬山城</t>
  </si>
  <si>
    <t>黑山林海</t>
  </si>
  <si>
    <t>北天药宗</t>
  </si>
  <si>
    <t>浪客行·浮丘岛</t>
  </si>
  <si>
    <t>浪客行·桂林</t>
  </si>
  <si>
    <t>藏剑武库</t>
  </si>
  <si>
    <t>墟海之眼·演武场</t>
  </si>
  <si>
    <t>东水寨</t>
  </si>
  <si>
    <t>大唐幻夜·一</t>
  </si>
  <si>
    <t>大唐幻夜·二</t>
  </si>
  <si>
    <t>大唐幻夜·三</t>
  </si>
  <si>
    <t>大唐幻夜·四</t>
  </si>
  <si>
    <t>大唐幻夜·五</t>
  </si>
  <si>
    <t>大唐幻夜·六</t>
  </si>
  <si>
    <t>大唐幻夜·七</t>
  </si>
  <si>
    <t>大唐幻夜·八</t>
  </si>
  <si>
    <t>大唐幻夜·九</t>
  </si>
  <si>
    <t>大唐幻夜·十</t>
  </si>
  <si>
    <t>大唐幻夜·十一</t>
  </si>
  <si>
    <t>大唐幻夜·十二</t>
  </si>
  <si>
    <t>大唐幻夜·十三</t>
  </si>
  <si>
    <t>大唐幻夜·十四</t>
  </si>
  <si>
    <t>大唐幻夜·十五</t>
  </si>
  <si>
    <t>大唐幻夜·十六</t>
  </si>
  <si>
    <t>大唐幻夜·十七</t>
  </si>
  <si>
    <t>大唐幻夜·十八</t>
  </si>
  <si>
    <t>大唐幻夜·十九</t>
  </si>
  <si>
    <t>大唐幻夜·二十</t>
  </si>
  <si>
    <t>雷域大泽</t>
  </si>
  <si>
    <t>25人普通雷域大泽</t>
  </si>
  <si>
    <t>25人英雄雷域大泽</t>
  </si>
  <si>
    <t>百战异闻录</t>
  </si>
  <si>
    <t>北天药宗_武氏别院</t>
  </si>
  <si>
    <t>英雄北天药宗_武氏别院</t>
  </si>
  <si>
    <t>私邸宅园</t>
  </si>
  <si>
    <t>盘扎寨</t>
  </si>
  <si>
    <t>原野奇踪</t>
  </si>
  <si>
    <t>HD登陆界面_北天药宗003</t>
  </si>
  <si>
    <t>个人家园_天池</t>
  </si>
  <si>
    <t>个人家园_海底</t>
  </si>
  <si>
    <t>HD商城_外装展示测试</t>
  </si>
  <si>
    <t>个人家园_广陵邑_野外</t>
  </si>
  <si>
    <t>河阳之战</t>
  </si>
  <si>
    <t>25人普通河阳之战</t>
  </si>
  <si>
    <t>25人英雄河阳之战</t>
  </si>
  <si>
    <t>河阳</t>
  </si>
  <si>
    <t>个人家园_薰风渡</t>
  </si>
  <si>
    <t>刀宗</t>
  </si>
  <si>
    <t>百溪</t>
  </si>
  <si>
    <t>烂柯山</t>
  </si>
  <si>
    <t>楚州</t>
  </si>
  <si>
    <t>尘世曼舞·冰雪盛会</t>
  </si>
  <si>
    <t>JX3_StandardEnv_002</t>
  </si>
  <si>
    <t>个人家园_云海</t>
  </si>
  <si>
    <t>西津渡</t>
  </si>
  <si>
    <t>25人普通西津渡</t>
  </si>
  <si>
    <t>25人英雄西津渡</t>
  </si>
  <si>
    <t>羊村大作战</t>
  </si>
  <si>
    <t>羊村</t>
  </si>
  <si>
    <t>霸刀山庄·大婚</t>
  </si>
  <si>
    <t>1024_积雪交互测试</t>
  </si>
  <si>
    <t>剧本杀测试场景02</t>
  </si>
  <si>
    <t>沃石院</t>
  </si>
  <si>
    <t>英雄沃石院</t>
  </si>
  <si>
    <t>镇海阁地井</t>
  </si>
  <si>
    <t>英雄镇海阁地井</t>
  </si>
  <si>
    <t>个人家园_大唐盛世</t>
  </si>
  <si>
    <t>万象游园会</t>
  </si>
  <si>
    <t>时光长廊</t>
  </si>
  <si>
    <t>天苏奇谭</t>
  </si>
  <si>
    <t>且绘青山</t>
  </si>
  <si>
    <t>银浦流光</t>
  </si>
  <si>
    <t>幽藤馆</t>
  </si>
  <si>
    <t>英雄幽藤馆</t>
  </si>
  <si>
    <t>个人家园_社区</t>
  </si>
  <si>
    <t>琼宫银阙</t>
  </si>
  <si>
    <t>千灯天衢</t>
  </si>
  <si>
    <t>烟岫迷踪</t>
  </si>
  <si>
    <t>渊穆灵宫</t>
  </si>
  <si>
    <t>观园幻景</t>
  </si>
  <si>
    <t>落帆归潮</t>
  </si>
  <si>
    <t>江山入画</t>
  </si>
  <si>
    <t>晨间喵苑</t>
  </si>
  <si>
    <t>泊云海墅</t>
  </si>
  <si>
    <t>闲野归园</t>
  </si>
  <si>
    <t>首领扮演范阳夜变</t>
  </si>
  <si>
    <t>磐渊</t>
  </si>
  <si>
    <t>江天夜宴</t>
  </si>
  <si>
    <t>英雄江天夜宴</t>
  </si>
  <si>
    <t>沃石火狱</t>
  </si>
  <si>
    <t>浮生剧坊</t>
  </si>
  <si>
    <t>HD登陆界面_刀宗001</t>
  </si>
  <si>
    <t>跨服·烂柯山</t>
  </si>
  <si>
    <t>个人家园_红叶</t>
  </si>
  <si>
    <t>古剑台</t>
  </si>
  <si>
    <t>天街灯市·明宵灯暖</t>
  </si>
  <si>
    <t>浪客行·沙海迷踪</t>
  </si>
  <si>
    <t>尘世曼舞·万象长安</t>
  </si>
  <si>
    <t>个人家园_明宵灯暖</t>
  </si>
  <si>
    <t>天街灯市·蜃墟</t>
  </si>
  <si>
    <t>武狱黑牢</t>
  </si>
  <si>
    <t>25人普通武狱黑牢</t>
  </si>
  <si>
    <t>25人英雄武狱黑牢</t>
  </si>
  <si>
    <t>英雄鹿桥驿</t>
  </si>
  <si>
    <t>挑战鹿桥驿</t>
  </si>
  <si>
    <t>张家界·相遇</t>
  </si>
  <si>
    <t>黄龙洞</t>
  </si>
  <si>
    <t>洱海绝境</t>
  </si>
  <si>
    <t>个人家园_沙漠</t>
  </si>
  <si>
    <t>银霜口</t>
  </si>
  <si>
    <t>九老洞</t>
  </si>
  <si>
    <t>25人普通九老洞</t>
  </si>
  <si>
    <t>25人英雄九老洞</t>
  </si>
  <si>
    <t>武陵源</t>
  </si>
  <si>
    <t>落日丘</t>
  </si>
  <si>
    <t>稻香村_桃园非梦</t>
  </si>
  <si>
    <t>神霄天境</t>
  </si>
  <si>
    <t>重霄阆苑</t>
  </si>
  <si>
    <t>阴山大草原·分线</t>
  </si>
  <si>
    <t>英雄栖灵洞天</t>
  </si>
  <si>
    <t>新旧贴花测试_新</t>
  </si>
  <si>
    <t>新旧贴画测试_旧</t>
  </si>
  <si>
    <t>登陆界面_2023_001</t>
  </si>
  <si>
    <t>八荒衡鉴·仙踪林</t>
    <phoneticPr fontId="18" type="noConversion"/>
  </si>
  <si>
    <t>浩气盟</t>
    <phoneticPr fontId="18" type="noConversion"/>
  </si>
  <si>
    <t>恶人谷</t>
    <phoneticPr fontId="18" type="noConversion"/>
  </si>
  <si>
    <t>藏剑</t>
  </si>
  <si>
    <t>长歌</t>
  </si>
  <si>
    <t>霸刀</t>
  </si>
  <si>
    <t>凌雪</t>
  </si>
  <si>
    <t>衍天</t>
  </si>
  <si>
    <t>药宗</t>
  </si>
  <si>
    <t>万灵</t>
    <phoneticPr fontId="18" type="noConversion"/>
  </si>
  <si>
    <t>绿色</t>
  </si>
  <si>
    <t>黄色</t>
  </si>
  <si>
    <t>紫色</t>
  </si>
  <si>
    <t>蓝色</t>
  </si>
  <si>
    <t>红色</t>
    <phoneticPr fontId="18" type="noConversion"/>
  </si>
  <si>
    <t>青色</t>
    <phoneticPr fontId="18" type="noConversion"/>
  </si>
  <si>
    <t>白色</t>
    <phoneticPr fontId="18" type="noConversion"/>
  </si>
  <si>
    <t>橙色</t>
    <phoneticPr fontId="18" type="noConversion"/>
  </si>
  <si>
    <t>淡黄</t>
    <phoneticPr fontId="18" type="noConversion"/>
  </si>
  <si>
    <t>嫩绿</t>
    <phoneticPr fontId="18" type="noConversion"/>
  </si>
  <si>
    <t>粉色</t>
    <phoneticPr fontId="18" type="noConversion"/>
  </si>
  <si>
    <t>灰色</t>
    <phoneticPr fontId="18" type="noConversion"/>
  </si>
  <si>
    <t>金色</t>
    <phoneticPr fontId="18" type="noConversion"/>
  </si>
  <si>
    <t>淡紫</t>
    <phoneticPr fontId="18" type="noConversion"/>
  </si>
  <si>
    <t>淡绿</t>
    <phoneticPr fontId="18" type="noConversion"/>
  </si>
  <si>
    <t>太虚剑意</t>
  </si>
  <si>
    <t>花间游</t>
  </si>
  <si>
    <t>离经易道</t>
  </si>
  <si>
    <t>傲血战意</t>
  </si>
  <si>
    <t>铁牢律</t>
  </si>
  <si>
    <t>冰心诀</t>
  </si>
  <si>
    <t>云裳心经</t>
  </si>
  <si>
    <t>毒经</t>
  </si>
  <si>
    <t>补天诀</t>
  </si>
  <si>
    <t>惊羽诀</t>
  </si>
  <si>
    <t>天罗诡道</t>
  </si>
  <si>
    <t>问水诀</t>
  </si>
  <si>
    <t>山居剑意</t>
  </si>
  <si>
    <t>笑尘诀</t>
  </si>
  <si>
    <t>焚影圣诀</t>
  </si>
  <si>
    <t>明尊琉璃体</t>
  </si>
  <si>
    <t>铁骨衣</t>
  </si>
  <si>
    <t>分山劲</t>
  </si>
  <si>
    <t>莫问</t>
  </si>
  <si>
    <t>相知</t>
  </si>
  <si>
    <t>北傲诀</t>
  </si>
  <si>
    <t>凌海诀</t>
  </si>
  <si>
    <t>隐龙诀</t>
  </si>
  <si>
    <t>太玄经</t>
  </si>
  <si>
    <t>灵素</t>
  </si>
  <si>
    <t>无方</t>
  </si>
  <si>
    <t>心法</t>
    <phoneticPr fontId="18" type="noConversion"/>
  </si>
  <si>
    <t>通用</t>
    <phoneticPr fontId="18" type="noConversion"/>
  </si>
  <si>
    <t>BUFF</t>
  </si>
  <si>
    <t>有利气劲</t>
  </si>
  <si>
    <t>CASTING</t>
  </si>
  <si>
    <t>NPC</t>
  </si>
  <si>
    <t>DOODAD</t>
  </si>
  <si>
    <t>TALK</t>
  </si>
  <si>
    <t>CHAT</t>
  </si>
  <si>
    <t>不利气劲</t>
  </si>
  <si>
    <t>武学招式</t>
  </si>
  <si>
    <t>系统角色</t>
  </si>
  <si>
    <t>交互物件</t>
  </si>
  <si>
    <t>角色喊话</t>
  </si>
  <si>
    <t>系统频道</t>
  </si>
  <si>
    <t>团队面板</t>
    <phoneticPr fontId="18" type="noConversion"/>
  </si>
  <si>
    <t>值类型</t>
  </si>
  <si>
    <t>描述</t>
  </si>
  <si>
    <t>nStackNum</t>
  </si>
  <si>
    <t>整数</t>
  </si>
  <si>
    <t>触发层数</t>
  </si>
  <si>
    <t>nStackNum = 3</t>
  </si>
  <si>
    <t>szStackOp</t>
  </si>
  <si>
    <t>字符串</t>
  </si>
  <si>
    <t>触发逻辑（数学比较运算符）</t>
  </si>
  <si>
    <t>szStackOp = "="</t>
  </si>
  <si>
    <t>布尔</t>
  </si>
  <si>
    <t>仅来源自己</t>
  </si>
  <si>
    <t>bOnlyMine = true</t>
  </si>
  <si>
    <t>bOnlyMe</t>
  </si>
  <si>
    <t>仅监控自己</t>
  </si>
  <si>
    <t>bOnlyMe = true</t>
  </si>
  <si>
    <t>szReminder</t>
  </si>
  <si>
    <t>备注</t>
  </si>
  <si>
    <t>szReminder = "xxx"</t>
  </si>
  <si>
    <t>nPriority</t>
  </si>
  <si>
    <t>优先级（越小越高，0为最高）</t>
  </si>
  <si>
    <t>nPriority = 2</t>
  </si>
  <si>
    <t>col</t>
  </si>
  <si>
    <t>蒙版颜色 + 描边颜色</t>
  </si>
  <si>
    <t>col = "#3FDFBFA9"</t>
  </si>
  <si>
    <t>整数（0-255）</t>
  </si>
  <si>
    <t>描边透明度</t>
  </si>
  <si>
    <t>nColAlpha = 169</t>
  </si>
  <si>
    <t>蒙版警告</t>
  </si>
  <si>
    <t>bAttention = true</t>
  </si>
  <si>
    <t>bScreenHead</t>
  </si>
  <si>
    <t>开启头顶提示</t>
  </si>
  <si>
    <t>bScreenHead = true</t>
  </si>
  <si>
    <t>头顶提示颜色</t>
  </si>
  <si>
    <t>colScreenHead = "#DFBF3F"</t>
  </si>
  <si>
    <t>开启特效警告</t>
  </si>
  <si>
    <t>bCaution = true</t>
  </si>
  <si>
    <t>tRelation</t>
  </si>
  <si>
    <t>表</t>
  </si>
  <si>
    <t>目标关系</t>
  </si>
  <si>
    <t>-</t>
  </si>
  <si>
    <t>tLife</t>
  </si>
  <si>
    <t>目标血量百分比</t>
  </si>
  <si>
    <t>nMaxDistance</t>
  </si>
  <si>
    <t>数字</t>
  </si>
  <si>
    <t>最大距离</t>
  </si>
  <si>
    <t>nMaxDistance = 10</t>
  </si>
  <si>
    <t>szDisplay</t>
  </si>
  <si>
    <t>名称显示</t>
  </si>
  <si>
    <t>szDisplay = "xxxx"</t>
  </si>
  <si>
    <t>dwMapID</t>
  </si>
  <si>
    <t>生效地图ID</t>
  </si>
  <si>
    <t>dwMapID = -1</t>
  </si>
  <si>
    <t>tRelation = {			--目标关系
    bAll = false,			--全部
    bEnemy = false,			--敌对目标
    bAlly = true,			--非敌对目标
},</t>
    <phoneticPr fontId="18" type="noConversion"/>
  </si>
  <si>
    <t>tLife = {				--目标气血限制
    bEnable = true,			--是否启用
    szOperator = "&gt;=",		--触发逻辑（对应气血百分比，=、!=、&lt;、&gt;=、&gt;、&lt;=）
    nValue = 60,			--气血百分比
},</t>
    <phoneticPr fontId="18" type="noConversion"/>
  </si>
  <si>
    <t>nClass</t>
  </si>
  <si>
    <t>nClass = 9</t>
  </si>
  <si>
    <t>nIcon</t>
  </si>
  <si>
    <t>计时条图标</t>
  </si>
  <si>
    <t>nIcon = 894</t>
  </si>
  <si>
    <t>nFrame</t>
  </si>
  <si>
    <t>倒计时条背景色（0橙,1粉,2红,3黄,4灰,5深蓝,6绿,7浅蓝,8紫,其他为透明）</t>
  </si>
  <si>
    <t>nFrame = 1</t>
  </si>
  <si>
    <t>bHold</t>
  </si>
  <si>
    <t>倒计时过图不消失</t>
  </si>
  <si>
    <t>bHold = true</t>
  </si>
  <si>
    <t>szName</t>
  </si>
  <si>
    <t>倒计时条显示文字</t>
  </si>
  <si>
    <t>szName = "倒计时 {$S565}"</t>
  </si>
  <si>
    <t>bTeamChannel</t>
  </si>
  <si>
    <t>是否开启团队喊话报警</t>
  </si>
  <si>
    <t>bTeamChannel = true</t>
  </si>
  <si>
    <t>nTime</t>
  </si>
  <si>
    <t>数字/字符串</t>
  </si>
  <si>
    <t>倒计时时间</t>
  </si>
  <si>
    <t>nTime = 10</t>
  </si>
  <si>
    <t>nRefresh</t>
  </si>
  <si>
    <t>重复调用时间限制</t>
  </si>
  <si>
    <t>nRefresh = 5</t>
  </si>
  <si>
    <t>key</t>
  </si>
  <si>
    <t>倒计时唯一标识</t>
  </si>
  <si>
    <t>key = "demo"</t>
  </si>
  <si>
    <t>动态属性编号</t>
    <phoneticPr fontId="18" type="noConversion"/>
  </si>
  <si>
    <t>焦点列表</t>
    <phoneticPr fontId="18" type="noConversion"/>
  </si>
  <si>
    <t>倒计时条</t>
    <phoneticPr fontId="18" type="noConversion"/>
  </si>
  <si>
    <t>键名</t>
  </si>
  <si>
    <t>应用范围</t>
  </si>
  <si>
    <t>是否必须</t>
  </si>
  <si>
    <t>szNote</t>
  </si>
  <si>
    <t>szNote = "备注说明"</t>
  </si>
  <si>
    <t>BUFF、DEBUFF、CASTING、NPC、DOODAD、TALK、CHAT</t>
  </si>
  <si>
    <t>否</t>
  </si>
  <si>
    <t>是</t>
  </si>
  <si>
    <t>tCountdown</t>
  </si>
  <si>
    <t>数组</t>
  </si>
  <si>
    <t>计时条</t>
  </si>
  <si>
    <t>通用报警颜色</t>
  </si>
  <si>
    <t>col = {255,0,0}</t>
  </si>
  <si>
    <t>非完全通用部分包含：</t>
  </si>
  <si>
    <t>ID（编号）</t>
  </si>
  <si>
    <t>dwID = 684</t>
  </si>
  <si>
    <t>BUFF、DEBUFF、CASTING、NPC、DOODAD</t>
  </si>
  <si>
    <t>nLevel</t>
  </si>
  <si>
    <t>nLevel = 1</t>
  </si>
  <si>
    <t>BUFF、DEBUFF、CASTING</t>
  </si>
  <si>
    <t>是否区分等级</t>
  </si>
  <si>
    <t>bCheckLevel = true</t>
  </si>
  <si>
    <t>nCount</t>
  </si>
  <si>
    <t>层数必须达到n/数量必须达到n</t>
  </si>
  <si>
    <t>nCount = 2</t>
  </si>
  <si>
    <t>BUFF、DEBUFF、NPC、DOODAD</t>
  </si>
  <si>
    <t>自定义名称</t>
  </si>
  <si>
    <t>szName = "天地低昂"</t>
  </si>
  <si>
    <t>自定义图标</t>
  </si>
  <si>
    <t>nIcon = 1498</t>
  </si>
  <si>
    <t>监控对象类型（缺省-全部，1自身，2团队，3敌对，4当前目标）</t>
  </si>
  <si>
    <t>nScrutinyType = 2</t>
  </si>
  <si>
    <t>aCataclysmBuff</t>
  </si>
  <si>
    <t>茗伊团队框架buff设置</t>
  </si>
  <si>
    <t>BUFF、DEBUFF</t>
  </si>
  <si>
    <t>bMonTarget </t>
  </si>
  <si>
    <t>显示目标名称</t>
  </si>
  <si>
    <t>bMonTarget = true</t>
  </si>
  <si>
    <t>npc头像图标ID</t>
  </si>
  <si>
    <t>nFrame = 50</t>
  </si>
  <si>
    <t>bAllLeave</t>
  </si>
  <si>
    <t>必须全部消失</t>
  </si>
  <si>
    <t>bAllLeave = true</t>
  </si>
  <si>
    <t>NPC、DOODAD</t>
  </si>
  <si>
    <t>aFocus</t>
  </si>
  <si>
    <t>焦点</t>
  </si>
  <si>
    <t>szTarget</t>
  </si>
  <si>
    <t>喊话对象</t>
  </si>
  <si>
    <t>szTarget = "xxx"</t>
  </si>
  <si>
    <t>szContent</t>
  </si>
  <si>
    <t>szContent = "xxx"</t>
  </si>
  <si>
    <t>bSearch</t>
  </si>
  <si>
    <t>模糊匹配</t>
  </si>
  <si>
    <t>bSearch = true</t>
  </si>
  <si>
    <t>TALK，CHAT</t>
  </si>
  <si>
    <t>bReg</t>
  </si>
  <si>
    <t>开启正则</t>
  </si>
  <si>
    <t>bReg = true</t>
  </si>
  <si>
    <t>示例</t>
    <phoneticPr fontId="18" type="noConversion"/>
  </si>
  <si>
    <t>见《团队面板属性》</t>
    <phoneticPr fontId="18" type="noConversion"/>
  </si>
  <si>
    <t>自身心法要求（心法ID请参阅《心法ID表》）</t>
    <phoneticPr fontId="18" type="noConversion"/>
  </si>
  <si>
    <t>见《计时条属性》</t>
    <phoneticPr fontId="18" type="noConversion"/>
  </si>
  <si>
    <t>静态属性</t>
    <phoneticPr fontId="18" type="noConversion"/>
  </si>
  <si>
    <t>OTHER</t>
  </si>
  <si>
    <t>BUFF_GET</t>
  </si>
  <si>
    <t>BUFF_LOSE</t>
  </si>
  <si>
    <t>失去BUFF</t>
  </si>
  <si>
    <t>NPC_ENTER</t>
  </si>
  <si>
    <t>NPC_LEAVE</t>
  </si>
  <si>
    <t>NPC_TALK</t>
  </si>
  <si>
    <t>NPC说话信息(未使用)</t>
  </si>
  <si>
    <t>NPC_LIFE</t>
  </si>
  <si>
    <t>NPC气血值监控</t>
  </si>
  <si>
    <t>NPC_FIGHT</t>
  </si>
  <si>
    <t>NPC进入战斗</t>
  </si>
  <si>
    <t>SKILL_BEGIN</t>
  </si>
  <si>
    <t>SKILL_END</t>
  </si>
  <si>
    <t>SYS_TALK</t>
  </si>
  <si>
    <t>系统聊天信息(未使用)</t>
  </si>
  <si>
    <t>NPC_ALLLEAVE</t>
  </si>
  <si>
    <t>所有同一个NPC离开场景</t>
  </si>
  <si>
    <t>NPC_DEATH</t>
  </si>
  <si>
    <t>NPC死亡</t>
  </si>
  <si>
    <t>NPC_ALLDEATH</t>
  </si>
  <si>
    <t>所有同一个NPC死亡</t>
  </si>
  <si>
    <t>TALK_MONITOR</t>
  </si>
  <si>
    <t>COMMON</t>
  </si>
  <si>
    <t>NPC_MANA</t>
  </si>
  <si>
    <t>NPC内力值监控</t>
  </si>
  <si>
    <t>DOODAD_ENTER</t>
  </si>
  <si>
    <t>DOODAD_LEAVE</t>
  </si>
  <si>
    <t>互动物品离开场景</t>
  </si>
  <si>
    <t>DOODAD_ALLLEAVE</t>
  </si>
  <si>
    <t>所有同一个互动物品离开场景</t>
  </si>
  <si>
    <t>CHAT_MONITOR</t>
  </si>
  <si>
    <t>触发监听系统信息(系统聊天监控使用)</t>
  </si>
  <si>
    <t>动态属性</t>
    <phoneticPr fontId="18" type="noConversion"/>
  </si>
  <si>
    <t>bCheckLevel</t>
    <phoneticPr fontId="18" type="noConversion"/>
  </si>
  <si>
    <t>nScrutinyType</t>
    <phoneticPr fontId="18" type="noConversion"/>
  </si>
  <si>
    <t>tKungFu</t>
    <phoneticPr fontId="18" type="noConversion"/>
  </si>
  <si>
    <t>键</t>
  </si>
  <si>
    <t>示例</t>
  </si>
  <si>
    <t>tMark</t>
  </si>
  <si>
    <t>见下文</t>
  </si>
  <si>
    <t>团队频道报警开关</t>
  </si>
  <si>
    <t>bWhisperChannel</t>
  </si>
  <si>
    <t>密聊频道报警开关</t>
  </si>
  <si>
    <t>bWhisperChannel = true</t>
  </si>
  <si>
    <t>bCenterAlarm</t>
  </si>
  <si>
    <t>中央报警开关</t>
  </si>
  <si>
    <t>bCenterAlarm = true</t>
  </si>
  <si>
    <t>头顶报警开关</t>
  </si>
  <si>
    <t>BUFF、DEBUFF、NPC</t>
  </si>
  <si>
    <t>bPartyBuffList</t>
  </si>
  <si>
    <t>团队气劲列表开关</t>
  </si>
  <si>
    <t>bPartyBuffList = true</t>
  </si>
  <si>
    <t>bBuffList</t>
  </si>
  <si>
    <t>自身气劲列表开关</t>
  </si>
  <si>
    <t>bBuffList = true</t>
  </si>
  <si>
    <t>bTeamPanel</t>
  </si>
  <si>
    <t>（显示于）团队面板开关</t>
  </si>
  <si>
    <t>bTeamPanel = true</t>
  </si>
  <si>
    <t>仅显示来源自己的气劲开关</t>
  </si>
  <si>
    <t>bOnlySelfSrc = true</t>
  </si>
  <si>
    <t>szVoice</t>
  </si>
  <si>
    <t>语音slug标识</t>
  </si>
  <si>
    <t>szVoice = "ChengShang_P"</t>
  </si>
  <si>
    <t>bVoiceSelfOnly</t>
  </si>
  <si>
    <t>是否优先使用官方语音条目</t>
  </si>
  <si>
    <t>bVoiceSelfOnly = true</t>
  </si>
  <si>
    <t>bVoiceOfficial</t>
  </si>
  <si>
    <t>是否仅在自身气劲下播放语音（仅用于气劲相关）</t>
  </si>
  <si>
    <t>bVoiceOfficial = true</t>
  </si>
  <si>
    <t>bOnlySelfSrc</t>
    <phoneticPr fontId="18" type="noConversion"/>
  </si>
  <si>
    <t>bOnlyMine</t>
    <phoneticPr fontId="18" type="noConversion"/>
  </si>
  <si>
    <t>colScreenHead</t>
    <phoneticPr fontId="18" type="noConversion"/>
  </si>
  <si>
    <t>nColAlpha</t>
    <phoneticPr fontId="18" type="noConversion"/>
  </si>
  <si>
    <t>bAttention</t>
    <phoneticPr fontId="18" type="noConversion"/>
  </si>
  <si>
    <t>bScreenHead</t>
    <phoneticPr fontId="18" type="noConversion"/>
  </si>
  <si>
    <t>bCaution</t>
    <phoneticPr fontId="18" type="noConversion"/>
  </si>
  <si>
    <t>CHAT</t>
    <phoneticPr fontId="18" type="noConversion"/>
  </si>
  <si>
    <t>szOfficialVoicePacketUUID="",</t>
    <phoneticPr fontId="18" type="noConversion"/>
  </si>
  <si>
    <t>szCustomVoicePacketUUID="",</t>
    <phoneticPr fontId="18" type="noConversion"/>
  </si>
  <si>
    <t>团队监控手册</t>
    <phoneticPr fontId="18" type="noConversion"/>
  </si>
  <si>
    <t>不建议使用0、1，因为在excel表格中0，1可能代表布尔值，干扰公式结果，建议从5开始，留下2，3，4给PVE中BOSS秒杀等重要气劲使用</t>
    <phoneticPr fontId="18" type="noConversion"/>
  </si>
  <si>
    <t>透明建议使用-1</t>
    <phoneticPr fontId="18" type="noConversion"/>
  </si>
  <si>
    <t>主城</t>
    <phoneticPr fontId="18" type="noConversion"/>
  </si>
  <si>
    <t>秘境</t>
    <phoneticPr fontId="18" type="noConversion"/>
  </si>
  <si>
    <t>小队秘境</t>
    <phoneticPr fontId="18" type="noConversion"/>
  </si>
  <si>
    <t>团队秘境</t>
    <phoneticPr fontId="18" type="noConversion"/>
  </si>
  <si>
    <t>浪客行</t>
    <phoneticPr fontId="18" type="noConversion"/>
  </si>
  <si>
    <t>野外地图</t>
    <phoneticPr fontId="18" type="noConversion"/>
  </si>
  <si>
    <t>名剑大会</t>
    <phoneticPr fontId="18" type="noConversion"/>
  </si>
  <si>
    <t>回收站</t>
    <phoneticPr fontId="18" type="noConversion"/>
  </si>
  <si>
    <t>战场</t>
    <phoneticPr fontId="18" type="noConversion"/>
  </si>
  <si>
    <t>绝境战场</t>
    <phoneticPr fontId="18" type="noConversion"/>
  </si>
  <si>
    <t>李渡鬼域</t>
    <phoneticPr fontId="18" type="noConversion"/>
  </si>
  <si>
    <t>百战通用</t>
    <phoneticPr fontId="18" type="noConversion"/>
  </si>
  <si>
    <t>列镜虚境</t>
    <phoneticPr fontId="18" type="noConversion"/>
  </si>
  <si>
    <t>家园</t>
    <phoneticPr fontId="18" type="noConversion"/>
  </si>
  <si>
    <t>八荒横鉴</t>
    <phoneticPr fontId="18" type="noConversion"/>
  </si>
  <si>
    <t>动态属性编号映射</t>
    <phoneticPr fontId="18" type="noConversion"/>
  </si>
  <si>
    <t>插件面板可修改</t>
    <phoneticPr fontId="18" type="noConversion"/>
  </si>
  <si>
    <t>喊话内容(注意excel换行表示为\n)</t>
    <phoneticPr fontId="18" type="noConversion"/>
  </si>
  <si>
    <t>tKungFu={["SKILL#10081"] = true,["SKILL#10080"] = true,},</t>
    <phoneticPr fontId="18" type="noConversion"/>
  </si>
  <si>
    <t>江湖</t>
  </si>
  <si>
    <t>School ID</t>
  </si>
  <si>
    <t>门派</t>
    <phoneticPr fontId="18" type="noConversion"/>
  </si>
  <si>
    <t>Force ID</t>
    <phoneticPr fontId="18" type="noConversion"/>
  </si>
  <si>
    <t>地图ID</t>
    <phoneticPr fontId="18" type="noConversion"/>
  </si>
  <si>
    <t>地图名称</t>
    <phoneticPr fontId="18" type="noConversion"/>
  </si>
  <si>
    <t>Mount ID</t>
  </si>
  <si>
    <t>武学套路说明</t>
  </si>
  <si>
    <t>10005;10010;10095;10082</t>
  </si>
  <si>
    <t>防身武艺;基础招式;混元气功;江湖轻功</t>
  </si>
  <si>
    <t>10031;10032;10033;10034</t>
  </si>
  <si>
    <t>罗汉棍法;龙爪功;袈裟伏魔功;达摩武诀</t>
  </si>
  <si>
    <t>10000;10009;10011;10012</t>
  </si>
  <si>
    <t>纯阳诀;北冥剑气;天道剑势;坐忘经</t>
  </si>
  <si>
    <t>10018;10019;10088;10089</t>
  </si>
  <si>
    <t>养心诀;太素九针;点穴截脉;百花拂穴手</t>
  </si>
  <si>
    <t>10017;10023;10024;10061</t>
  </si>
  <si>
    <t>羽林枪法;虎牙令;奔雷枪术;游龙骑法</t>
  </si>
  <si>
    <t>10068;10069;10070;10072</t>
  </si>
  <si>
    <t>猿公剑法;霓裳羽衣;西河剑器;剑器浑脱</t>
  </si>
  <si>
    <t>10171;10172;10173;10174</t>
  </si>
  <si>
    <t>千劫万毒手;引魂蛊术;驭虫奇术;补天心经</t>
  </si>
  <si>
    <t>10216;10218;10219;10220</t>
  </si>
  <si>
    <t>乾坤一掷;百步穿杨;九宫飞星;天魔无相</t>
  </si>
  <si>
    <t>10146;10148;10149;10150</t>
  </si>
  <si>
    <t>秀水剑法;灵峰剑式;君子风;西子情</t>
  </si>
  <si>
    <t>10263;10264;10296;10265</t>
  </si>
  <si>
    <t>打狗棒法;降龙掌·上;降龙掌·下;逍遥行</t>
  </si>
  <si>
    <t>10235;10236;10237;10238</t>
  </si>
  <si>
    <t>日月净世;幻魔妙相;御暗烬灭令;大圣明尊法</t>
  </si>
  <si>
    <t>10385;10386;10384;10383</t>
  </si>
  <si>
    <t>云城盾;苍雪刀;破阵令;寒铁诀</t>
  </si>
  <si>
    <t>10440;10441;10442;10443</t>
  </si>
  <si>
    <t>音;曲;气;影</t>
  </si>
  <si>
    <t>10465;10466;10467;10468</t>
  </si>
  <si>
    <t>殷雷腿;秀明尘身;松烟竹雾;雪絮金屏</t>
  </si>
  <si>
    <t>10535;10539;10540;10541</t>
  </si>
  <si>
    <t>风起云扬诀;长空破云式;九霄踏云步;碧海缥缈掌</t>
  </si>
  <si>
    <t>10586;10588;10589;10590</t>
  </si>
  <si>
    <t>断水刃;隐雷鞭;冲云链;山河令</t>
  </si>
  <si>
    <t>10614;10617;10618;10619</t>
  </si>
  <si>
    <t>九字诀;占术;奇门;天机</t>
  </si>
  <si>
    <t>10622;10623;10624;10625</t>
  </si>
  <si>
    <t>行忌制方;行宜列药;凌波飞叶令;神农百草诀</t>
  </si>
  <si>
    <t>10697;10706;10707;10708</t>
  </si>
  <si>
    <t>流云势法;游风步;破浪三式;骤雨劲</t>
  </si>
  <si>
    <t>Kungfu ID</t>
    <phoneticPr fontId="18" type="noConversion"/>
  </si>
  <si>
    <t>颜色表</t>
    <phoneticPr fontId="18" type="noConversion"/>
  </si>
  <si>
    <t>RGB</t>
    <phoneticPr fontId="18" type="noConversion"/>
  </si>
  <si>
    <t>站位走位</t>
    <phoneticPr fontId="18" type="noConversion"/>
  </si>
  <si>
    <t>准备承伤</t>
  </si>
  <si>
    <t>ChengShang_P</t>
  </si>
  <si>
    <t>都来准备承伤</t>
  </si>
  <si>
    <t>准备抱团</t>
  </si>
  <si>
    <t>BaoTuan_P</t>
  </si>
  <si>
    <t>准备抱团啦</t>
  </si>
  <si>
    <t>准备分散</t>
  </si>
  <si>
    <t>FenSan_P</t>
  </si>
  <si>
    <t>准备分散呀</t>
  </si>
  <si>
    <t>准备移动</t>
  </si>
  <si>
    <t>YiDong_P</t>
  </si>
  <si>
    <t>准备原地不动</t>
  </si>
  <si>
    <t>YuanDiBuDong_P</t>
  </si>
  <si>
    <t>准备原地停留</t>
  </si>
  <si>
    <t>准备背对</t>
  </si>
  <si>
    <t>BeiDui_P</t>
  </si>
  <si>
    <t>准备引导</t>
  </si>
  <si>
    <t>YinDao_P</t>
  </si>
  <si>
    <t>远离boss</t>
  </si>
  <si>
    <t>YuanLiBoss</t>
  </si>
  <si>
    <t>快远离boss</t>
  </si>
  <si>
    <t>Boss拉走</t>
  </si>
  <si>
    <t>BossLaZou</t>
  </si>
  <si>
    <t>把boss拉走</t>
  </si>
  <si>
    <t>小怪拉走</t>
  </si>
  <si>
    <t>XiaoGuaiLaZou</t>
  </si>
  <si>
    <t>把小怪拉走</t>
  </si>
  <si>
    <t>承伤抱团</t>
  </si>
  <si>
    <t>ChengShang_T</t>
  </si>
  <si>
    <t>一起抱团承伤</t>
  </si>
  <si>
    <t>找T抱团</t>
  </si>
  <si>
    <t>BaoTuan_T_sp</t>
  </si>
  <si>
    <t>人群抱团</t>
  </si>
  <si>
    <t>BaoTuan_T_sp2</t>
  </si>
  <si>
    <t>点名抱团</t>
  </si>
  <si>
    <t>BaoTuan_T_s</t>
  </si>
  <si>
    <t>点名玩家抱团</t>
  </si>
  <si>
    <t>boss脚下抱团</t>
  </si>
  <si>
    <t>BaoTuan_T_sp3</t>
  </si>
  <si>
    <t>npc脚下抱团</t>
  </si>
  <si>
    <t>BaoTuan_T_sp4</t>
  </si>
  <si>
    <t>保持分散</t>
  </si>
  <si>
    <t>FenSan_T</t>
  </si>
  <si>
    <t>保持分散 散开</t>
  </si>
  <si>
    <t>保持移动</t>
  </si>
  <si>
    <t>YiDong_T</t>
  </si>
  <si>
    <t>保持移动 别停</t>
  </si>
  <si>
    <t>别动</t>
  </si>
  <si>
    <t>YuanDiBuDong_T</t>
  </si>
  <si>
    <t>站原地别动</t>
  </si>
  <si>
    <t>背对boss</t>
  </si>
  <si>
    <t>BeiDui_T</t>
  </si>
  <si>
    <t>面向背对boss</t>
  </si>
  <si>
    <t>注意引导</t>
  </si>
  <si>
    <t>YinDao_T</t>
  </si>
  <si>
    <t>注意准备引导</t>
  </si>
  <si>
    <t>点名引导</t>
  </si>
  <si>
    <t>YinDao_T_s</t>
  </si>
  <si>
    <t>点名玩家引导</t>
  </si>
  <si>
    <t>点名</t>
    <phoneticPr fontId="18" type="noConversion"/>
  </si>
  <si>
    <t>准备点名</t>
  </si>
  <si>
    <t>DianMing_P</t>
  </si>
  <si>
    <t>远离点名</t>
  </si>
  <si>
    <t>DianMing_T_sp</t>
  </si>
  <si>
    <t>远离点名玩家</t>
  </si>
  <si>
    <t>点名出人群</t>
  </si>
  <si>
    <t>DianMing_T_sp2</t>
  </si>
  <si>
    <t>点名玩家出人群</t>
  </si>
  <si>
    <t>点名躲技能</t>
  </si>
  <si>
    <t>DianMing_T_sp3</t>
  </si>
  <si>
    <t>点名玩家多好技能</t>
  </si>
  <si>
    <t>点名上点</t>
  </si>
  <si>
    <t>DianMing_T_sp4</t>
  </si>
  <si>
    <t>点名玩家前往指定点</t>
  </si>
  <si>
    <t>点名不动</t>
  </si>
  <si>
    <t>DianMing_T_sp5</t>
  </si>
  <si>
    <t>点名玩家原地别动</t>
  </si>
  <si>
    <t>点名遛怪</t>
  </si>
  <si>
    <t>DianMing_T_sp6</t>
  </si>
  <si>
    <t>点名玩家遛怪</t>
  </si>
  <si>
    <t>技能释放</t>
    <phoneticPr fontId="18" type="noConversion"/>
  </si>
  <si>
    <t>准备驱散</t>
  </si>
  <si>
    <t>QuSan_P</t>
  </si>
  <si>
    <t>准备减伤</t>
  </si>
  <si>
    <t>JianShang_P</t>
  </si>
  <si>
    <t>准备开减伤</t>
  </si>
  <si>
    <t>准备控怪</t>
  </si>
  <si>
    <t>KongGuai_P</t>
  </si>
  <si>
    <t>准备打断</t>
  </si>
  <si>
    <t>DaDuan_P</t>
  </si>
  <si>
    <t>准备连续打断</t>
  </si>
  <si>
    <t>LianXuDaDuan_P</t>
  </si>
  <si>
    <t>准备抬血</t>
  </si>
  <si>
    <t>TaiXie_P</t>
  </si>
  <si>
    <t>治疗准备抬血</t>
  </si>
  <si>
    <t>准备断读条</t>
  </si>
  <si>
    <t>DuanDuTiao_P</t>
  </si>
  <si>
    <t>驱散T</t>
  </si>
  <si>
    <t>QuSan_T_sp</t>
  </si>
  <si>
    <t>快驱散T</t>
  </si>
  <si>
    <t>驱散点名</t>
  </si>
  <si>
    <t>QuSan_T_sp2</t>
  </si>
  <si>
    <t>驱散点名玩家</t>
  </si>
  <si>
    <t>驱散boss</t>
  </si>
  <si>
    <t>QuSan_T_sp3</t>
  </si>
  <si>
    <t>驱散npc</t>
  </si>
  <si>
    <t>QuSan_T_sp4</t>
  </si>
  <si>
    <t>驱散Npc</t>
  </si>
  <si>
    <t>快开减伤</t>
  </si>
  <si>
    <t>JianShang_T</t>
  </si>
  <si>
    <t>快开减伤！</t>
  </si>
  <si>
    <t>给点名减伤</t>
  </si>
  <si>
    <t>JianShang_T_s</t>
  </si>
  <si>
    <t>给被点玩家减伤！</t>
  </si>
  <si>
    <t>注意控怪</t>
  </si>
  <si>
    <t>KongGuai_T</t>
  </si>
  <si>
    <t>注意控制目标</t>
  </si>
  <si>
    <t>打断！</t>
  </si>
  <si>
    <t>DaDuan_T</t>
  </si>
  <si>
    <t>快打断！</t>
  </si>
  <si>
    <t>打断注意接断</t>
  </si>
  <si>
    <t>LianXuDaDuan_T</t>
  </si>
  <si>
    <t>准备继续打断</t>
  </si>
  <si>
    <t>注意团血</t>
  </si>
  <si>
    <t>TaiXie_T</t>
  </si>
  <si>
    <t>点名给大加</t>
  </si>
  <si>
    <t>TaiXie_T_s</t>
  </si>
  <si>
    <t>给点名玩家大加！</t>
  </si>
  <si>
    <t>别用读条技能</t>
  </si>
  <si>
    <t>DuanDuTiao_T</t>
  </si>
  <si>
    <t>断读条，别用读条技能</t>
  </si>
  <si>
    <t>目标</t>
    <phoneticPr fontId="18" type="noConversion"/>
  </si>
  <si>
    <t>准备转火</t>
  </si>
  <si>
    <t>ZhuanHuo_P</t>
  </si>
  <si>
    <t>准备停手</t>
  </si>
  <si>
    <t>TingShou_P</t>
  </si>
  <si>
    <t>准备停奶</t>
  </si>
  <si>
    <t>TingNai_P</t>
  </si>
  <si>
    <t>治疗准备停奶</t>
  </si>
  <si>
    <t>准备换仇</t>
  </si>
  <si>
    <t>HuanChou_P</t>
  </si>
  <si>
    <t>T准备换仇</t>
  </si>
  <si>
    <t>停手别打了</t>
  </si>
  <si>
    <t>TingShou_T</t>
  </si>
  <si>
    <t>DPS停手!</t>
  </si>
  <si>
    <t>治疗停手</t>
  </si>
  <si>
    <t>TingNai_T</t>
  </si>
  <si>
    <t>治疗停手!</t>
  </si>
  <si>
    <t>注意换仇</t>
  </si>
  <si>
    <t>HuanChou_T</t>
  </si>
  <si>
    <t>T注意换仇</t>
  </si>
  <si>
    <t>其它</t>
    <phoneticPr fontId="18" type="noConversion"/>
  </si>
  <si>
    <t>准备转阶段</t>
  </si>
  <si>
    <t>ZhuanJieDuan</t>
  </si>
  <si>
    <t>准备QTE</t>
  </si>
  <si>
    <t>QTE</t>
  </si>
  <si>
    <t>使用道具</t>
  </si>
  <si>
    <t>ShiYongDaoJu</t>
  </si>
  <si>
    <t>使用特殊道具</t>
  </si>
  <si>
    <t>使用特殊技能</t>
  </si>
  <si>
    <t>ShiYongTeShuJiNeng</t>
  </si>
  <si>
    <t>转火</t>
    <phoneticPr fontId="18" type="noConversion"/>
  </si>
  <si>
    <t>转火白云</t>
  </si>
  <si>
    <t>ZhuanHuo_T_BY</t>
  </si>
  <si>
    <t>转火小剑</t>
  </si>
  <si>
    <t>ZhuanHuo_T_XJ</t>
  </si>
  <si>
    <t>转火斧头</t>
  </si>
  <si>
    <t>ZhuanHuo_T_FT</t>
  </si>
  <si>
    <t>转火钩子</t>
  </si>
  <si>
    <t>ZhuanHuo_T_GZ</t>
  </si>
  <si>
    <t>转火红鼓</t>
  </si>
  <si>
    <t>ZhuanHuo_T_HG</t>
  </si>
  <si>
    <t>转火剪刀</t>
  </si>
  <si>
    <t>ZhuanHuo_T_JD</t>
  </si>
  <si>
    <t>转火棒槌</t>
  </si>
  <si>
    <t>ZhuanHuo_T_BCh</t>
  </si>
  <si>
    <t>转火如意</t>
  </si>
  <si>
    <t>ZhuanHuo_T_RY</t>
  </si>
  <si>
    <t>转火飞镖</t>
  </si>
  <si>
    <t>ZhuanHuo_T_FB</t>
  </si>
  <si>
    <t>转火扇子</t>
  </si>
  <si>
    <t>ZhuanHuo_T_ShZ</t>
  </si>
  <si>
    <t>转火扇子 </t>
  </si>
  <si>
    <t>近战转火白云</t>
  </si>
  <si>
    <t>ZhuanHuo_T_BY_sp</t>
  </si>
  <si>
    <t>近战转火小剑</t>
  </si>
  <si>
    <t>ZhuanHuo_T_XJ_sp</t>
  </si>
  <si>
    <t>近战转火斧头</t>
  </si>
  <si>
    <t>ZhuanHuo_T_FT_sp</t>
  </si>
  <si>
    <t>近战转火钩子</t>
  </si>
  <si>
    <t>ZhuanHuo_T_GZ_sp</t>
  </si>
  <si>
    <t>近战转火红鼓</t>
  </si>
  <si>
    <t>ZhuanHuo_T_HG_sp</t>
  </si>
  <si>
    <t>近战转火剪刀</t>
  </si>
  <si>
    <t>ZhuanHuo_T_JD_sp</t>
  </si>
  <si>
    <t>近战转火棒槌</t>
  </si>
  <si>
    <t>ZhuanHuo_T_BCh_sp</t>
  </si>
  <si>
    <t>近战转火如意</t>
  </si>
  <si>
    <t>ZhuanHuo_T_RY_sp</t>
  </si>
  <si>
    <t>近战转火飞镖</t>
  </si>
  <si>
    <t>ZhuanHuo_T_FB_sp</t>
  </si>
  <si>
    <t>近战转火扇子</t>
  </si>
  <si>
    <t>ZhuanHuo_T_ShZ_sp</t>
  </si>
  <si>
    <t>远程转火白云</t>
  </si>
  <si>
    <t>ZhuanHuo_T_BY_sp2</t>
  </si>
  <si>
    <t>远程转火小剑</t>
  </si>
  <si>
    <t>ZhuanHuo_T_XJ_sp2</t>
  </si>
  <si>
    <t>远程转火斧头</t>
  </si>
  <si>
    <t>ZhuanHuo_T_FT_sp2</t>
  </si>
  <si>
    <t>远程转火钩子</t>
  </si>
  <si>
    <t>ZhuanHuo_T_GZ_sp2</t>
  </si>
  <si>
    <t>远程转火红鼓</t>
  </si>
  <si>
    <t>ZhuanHuo_T_HG_sp2</t>
  </si>
  <si>
    <t>远程转火剪刀</t>
  </si>
  <si>
    <t>ZhuanHuo_T_JD_sp2</t>
  </si>
  <si>
    <t>远程转火棒槌</t>
  </si>
  <si>
    <t>ZhuanHuo_T_BCh_sp2</t>
  </si>
  <si>
    <t>远程转火如意</t>
  </si>
  <si>
    <t>ZhuanHuo_T_RY_sp2</t>
  </si>
  <si>
    <t>远程转火飞镖</t>
  </si>
  <si>
    <t>ZhuanHuo_T_FB_sp2</t>
  </si>
  <si>
    <t>远程转火扇子</t>
  </si>
  <si>
    <t>ZhuanHuo_T_ShZ_sp2</t>
  </si>
  <si>
    <t>内功转火白云</t>
  </si>
  <si>
    <t>ZhuanHuo_T_BY_sp3</t>
  </si>
  <si>
    <t>内功转火小剑</t>
  </si>
  <si>
    <t>ZhuanHuo_T_XJ_sp3</t>
  </si>
  <si>
    <t>内功转火斧头</t>
  </si>
  <si>
    <t>ZhuanHuo_T_FT_sp3</t>
  </si>
  <si>
    <t>内功转火钩子</t>
  </si>
  <si>
    <t>ZhuanHuo_T_GZ_sp3</t>
  </si>
  <si>
    <t>内功转火红鼓</t>
  </si>
  <si>
    <t>ZhuanHuo_T_HG_sp3</t>
  </si>
  <si>
    <t>内功转火剪刀</t>
  </si>
  <si>
    <t>ZhuanHuo_T_JD_sp3</t>
  </si>
  <si>
    <t>内功转火棒槌</t>
  </si>
  <si>
    <t>ZhuanHuo_T_BCh_sp3</t>
  </si>
  <si>
    <t>内功转火如意</t>
  </si>
  <si>
    <t>ZhuanHuo_T_RY_sp3</t>
  </si>
  <si>
    <t>内功转火飞镖</t>
  </si>
  <si>
    <t>ZhuanHuo_T_FB_sp3</t>
  </si>
  <si>
    <t>内功转火扇子</t>
  </si>
  <si>
    <t>ZhuanHuo_T_ShZ_sp3</t>
  </si>
  <si>
    <t>外功转火白云</t>
  </si>
  <si>
    <t>ZhuanHuo_T_BY_sp4</t>
  </si>
  <si>
    <t>外功转火小剑</t>
  </si>
  <si>
    <t>ZhuanHuo_T_XJ_sp4</t>
  </si>
  <si>
    <t>外功转火斧头</t>
  </si>
  <si>
    <t>ZhuanHuo_T_FT_sp4</t>
  </si>
  <si>
    <t>外功转火钩子</t>
  </si>
  <si>
    <t>ZhuanHuo_T_GZ_sp4</t>
  </si>
  <si>
    <t>外功转火红鼓</t>
  </si>
  <si>
    <t>ZhuanHuo_T_HG_sp4</t>
  </si>
  <si>
    <t>外功转火剪刀</t>
  </si>
  <si>
    <t>ZhuanHuo_T_JD_sp4</t>
  </si>
  <si>
    <t>外功转火棒槌</t>
  </si>
  <si>
    <t>ZhuanHuo_T_BCh_sp4</t>
  </si>
  <si>
    <t>外功转火如意</t>
  </si>
  <si>
    <t>ZhuanHuo_T_RY_sp4</t>
  </si>
  <si>
    <t>外功转火飞镖</t>
  </si>
  <si>
    <t>ZhuanHuo_T_FB_sp4</t>
  </si>
  <si>
    <t>外功转火扇子</t>
  </si>
  <si>
    <t>ZhuanHuo_T_ShZ_sp4</t>
  </si>
  <si>
    <t>治疗奶白云</t>
  </si>
  <si>
    <t>ZhiLiao_BY</t>
  </si>
  <si>
    <t>治疗奶小剑</t>
  </si>
  <si>
    <t>ZhiLiao_XJ</t>
  </si>
  <si>
    <t>治疗奶斧头</t>
  </si>
  <si>
    <t>ZhiLiao_FT</t>
  </si>
  <si>
    <t>治疗奶钩子</t>
  </si>
  <si>
    <t>ZhiLiao_GZ</t>
  </si>
  <si>
    <t>治疗奶红鼓</t>
  </si>
  <si>
    <t>ZhiLiao_HG</t>
  </si>
  <si>
    <t>治疗奶剪刀</t>
  </si>
  <si>
    <t>ZhiLiao_JD</t>
  </si>
  <si>
    <t>治疗奶棒槌</t>
  </si>
  <si>
    <t>ZhiLiao_BCh</t>
  </si>
  <si>
    <t>治疗奶如意</t>
  </si>
  <si>
    <t>ZhiLiao_RY</t>
  </si>
  <si>
    <t>治疗奶飞镖</t>
  </si>
  <si>
    <t>ZhiLiao_FB</t>
  </si>
  <si>
    <t>治疗奶扇子</t>
  </si>
  <si>
    <t>ZhiLiao_ShZ</t>
  </si>
  <si>
    <t>范围技能处理</t>
    <phoneticPr fontId="18" type="noConversion"/>
  </si>
  <si>
    <t>准备躲面向</t>
  </si>
  <si>
    <t>DuoMianXiang_P</t>
  </si>
  <si>
    <t>准备连续面向</t>
  </si>
  <si>
    <t>LianXuMianXiang_P</t>
  </si>
  <si>
    <t>准备进面向</t>
  </si>
  <si>
    <t>JinMianXiang_P</t>
  </si>
  <si>
    <t>准备躲矩形</t>
  </si>
  <si>
    <t>DuoJuXing_P</t>
  </si>
  <si>
    <t>准备躲圈</t>
  </si>
  <si>
    <t>DuoQuan_P</t>
  </si>
  <si>
    <t>准备连续躲圈</t>
  </si>
  <si>
    <t>LianXuDuoQuan_P</t>
  </si>
  <si>
    <t>准备进圈</t>
  </si>
  <si>
    <t>JinQuan_P</t>
  </si>
  <si>
    <t>准备躲线</t>
  </si>
  <si>
    <t>DuoXian_P</t>
  </si>
  <si>
    <t>准备挡线</t>
  </si>
  <si>
    <t>DangXian_P</t>
  </si>
  <si>
    <t>准备跳环</t>
  </si>
  <si>
    <t>TiaoHuan_P</t>
  </si>
  <si>
    <t>准备跳绳</t>
  </si>
  <si>
    <t>TiaoSheng_P</t>
  </si>
  <si>
    <t>面向快躲</t>
  </si>
  <si>
    <t>DuoMianXiang_T</t>
  </si>
  <si>
    <t>躲面向不要停</t>
  </si>
  <si>
    <t>LianXuMianXiang_T</t>
  </si>
  <si>
    <t>快进面向</t>
  </si>
  <si>
    <t>JinMianXiang_T</t>
  </si>
  <si>
    <t>矩形快躲</t>
  </si>
  <si>
    <t>DuoJuXing_T</t>
  </si>
  <si>
    <t>快躲圈</t>
  </si>
  <si>
    <t>DuoQuan_T</t>
  </si>
  <si>
    <t>躲圈躲圈躲圈</t>
  </si>
  <si>
    <t>LianXuDuoQuan_T</t>
  </si>
  <si>
    <t>快进圈</t>
  </si>
  <si>
    <t>JinQuan_T</t>
  </si>
  <si>
    <t>连线快躲</t>
  </si>
  <si>
    <t>DuoXian_T</t>
  </si>
  <si>
    <t>快挡线</t>
  </si>
  <si>
    <t>DangXian_T</t>
  </si>
  <si>
    <t>开始跳环</t>
  </si>
  <si>
    <t>TiaoHuan_T</t>
  </si>
  <si>
    <t>开始跳绳</t>
  </si>
  <si>
    <t>TiaoSheng_T</t>
  </si>
  <si>
    <t>小轻功</t>
    <phoneticPr fontId="18" type="noConversion"/>
  </si>
  <si>
    <t>准备扶摇</t>
  </si>
  <si>
    <t>FuYao_P</t>
  </si>
  <si>
    <t>准备二段跳</t>
  </si>
  <si>
    <t>ErDuanTiao_P</t>
  </si>
  <si>
    <t>准备后跳</t>
  </si>
  <si>
    <t>HouTiao_P</t>
  </si>
  <si>
    <t>准备蹑云</t>
  </si>
  <si>
    <t>NieYun_P</t>
  </si>
  <si>
    <t>扶摇起跳</t>
  </si>
  <si>
    <t>FuYao_T</t>
  </si>
  <si>
    <t>扶摇起跳并滞空</t>
  </si>
  <si>
    <t>FuYao_T_sp</t>
  </si>
  <si>
    <t>点名扶摇跳</t>
  </si>
  <si>
    <t>FuYao_T_s</t>
  </si>
  <si>
    <t>开始二段跳</t>
  </si>
  <si>
    <t>ErDuanTiao_T</t>
  </si>
  <si>
    <t>点名二段跳</t>
  </si>
  <si>
    <t>ErDuanTiao_T_s</t>
  </si>
  <si>
    <t>开始后跳</t>
  </si>
  <si>
    <t>HouTiao_T</t>
  </si>
  <si>
    <t>点名快后跳</t>
  </si>
  <si>
    <t>HouTiao_T_s</t>
  </si>
  <si>
    <t>蹑云快跑</t>
  </si>
  <si>
    <t>NieYun_T</t>
  </si>
  <si>
    <t>魔盒</t>
    <phoneticPr fontId="18" type="noConversion"/>
  </si>
  <si>
    <t>剑三欢迎你</t>
  </si>
  <si>
    <t>jx3box_1</t>
  </si>
  <si>
    <t>魔盒真好用</t>
  </si>
  <si>
    <t>jx3box_2</t>
  </si>
  <si>
    <t>倒数：5、4、3、2、1！</t>
  </si>
  <si>
    <t>jx3box_3</t>
  </si>
  <si>
    <t>脱战</t>
  </si>
  <si>
    <t>jx3box_4</t>
  </si>
  <si>
    <t>快脱战！快跑！</t>
  </si>
  <si>
    <t>自绝经脉</t>
  </si>
  <si>
    <t>jx3box_5</t>
  </si>
  <si>
    <t>快自绝经脉</t>
  </si>
  <si>
    <t>jx3box_6</t>
  </si>
  <si>
    <t>宝贝快开门！我知道你在家！</t>
  </si>
  <si>
    <t>jx3box_7</t>
  </si>
  <si>
    <t>下把一定</t>
  </si>
  <si>
    <t>jx3box_8</t>
  </si>
  <si>
    <t>语音唯一标识符</t>
    <phoneticPr fontId="18" type="noConversion"/>
  </si>
  <si>
    <t>内容示例</t>
    <phoneticPr fontId="18" type="noConversion"/>
  </si>
  <si>
    <t> 语音唯一标识符</t>
    <phoneticPr fontId="18" type="noConversion"/>
  </si>
  <si>
    <t>使用前请详细看本页黄字</t>
    <phoneticPr fontId="18" type="noConversion"/>
  </si>
  <si>
    <t>多个焦点数组，关系建议先写敌对，后友方，最后全部</t>
    <phoneticPr fontId="18" type="noConversion"/>
  </si>
  <si>
    <t>多个条件面板，必须最高条件放前，低条件放后，且每个条件面板的优先级需依次+1</t>
    <phoneticPr fontId="18" type="noConversion"/>
  </si>
  <si>
    <t>例：春泥护花，第一个条件&gt;=8层、优先级5，第二条件&gt;=4、优先级6，第三条件&gt;=1、优先级7</t>
    <phoneticPr fontId="18" type="noConversion"/>
  </si>
  <si>
    <t>例：第一条件，敌方血量&lt;100，第二条件非敌方血量&lt;100，第三条件全部</t>
    <phoneticPr fontId="18" type="noConversion"/>
  </si>
  <si>
    <t>例：王遗风，可以设置为NPC·王遗风，但不要设置为NPC·老王</t>
    <phoneticPr fontId="18" type="noConversion"/>
  </si>
  <si>
    <t>仅生效第一个字符，例：这是一个备注，显示时只显示“这”</t>
    <phoneticPr fontId="18" type="noConversion"/>
  </si>
  <si>
    <t>此气劲来源自己的监控，常用于治疗心法的hot</t>
    <phoneticPr fontId="18" type="noConversion"/>
  </si>
  <si>
    <t>绿块自行修改，不改亦可</t>
    <phoneticPr fontId="18" type="noConversion"/>
  </si>
  <si>
    <t>不生效，该事件屏蔽</t>
    <phoneticPr fontId="18" type="noConversion"/>
  </si>
  <si>
    <t>例：春泥护花，你可以自由添加各种符号写“气劲·减伤·【春泥护花】”，但请不要写“气劲·减伤·【春泥】”</t>
    <phoneticPr fontId="18" type="noConversion"/>
  </si>
  <si>
    <t>倒计时条调用标识，标识符由自己规定，但注意关键字请最最最最好用全名。因为标识符可以设置模板字符，你可以跨区域用模板字符调用终止，用了缩写则很难在别处用模板调用</t>
    <phoneticPr fontId="18" type="noConversion"/>
  </si>
  <si>
    <t>例：阴山大草原，可以设置标识符为地图·[阴山大草原]，但不要设置为地图·[阴山]或地图·[大草原]</t>
    <phoneticPr fontId="18" type="noConversion"/>
  </si>
  <si>
    <t>工具下载地址</t>
    <phoneticPr fontId="18" type="noConversion"/>
  </si>
  <si>
    <t>教程地址</t>
    <phoneticPr fontId="18" type="noConversion"/>
  </si>
  <si>
    <t>https://www.jx3box.com/tool/74098</t>
    <phoneticPr fontId="18" type="noConversion"/>
  </si>
  <si>
    <t>https://www.jx3box.com/tool/60356</t>
  </si>
  <si>
    <t>扇子</t>
  </si>
  <si>
    <t>[10]=false,</t>
  </si>
  <si>
    <t>[9]=false,</t>
  </si>
  <si>
    <t>[8]=false,</t>
  </si>
  <si>
    <t>棒槌</t>
  </si>
  <si>
    <t>[7]=false,</t>
  </si>
  <si>
    <t>剪刀</t>
  </si>
  <si>
    <t>[6]=false,</t>
  </si>
  <si>
    <t>红鼓</t>
  </si>
  <si>
    <t>[5]=false,</t>
  </si>
  <si>
    <t>钩子</t>
  </si>
  <si>
    <t>[4]=false,</t>
  </si>
  <si>
    <t>斧头</t>
  </si>
  <si>
    <t>小剑</t>
    <phoneticPr fontId="18" type="noConversion"/>
  </si>
  <si>
    <t>[2]=false,</t>
  </si>
  <si>
    <t>白云</t>
    <phoneticPr fontId="18" type="noConversion"/>
  </si>
  <si>
    <t>[1]=false,</t>
    <phoneticPr fontId="18" type="noConversion"/>
  </si>
  <si>
    <t>tMark={</t>
    <phoneticPr fontId="18" type="noConversion"/>
  </si>
  <si>
    <t>需要标记云、剑、斧则写</t>
    <phoneticPr fontId="18" type="noConversion"/>
  </si>
  <si>
    <t>[3]=false,</t>
    <phoneticPr fontId="18" type="noConversion"/>
  </si>
  <si>
    <t>tMark={true,true,true,false,false,false,false,false,false,false,},</t>
    <phoneticPr fontId="18" type="noConversion"/>
  </si>
  <si>
    <t>使用时省略下标</t>
    <phoneticPr fontId="18" type="noConversion"/>
  </si>
  <si>
    <t>头顶标记</t>
    <phoneticPr fontId="18" type="noConversion"/>
  </si>
  <si>
    <t>标记图标</t>
    <phoneticPr fontId="18" type="noConversion"/>
  </si>
  <si>
    <t>例：第一条件，敌方血量&gt;0，最大距离60尺，第二条件非敌方血量&gt;0，最大距离30尺，第三条件全部，血量&gt;0，最大距离10尺</t>
    <phoneticPr fontId="18" type="noConversion"/>
  </si>
  <si>
    <t>工作表不建议改名，否则无法保障程序识别与分类数据</t>
    <phoneticPr fontId="18" type="noConversion"/>
  </si>
  <si>
    <t>60,128,220,</t>
    <phoneticPr fontId="18" type="noConversion"/>
  </si>
  <si>
    <t>160,30,30,</t>
    <phoneticPr fontId="18" type="noConversion"/>
  </si>
  <si>
    <t>255,178,95,</t>
    <phoneticPr fontId="18" type="noConversion"/>
  </si>
  <si>
    <t>196,152,255,</t>
    <phoneticPr fontId="18" type="noConversion"/>
  </si>
  <si>
    <t>255,111,83,</t>
    <phoneticPr fontId="18" type="noConversion"/>
  </si>
  <si>
    <t>22,216,216,</t>
    <phoneticPr fontId="18" type="noConversion"/>
  </si>
  <si>
    <t>255,129,176,</t>
    <phoneticPr fontId="18" type="noConversion"/>
  </si>
  <si>
    <t>55,147,255,</t>
    <phoneticPr fontId="18" type="noConversion"/>
  </si>
  <si>
    <t>121,183,54,</t>
    <phoneticPr fontId="18" type="noConversion"/>
  </si>
  <si>
    <t>214,249,93,</t>
    <phoneticPr fontId="18" type="noConversion"/>
  </si>
  <si>
    <t>205,133,63,</t>
    <phoneticPr fontId="18" type="noConversion"/>
  </si>
  <si>
    <t>240,70,96,</t>
    <phoneticPr fontId="18" type="noConversion"/>
  </si>
  <si>
    <t>180,60,0,</t>
    <phoneticPr fontId="18" type="noConversion"/>
  </si>
  <si>
    <t>100,250,180,</t>
    <phoneticPr fontId="18" type="noConversion"/>
  </si>
  <si>
    <t>106,108,189,</t>
    <phoneticPr fontId="18" type="noConversion"/>
  </si>
  <si>
    <t>171,227,250,</t>
    <phoneticPr fontId="18" type="noConversion"/>
  </si>
  <si>
    <t>161,9,34,</t>
    <phoneticPr fontId="18" type="noConversion"/>
  </si>
  <si>
    <t>166,83,251,</t>
    <phoneticPr fontId="18" type="noConversion"/>
  </si>
  <si>
    <t>0,172,153,</t>
    <phoneticPr fontId="18" type="noConversion"/>
  </si>
  <si>
    <t>107,183,242,</t>
    <phoneticPr fontId="18" type="noConversion"/>
  </si>
  <si>
    <t>235,215,115,</t>
    <phoneticPr fontId="18" type="noConversion"/>
  </si>
  <si>
    <t>255,255,255,</t>
    <phoneticPr fontId="18" type="noConversion"/>
  </si>
  <si>
    <t>255,50,50,</t>
    <phoneticPr fontId="18" type="noConversion"/>
  </si>
  <si>
    <t>255,150,0,</t>
    <phoneticPr fontId="18" type="noConversion"/>
  </si>
  <si>
    <t>255,255,0,</t>
    <phoneticPr fontId="18" type="noConversion"/>
  </si>
  <si>
    <t>0,255,0,</t>
    <phoneticPr fontId="18" type="noConversion"/>
  </si>
  <si>
    <t>0,255,255,</t>
    <phoneticPr fontId="18" type="noConversion"/>
  </si>
  <si>
    <t>0,50,255,</t>
    <phoneticPr fontId="18" type="noConversion"/>
  </si>
  <si>
    <t>255,50,255,</t>
    <phoneticPr fontId="18" type="noConversion"/>
  </si>
  <si>
    <t>223,191,31,</t>
    <phoneticPr fontId="18" type="noConversion"/>
  </si>
  <si>
    <t>179,238,74,</t>
    <phoneticPr fontId="18" type="noConversion"/>
  </si>
  <si>
    <t>255,153,204,</t>
    <phoneticPr fontId="18" type="noConversion"/>
  </si>
  <si>
    <t>170,170,170,</t>
    <phoneticPr fontId="18" type="noConversion"/>
  </si>
  <si>
    <t>255,204,0,</t>
    <phoneticPr fontId="18" type="noConversion"/>
  </si>
  <si>
    <t>165,96,232,</t>
    <phoneticPr fontId="18" type="noConversion"/>
  </si>
  <si>
    <t>0,238,0,</t>
    <phoneticPr fontId="18" type="noConversion"/>
  </si>
  <si>
    <t>DEC2HEX</t>
    <phoneticPr fontId="18" type="noConversion"/>
  </si>
  <si>
    <t>团队气劲面板：第一个面板条件分列编写，若还有其他条件，则将剩余条件以{},{},合并为一个，置于第一条件面板尾部的单元格内</t>
    <phoneticPr fontId="18" type="noConversion"/>
  </si>
  <si>
    <t>焦点列表：所有焦点列表条件置于return列前一个单元格</t>
    <phoneticPr fontId="18" type="noConversion"/>
  </si>
  <si>
    <t>倒计时条：置于每行数据末尾，第一条轴必须在return列后，每个轴以{},形式分别置于单元格内，列序号依次添加，默认读取到ZZ列，至多拼接256条轴</t>
    <phoneticPr fontId="18" type="noConversion"/>
  </si>
  <si>
    <t>TALK、CHAT。请注意特殊字符转义问题，换行请写\n，若含有英文引号请用\转义，例："侠士"上线了。请写\"侠士\"上线了。</t>
    <phoneticPr fontId="18" type="noConversion"/>
  </si>
  <si>
    <t>表格第一列标识为程序读取保留列，此列作为注释用，不影响数据导出，但不建议删除此列，其他参数若不需要可删除或隐藏列</t>
    <phoneticPr fontId="18" type="noConversion"/>
  </si>
  <si>
    <t>倒计时条以{},形式保存，且每条轴占一个单元格，从return列后依次增加列</t>
    <phoneticPr fontId="18" type="noConversion"/>
  </si>
  <si>
    <t>模板字符</t>
    <phoneticPr fontId="18" type="noConversion"/>
  </si>
  <si>
    <t>{$me}</t>
    <phoneticPr fontId="18" type="noConversion"/>
  </si>
  <si>
    <t>{$sender}</t>
    <phoneticPr fontId="18" type="noConversion"/>
  </si>
  <si>
    <t>{$receiver}</t>
    <phoneticPr fontId="18" type="noConversion"/>
  </si>
  <si>
    <t>注:使用ID解析串可防止内容被屏蔽，支持的模式如下（包含花括号）</t>
    <phoneticPr fontId="18" type="noConversion"/>
  </si>
  <si>
    <t>ID为188的气劲名称</t>
    <phoneticPr fontId="18" type="noConversion"/>
  </si>
  <si>
    <t>{$B188,2}</t>
    <phoneticPr fontId="18" type="noConversion"/>
  </si>
  <si>
    <t>ID为188，等级为2的气劲名称</t>
    <phoneticPr fontId="18" type="noConversion"/>
  </si>
  <si>
    <t>ID为188的武学招式名称</t>
    <phoneticPr fontId="18" type="noConversion"/>
  </si>
  <si>
    <t>{$S188,2}</t>
    <phoneticPr fontId="18" type="noConversion"/>
  </si>
  <si>
    <t>{$D188}</t>
    <phoneticPr fontId="18" type="noConversion"/>
  </si>
  <si>
    <t>模板ID为188的交互物件名称</t>
    <phoneticPr fontId="18" type="noConversion"/>
  </si>
  <si>
    <t>地图ID为188的场景名称</t>
    <phoneticPr fontId="18" type="noConversion"/>
  </si>
  <si>
    <t>{$S188}</t>
    <phoneticPr fontId="18" type="noConversion"/>
  </si>
  <si>
    <t>{$N188}</t>
    <phoneticPr fontId="18" type="noConversion"/>
  </si>
  <si>
    <t>ID为188，等级为2的武学招式名称5.</t>
    <phoneticPr fontId="18" type="noConversion"/>
  </si>
  <si>
    <t>模板ID为188的系统角色名称</t>
    <phoneticPr fontId="18" type="noConversion"/>
  </si>
  <si>
    <t>{$team}</t>
    <phoneticPr fontId="18" type="noConversion"/>
  </si>
  <si>
    <t>该事件受影响者的名字，如被点名的队友</t>
    <phoneticPr fontId="18" type="noConversion"/>
  </si>
  <si>
    <t>该事件发起者的名字，如点名者</t>
    <phoneticPr fontId="18" type="noConversion"/>
  </si>
  <si>
    <t>当前登录的账号的角色名字，可用于喊话系统</t>
    <phoneticPr fontId="18" type="noConversion"/>
  </si>
  <si>
    <t>-1:删除倒计时条的显示，但不清除CD。-2:与-1相反，清除CD，但不删除倒计时条。0:-1与-2两个功能合并，既删除倒计时条，又清除CD</t>
    <phoneticPr fontId="18" type="noConversion"/>
  </si>
  <si>
    <t>团队玩家的名字，包含自己的名字，只有在团队中方可使用，用于喊话系统</t>
    <phoneticPr fontId="18" type="noConversion"/>
  </si>
  <si>
    <t>{$B188}</t>
    <phoneticPr fontId="18" type="noConversion"/>
  </si>
  <si>
    <t>{$M188}</t>
    <phoneticPr fontId="18" type="noConversion"/>
  </si>
  <si>
    <t>竞技地图</t>
    <phoneticPr fontId="18" type="noConversion"/>
  </si>
  <si>
    <t>苍云血誓</t>
    <phoneticPr fontId="18" type="noConversion"/>
  </si>
  <si>
    <t>0 - 透明，255 - 完全不透明</t>
    <phoneticPr fontId="18" type="noConversion"/>
  </si>
  <si>
    <t>最后2位控制透明度，00 - 透明，FF - 完全不透明</t>
    <phoneticPr fontId="18" type="noConversion"/>
  </si>
  <si>
    <t>技能开始释放(运功)</t>
    <phoneticPr fontId="18" type="noConversion"/>
  </si>
  <si>
    <t>技能成功释放(结束)</t>
    <phoneticPr fontId="18" type="noConversion"/>
  </si>
  <si>
    <t>获得BUFF</t>
    <phoneticPr fontId="18" type="noConversion"/>
  </si>
  <si>
    <t>NPC进入场景</t>
    <phoneticPr fontId="18" type="noConversion"/>
  </si>
  <si>
    <t>NPC离开场景</t>
    <phoneticPr fontId="18" type="noConversion"/>
  </si>
  <si>
    <t>互动物品进入场景</t>
    <phoneticPr fontId="18" type="noConversion"/>
  </si>
  <si>
    <t>聊天监控(喊话监控使用)</t>
    <phoneticPr fontId="18" type="noConversion"/>
  </si>
  <si>
    <t>地图id</t>
  </si>
  <si>
    <t>图标</t>
  </si>
  <si>
    <t>区分等级</t>
  </si>
  <si>
    <t>监控对象</t>
  </si>
  <si>
    <t>心法要求</t>
  </si>
  <si>
    <t>通用颜色</t>
  </si>
  <si>
    <t>获得气劲.标记</t>
  </si>
  <si>
    <t>获得气劲.语音报警</t>
  </si>
  <si>
    <t>获得气劲.团队报警</t>
  </si>
  <si>
    <t>获得气劲.密聊报警</t>
  </si>
  <si>
    <t>获得气劲.中央报警</t>
  </si>
  <si>
    <t>获得气劲.头顶警报</t>
  </si>
  <si>
    <t>获得气劲.团队气劲列表</t>
  </si>
  <si>
    <t>获得气劲.自身气劲列表</t>
  </si>
  <si>
    <t>获得气劲.团队面板</t>
  </si>
  <si>
    <t>获得气劲.仅来源自己</t>
  </si>
  <si>
    <t>失去气劲.团队警报</t>
  </si>
  <si>
    <t>失去气劲.密聊警报</t>
  </si>
  <si>
    <t>失去气劲.中央警报</t>
  </si>
  <si>
    <t>面板.触发层数</t>
  </si>
  <si>
    <t>面板.触发逻辑</t>
  </si>
  <si>
    <t>面板.仅来源自己</t>
  </si>
  <si>
    <t>面板.仅监控自己</t>
  </si>
  <si>
    <t>面板.备注</t>
  </si>
  <si>
    <t>面板.优先级</t>
  </si>
  <si>
    <t>面板.蒙版颜色</t>
  </si>
  <si>
    <t>面板.头顶颜色</t>
  </si>
  <si>
    <t>面板.描边透明度</t>
  </si>
  <si>
    <t>面板.蒙版警告</t>
  </si>
  <si>
    <t>面板.特效警告</t>
  </si>
  <si>
    <t>面板.头顶提示</t>
  </si>
  <si>
    <t>面板.保留数组</t>
  </si>
  <si>
    <t>return{BUFF={</t>
  </si>
  <si>
    <t>倒计时条</t>
  </si>
  <si>
    <t>阵营地图的数据</t>
  </si>
  <si>
    <t>{nClass=2,nIcon=6678,nFrame=6,szName="骑御·调息",nTime=-1,key="骑御·调息",},</t>
  </si>
  <si>
    <t>{nClass=2,nIcon=6491,nFrame=-1,szName="",nTime=0.01,nRefresh=300,key="骑御·劲足",},</t>
  </si>
  <si>
    <t>{nClass=2,nIcon=6491,nFrame=0,szName="骑御·劲足",nTime=-1,key="骑御·劲足",},</t>
  </si>
  <si>
    <t>{nClass=1,nIcon=6678,nFrame=6,szName="调息7级·buff触发倒计时",nTime="18.8,调息·7级·触发剩余;22.8,调息·5级·触发剩余",nRefresh=1,key="骑御·调息",},</t>
  </si>
  <si>
    <t>劲足</t>
  </si>
  <si>
    <t>{nClass=1,nIcon=6678,nFrame=0,szName="骑御·调息",nTime=0,key="骑御·调息",},</t>
  </si>
  <si>
    <t>{nClass=1,nIcon=6678,nFrame=-1,szName="骑御·调息",nTime=0.01,nRefresh=300,key="骑御·调息",},</t>
  </si>
  <si>
    <t>{nClass=1,nIcon=6678,nFrame=-1,szName="骑御·调息",nTime=-1,nRefresh=300,key="骑御·调息",},</t>
  </si>
  <si>
    <t>{nClass=1,nIcon=6491,nFrame=6,szName="骑御·劲足",nTime=0.5,nRefresh=300,key="骑御·劲足",},</t>
  </si>
  <si>
    <t>{nClass=2,nIcon=6491,nFrame=4,szName="劲足·消失",nTime=2,nRefresh=3000,key="骑御·劲足",},</t>
  </si>
  <si>
    <t>{nClass=1,nIcon=6678,nFrame=6,szName="骑御·调息",nTime=0,key="骑御·调息",},</t>
  </si>
  <si>
    <t>家园的数据</t>
  </si>
  <si>
    <t>单人床</t>
  </si>
  <si>
    <t>白日梦·单人床</t>
  </si>
  <si>
    <t>{nClass=2,nIcon=12457,nFrame=-1,szName="",nTime=0.01,nRefresh=5,key="白日梦",},</t>
  </si>
  <si>
    <t>{nClass=2,nIcon=12457,nFrame=-1,szName="白日梦",nTime=-1,key="白日梦",},</t>
  </si>
  <si>
    <t>双人床</t>
  </si>
  <si>
    <t>白日梦·双人床</t>
  </si>
  <si>
    <t>绝境战场的数据</t>
  </si>
  <si>
    <t>255,204,0,</t>
  </si>
  <si>
    <t>伪 道具伪装</t>
  </si>
  <si>
    <t>#FFCC00FF</t>
  </si>
  <si>
    <t>影 道具月影沙隐身</t>
  </si>
  <si>
    <t>影 道具月影沙隐身提高移动速度</t>
  </si>
  <si>
    <t>179,238,58,</t>
  </si>
  <si>
    <t>&gt;=</t>
  </si>
  <si>
    <t>盾 道具血染春秋化解</t>
  </si>
  <si>
    <t>#B3EE3AFF</t>
  </si>
  <si>
    <t>{szStackOp="&gt;=",nStackNum=1,szReminder="盾 道具血染春秋化解",nPriority=12,nColAlpha=255,col="#B3EE3AFF",},</t>
  </si>
  <si>
    <t>啸 道具龙啸减伤</t>
  </si>
  <si>
    <t>减 道具驭羽骋风减伤</t>
  </si>
  <si>
    <t>减 道具枯残蛊减伤</t>
  </si>
  <si>
    <t>减 道具崇岭连绵剑减伤</t>
  </si>
  <si>
    <t>免 道具_锻骨不受控制及沉默</t>
  </si>
  <si>
    <t>#B3EE3A</t>
  </si>
  <si>
    <t>舍 道具受到舍身</t>
  </si>
  <si>
    <t>#FFCC00</t>
  </si>
  <si>
    <t>165,96,232,</t>
  </si>
  <si>
    <t>平 道具被平沙</t>
  </si>
  <si>
    <t>#FF0055FF</t>
  </si>
  <si>
    <t>#A560E8</t>
  </si>
  <si>
    <t>隐 道具暗尘弥散施展伤害招式伪装失效</t>
  </si>
  <si>
    <t>免 道具暗尘弥散免控（击退和被拉除外）</t>
  </si>
  <si>
    <t>笑 道具笑醉狂减伤</t>
  </si>
  <si>
    <t>散 道具散流霞无敌</t>
  </si>
  <si>
    <t>免 道具_疾如风免控（击退和被拉除外）</t>
  </si>
  <si>
    <t>野外地图的数据</t>
  </si>
  <si>
    <t>255,255,0,</t>
  </si>
  <si>
    <t>{nClass=1,nIcon=4005,nFrame=0,bHold=true,szName="套马杆",nTime=-2,key="套马杆",},</t>
  </si>
  <si>
    <t>{nClass=1,nIcon=4005,nFrame=0,bHold=true,szName="套马杆",nTime=600,nRefresh=599,key="套马杆",},</t>
  </si>
  <si>
    <t>{nClass=2,nIcon=4005,nFrame=3,szName="套马杆",nTime=0,key="套马杆",},</t>
  </si>
  <si>
    <t>{nClass=2,nIcon=4005,nFrame=3,szName="套马杆",nTime="1,套马杆·消失啦;2,套马杆·消失啦;3,套马杆·消失啦;20,套马杆·消失啦",nRefresh=0,key="套马杆",},</t>
  </si>
  <si>
    <t>{nClass=1,nIcon=17135,nFrame=5,bHold=true,szName="召唤宠物",nTime=0,key="召唤宠物",},</t>
  </si>
  <si>
    <t>["SKILL#10021"]=true,["SKILL#10028"]=true,</t>
  </si>
  <si>
    <t>{nClass=2,nIcon=1444,nFrame=5,szName="为自身添加等级为1持续时间为15秒的寒泉",nTime=0,key="寒泉",},</t>
  </si>
  <si>
    <t>{nClass=1,nIcon=1444,nFrame=5,szName="寒泉",nTime=15,key="寒泉",},</t>
  </si>
  <si>
    <t>0,255,255,</t>
  </si>
  <si>
    <t>{nClass=1,nIcon=4519,nFrame=6,szName="神采飞扬·邮寄礼物·马草饲料",nTime=20,nRefresh=7200,key="训马·交互·神采飞扬",},</t>
  </si>
  <si>
    <t>{nClass=2,nIcon=4519,nFrame=3,szName="神采飞扬·消失",nTime=5,key="训马·心情",},</t>
  </si>
  <si>
    <t>{nClass=1,nIcon=4521,nFrame=5,szName="无忧无虑·加速成长·lv/20min",nTime=20,nRefresh=7200,key="训马·交互·无忧无虑",},</t>
  </si>
  <si>
    <t>{nClass=2,nIcon=4521,nFrame=3,szName="无忧无虑·消失",nTime=5,key="训马·心情",},</t>
  </si>
  <si>
    <t>{nClass=2,nIcon=1465,nFrame=-1,szName="　",nTime=0.001,nRefresh=300,key="骑御·劲足",},</t>
  </si>
  <si>
    <t>{nClass=2,nIcon=6491,nFrame=5,szName="骑御·劲足",nTime=-1,key="骑御·劲足",},</t>
  </si>
  <si>
    <t>{nClass=1,nIcon=6678,nFrame=6,szName="调息7级·buff触发倒计时",nTime="18.8,调息·7级·触发剩余;22.8,调息·5级·触发剩余",nRefresh=0,key="骑御·调息",},</t>
  </si>
  <si>
    <t>{nClass=1,nIcon=6678,nFrame=-1,szName="骑御·调息",nTime=0.001,nRefresh=300,key="骑御·调息",},</t>
  </si>
  <si>
    <t>{nClass=2,nIcon=6491,nFrame=4,szName="劲足·消失",nTime=2,nRefresh=300,key="骑御·劲足",},</t>
  </si>
  <si>
    <t>免 专注</t>
  </si>
  <si>
    <t>{nClass=1,nIcon=4408,nFrame=6,szName="驰踪令·无法选中",nTime=20,key="驰踪令·专注",},</t>
  </si>
  <si>
    <t>{nClass=2,nIcon=4408,nFrame=5,szName="驰踪令·专注",nTime=0,key="驰踪令·专注",},</t>
  </si>
  <si>
    <t>31,255,238,</t>
  </si>
  <si>
    <t>握 奶花技能握针hot</t>
  </si>
  <si>
    <t>#1FFFEEFF</t>
  </si>
  <si>
    <t>0,255,0,</t>
  </si>
  <si>
    <t>#00FF00FF</t>
  </si>
  <si>
    <t>#00FF00</t>
  </si>
  <si>
    <t>{nClass=1,nIcon=592,nFrame=8,szName="【{$receiver}】·占领据点",nTime=600,key="占领据点",},</t>
  </si>
  <si>
    <t>{nClass=2,nIcon=592,nFrame=8,szName="占领据点",nTime=0,key="占领据点",},</t>
  </si>
  <si>
    <t>团队秘境的数据</t>
  </si>
  <si>
    <t>["SKILL#10080"]=true,</t>
  </si>
  <si>
    <t>{nClass=2,nIcon=904,nFrame=5,szName="倒计时 {$B20938}",nTime="1,【{$receiver}】·补左旋右转;2,【{$receiver}】·补左旋右转,VO:ShiYongTeShuJiNeng;5,【{$receiver}】·补左旋右转",nRefresh=1,key="KEY·左旋右转",},</t>
  </si>
  <si>
    <t>["SKILL#10626"]=true,</t>
  </si>
  <si>
    <t>{nClass=1,nIcon=15692,nFrame=5,szName="KEY·飘黄",nTime=0,nRefresh=1,key="KEY·飘黄",},</t>
  </si>
  <si>
    <t>小队秘境的数据</t>
  </si>
  <si>
    <t>秘境的数据</t>
  </si>
  <si>
    <t>免伤</t>
  </si>
  <si>
    <t>255,150,0,</t>
  </si>
  <si>
    <t>{nClass=2,nIcon=1546,nFrame=5,szName="南瓜盅菜盘·消失",nTime=3,nRefresh=60,key="帮会外食",},</t>
  </si>
  <si>
    <t>{nClass=2,nIcon=546,nFrame=5,szName="肘子菜盘·消失",nTime=3,nRefresh=60,key="帮会外食",},</t>
  </si>
  <si>
    <t>{nClass=2,nIcon=552,nFrame=5,szName="蒸鱼菜盘·消失",nTime=3,nRefresh=60,key="帮会外食",},</t>
  </si>
  <si>
    <t>{nClass=2,nIcon=264,nFrame=5,szName="鸡肉菜盘·消失",nTime=3,nRefresh=60,key="帮会外食",},</t>
  </si>
  <si>
    <t>{nClass=2,nIcon=171,nFrame=5,szName="烧鸡外食·消失",nTime=3,nRefresh=60,key="帮会外食",},</t>
  </si>
  <si>
    <t>{nClass=1,nIcon=15692,nFrame=5,szName="KEY·飘黄",nTime=0,key="KEY·飘黄",},</t>
  </si>
  <si>
    <t>子规笛</t>
  </si>
  <si>
    <t>{nClass=1,nIcon=13346,nFrame=5,szName="子规笛·战",nTime=0,key="子规笛·战",},</t>
  </si>
  <si>
    <t>{nClass=2,nIcon=13346,nFrame=3,szName="子规笛·战·消失",nTime=5,key="子规笛·战",},</t>
  </si>
  <si>
    <t>{nClass=2,nIcon=4543,nFrame=5,szName="子规笛·疾",nTime=0,key="子规笛·疾",},</t>
  </si>
  <si>
    <t>{nClass=1,nIcon=4543,nFrame=6,szName="子规笛·疾",nTime=15,key="子规笛·疾",},</t>
  </si>
  <si>
    <t>{nClass=1,nIcon=4005,nFrame=5,szName="套马杆",nTime=-1,key="套马杆",},</t>
  </si>
  <si>
    <t>{nClass=2,nIcon=4005,nFrame=3,szName="套马杆",nTime=-1,key="套马杆",},</t>
  </si>
  <si>
    <t>述 奶花奇穴述怀hot</t>
  </si>
  <si>
    <t>#00EE00FF</t>
  </si>
  <si>
    <t>翔 奶秀技能翔舞hot</t>
  </si>
  <si>
    <t>元 奶秀技能上元hot</t>
  </si>
  <si>
    <t>芍 赤芍寒香</t>
  </si>
  <si>
    <t>梅 奶歌技能梅花三弄化解</t>
  </si>
  <si>
    <t>宫 奶歌技能宫hot</t>
  </si>
  <si>
    <t>商 奶歌技能商hot</t>
  </si>
  <si>
    <t>角 奶歌技能角hot</t>
  </si>
  <si>
    <t>神拳之威 神拳之威</t>
  </si>
  <si>
    <t>#FF9600FF</t>
  </si>
  <si>
    <t>#FF9600</t>
  </si>
  <si>
    <t>赴 赴宴费大劲增益12尺内</t>
  </si>
  <si>
    <t>威胁值降低</t>
  </si>
  <si>
    <t>管家威胁值降低</t>
  </si>
  <si>
    <t>助战NPC</t>
  </si>
  <si>
    <t>霸</t>
  </si>
  <si>
    <t>南 花间奇穴南风无敌</t>
  </si>
  <si>
    <t>甲 奇穴天工甲士无敌</t>
  </si>
  <si>
    <t>永 花间奇穴翰墨永誓禁疗无敌</t>
  </si>
  <si>
    <t>折 奶花奇穴折页复活</t>
  </si>
  <si>
    <t>大 奶花奇穴大针</t>
  </si>
  <si>
    <t>免 奶花奇穴沃土免打断缴械无法运功</t>
  </si>
  <si>
    <t>春 技能春泥减伤</t>
  </si>
  <si>
    <t>春 弹梦春泥减伤免驱散</t>
  </si>
  <si>
    <t>春 奇穴南柯+15技能春泥减伤</t>
  </si>
  <si>
    <t>免 免控（击退和被拉除外）急速提高30%</t>
  </si>
  <si>
    <t>免 免控（击退和被拉除外）</t>
  </si>
  <si>
    <t>盾 化解气血最大值45%的伤害</t>
  </si>
  <si>
    <t>月 万花水月爆发免控</t>
  </si>
  <si>
    <t>月 万花水月免疫控制（击退和被拉除外）</t>
  </si>
  <si>
    <t>局 奶花局针奇穴免封轻功</t>
  </si>
  <si>
    <t>春 无界技能春泥减伤</t>
  </si>
  <si>
    <t>31,63,255,</t>
  </si>
  <si>
    <t>晕 缠竹友方</t>
  </si>
  <si>
    <t>#1F3FFFFF</t>
  </si>
  <si>
    <t>#1F3FFF</t>
  </si>
  <si>
    <t>冥 奇穴冥泽免死</t>
  </si>
  <si>
    <t>减 技能天地风袖减伤</t>
  </si>
  <si>
    <t>闪 雾雨闪避</t>
  </si>
  <si>
    <t>繁 技能繁音免封闪避</t>
  </si>
  <si>
    <t>闪 雾雨闪避提高100%</t>
  </si>
  <si>
    <t>闪 奇穴两生闪避</t>
  </si>
  <si>
    <t>摊 奶秀技能王母平摊</t>
  </si>
  <si>
    <t>闪 技能鹊踏闪避</t>
  </si>
  <si>
    <t>免 蝶弄足3秒免控（被拉除外）</t>
  </si>
  <si>
    <t>免 免控（击退和被拉除外）免伤+20%</t>
  </si>
  <si>
    <t>天地低昂·悟</t>
  </si>
  <si>
    <t>独 奇穴独觉外功无敌</t>
  </si>
  <si>
    <t>锻 技能锻骨内功无敌</t>
  </si>
  <si>
    <t>不 洗髓奇穴不动无敌</t>
  </si>
  <si>
    <t>减 奇穴轮回减伤</t>
  </si>
  <si>
    <t>弘 洗髓奇穴受到弘法</t>
  </si>
  <si>
    <t>狮 奇穴受到狮啸</t>
  </si>
  <si>
    <t>狮 奇穴狮啸血上限</t>
  </si>
  <si>
    <t>免 千斤坠免控击退和被拉除外</t>
  </si>
  <si>
    <t>免 锻骨决_易筋经不受控制及沉默</t>
  </si>
  <si>
    <t>蓄 千斤坠蓄力中落地时造成伤害</t>
  </si>
  <si>
    <t>镇 气纯技能山河无敌</t>
  </si>
  <si>
    <t>行 行天道免控可击退和被拉</t>
  </si>
  <si>
    <t>行 剑纯奇穴行天道无敌闪避100%</t>
  </si>
  <si>
    <t>闪 技能凭虚闪避几率提高50%</t>
  </si>
  <si>
    <t>虎 技能啸如虎免死</t>
  </si>
  <si>
    <t>山 技能守如山减伤</t>
  </si>
  <si>
    <t>御 每层化解一次伤害</t>
  </si>
  <si>
    <t>霸 PVE套装_铁牢6件套效果</t>
  </si>
  <si>
    <t>长 奇穴长致无敌</t>
  </si>
  <si>
    <t>泉 技能泉凝月化解</t>
  </si>
  <si>
    <t>泉 技能泉凝月化解增强</t>
  </si>
  <si>
    <t>云 技能云栖松闪避</t>
  </si>
  <si>
    <t>晕 技能鹤归眩晕</t>
  </si>
  <si>
    <t>佑 奶毒奇穴孔雀引生效</t>
  </si>
  <si>
    <t>祭 蛊虫献祭通用免控（击退和被拉除外）</t>
  </si>
  <si>
    <t>免 驭虫免控（击退和被拉除外）</t>
  </si>
  <si>
    <t>鬼 田螺技能鬼斧无敌</t>
  </si>
  <si>
    <t>隐 技能隐身</t>
  </si>
  <si>
    <t>隐 奇穴群隐</t>
  </si>
  <si>
    <t>惊 技能惊鸿闪避内减</t>
  </si>
  <si>
    <t>鸟 鸟翔碧空不受招式控制</t>
  </si>
  <si>
    <t>飞 不受招式控制（击退和被拉除外）</t>
  </si>
  <si>
    <t>免 飞星遁影免控（击退和被拉除外）</t>
  </si>
  <si>
    <t>净</t>
  </si>
  <si>
    <t>净 焚影奇穴清净心无敌</t>
  </si>
  <si>
    <t>减 奇穴微妙风降被命中</t>
  </si>
  <si>
    <t>隐 施展伤害招式或受到伤害后伪装失效</t>
  </si>
  <si>
    <t>贪 贪魔体</t>
  </si>
  <si>
    <t>贪 技能贪魔体减伤</t>
  </si>
  <si>
    <t>免 不受招式控制（击退和被拉除外）</t>
  </si>
  <si>
    <t>免 免疫控制效果（被推被拉除外）</t>
  </si>
  <si>
    <t>盾 化解自身最大气血值20%的伤害</t>
  </si>
  <si>
    <t>仁 奇穴仁德无敌</t>
  </si>
  <si>
    <t>啸 技能龙啸减伤</t>
  </si>
  <si>
    <t>乘 技能乘龙奇穴加强减伤60%</t>
  </si>
  <si>
    <t>乘 免疫下次伤害</t>
  </si>
  <si>
    <t>闪 奇穴醉逍遥闪避</t>
  </si>
  <si>
    <t>免 笑醉狂_免控</t>
  </si>
  <si>
    <t>减 笑醉狂</t>
  </si>
  <si>
    <t>隐 分山奇穴隐刀无敌</t>
  </si>
  <si>
    <t>立 分山技能盾立无敌</t>
  </si>
  <si>
    <t>激 分山奇穴激奋免死</t>
  </si>
  <si>
    <t>墙 技能盾墙减伤</t>
  </si>
  <si>
    <t>墙 技能盾墙附魔后群减伤</t>
  </si>
  <si>
    <t>壁 技能盾壁化解</t>
  </si>
  <si>
    <t>壁 技能盾壁加强版化解</t>
  </si>
  <si>
    <t>壁 盾壁双倍血量盾</t>
  </si>
  <si>
    <t>壁 盾壁新肃列盾壁效果</t>
  </si>
  <si>
    <t>免 免疫一切控制效果（被拉除外）</t>
  </si>
  <si>
    <t>平 控制敌对玩家目标</t>
  </si>
  <si>
    <t>孤 技能孤影化双减伤</t>
  </si>
  <si>
    <t>本 莫问奇穴浮影本体切剑减伤</t>
  </si>
  <si>
    <t>255,255,255,</t>
  </si>
  <si>
    <t>石 奶歌奇穴石间意免控免封</t>
  </si>
  <si>
    <t>#FFFFFF</t>
  </si>
  <si>
    <t>摊 技能云深平摊</t>
  </si>
  <si>
    <t>散 无法选中移速提高20%</t>
  </si>
  <si>
    <t>逸 技能逸尘步虚无敌</t>
  </si>
  <si>
    <t>浮 浮游天地免控</t>
  </si>
  <si>
    <t>十 技能十方无敌</t>
  </si>
  <si>
    <t>闪 技能日月吴钩闪避</t>
  </si>
  <si>
    <t>鬼 奇穴闻鹤降被命中</t>
  </si>
  <si>
    <t>巨 技能巨门无敌</t>
  </si>
  <si>
    <t>水 奇穴神占水卦无敌</t>
  </si>
  <si>
    <t>逐 技能逐云寒蕊无敌</t>
  </si>
  <si>
    <t>碧 林素奇穴浅碧免死</t>
  </si>
  <si>
    <t>免 绿野蔓生抗拒</t>
  </si>
  <si>
    <t>减 技能应天授命减伤回血</t>
  </si>
  <si>
    <t>盾 结魂契约_护盾15%</t>
  </si>
  <si>
    <t>乘 免疫所有控制效果</t>
  </si>
  <si>
    <t>免 免疫控制效果（击退和被拉除外）</t>
  </si>
  <si>
    <t>主城的数据</t>
  </si>
  <si>
    <t>　</t>
  </si>
  <si>
    <t>0,0,0,</t>
  </si>
  <si>
    <t>通用的数据</t>
  </si>
  <si>
    <t>起飞</t>
  </si>
  <si>
    <t>滑翔</t>
  </si>
  <si>
    <t>31,255,255,</t>
  </si>
  <si>
    <t>#1FFFFFFF</t>
  </si>
  <si>
    <t>{nClass=1,nIcon=7682,nFrame=0,szName="滑翔效果·Ctrl+右键气劲可卸除",nTime=60,key="白羽焰翼·滑翔",},</t>
  </si>
  <si>
    <t>{nClass=2,nIcon=7682,nFrame=5,szName="",nTime=0,key="白羽焰翼·滑翔",},</t>
  </si>
  <si>
    <t>{nClass=2,nIcon=904,nFrame=5,szName="倒计时 {$B20938}",nTime="1,【{$receiver}】·补左旋右转;2,【{$receiver}】·补左旋右转;5,【{$receiver}】·补左旋右转",nRefresh=1,key="KEY·左旋右转",},</t>
  </si>
  <si>
    <t>{nClass=2,nIcon=2038,nFrame=7,szName="乱洒青荷在命中NPC等级≤105/115时：为自身添加等级为1持续时间为8秒的霜聚结露，提高1500点基础混元性内功攻击",nTime=0,key="霜聚结露",},</t>
  </si>
  <si>
    <t>{nClass=1,nIcon=2038,nFrame=7,szName="霜聚结露",nTime=8,key="霜聚结露",},</t>
  </si>
  <si>
    <t>{nClass=2,nIcon=2038,nFrame=7,szName="霜聚结露·愈·提高2000点治疗量",nTime=0,key="霜聚结露·愈",},</t>
  </si>
  <si>
    <t>{nClass=1,nIcon=2038,nFrame=7,szName="霜聚结露·愈",nTime=8,key="霜聚结露·愈",},</t>
  </si>
  <si>
    <t>冰花爆炸7尺仅有一朵</t>
  </si>
  <si>
    <t>真药苦中叹</t>
  </si>
  <si>
    <t>冬 冬去春来</t>
  </si>
  <si>
    <t>春泥触发无花只有寒</t>
  </si>
  <si>
    <t>冷月照独帆</t>
  </si>
  <si>
    <t>["SKILL#10175"]=true,["SKILL#10176"]=true,</t>
  </si>
  <si>
    <t>隐 无隐无踪</t>
  </si>
  <si>
    <t>255,150,50,</t>
  </si>
  <si>
    <t>250,150,50,</t>
  </si>
  <si>
    <t>255,255,50,</t>
  </si>
  <si>
    <t>隐 免疫</t>
  </si>
  <si>
    <t>跨服</t>
  </si>
  <si>
    <t>跨 跨服排队重置神行</t>
  </si>
  <si>
    <t>{nClass=1,nIcon=6678,nFrame=5,szName="骑御·调息",nTime=-1,key="骑御·调息",},</t>
  </si>
  <si>
    <t>["SKILL#10080"]=true,["SKILL#10081"]=true,</t>
  </si>
  <si>
    <t>{nClass=2,nIcon=904,nFrame=5,szName="KEY·左旋右转",nTime=0,key="KEY·左旋右转",},</t>
  </si>
  <si>
    <t>{nClass=2,nIcon=904,nFrame=-1,szName="KEY·左旋右转",nTime=0.01,nRefresh=60,key="KEY·左旋右转",},</t>
  </si>
  <si>
    <t>{nClass=2,nIcon=904,nFrame=5,szName="KEY·左旋右转",nTime=-1,nRefresh=60,key="KEY·左旋右转",},</t>
  </si>
  <si>
    <t>驰 御·驰援</t>
  </si>
  <si>
    <t>CD</t>
  </si>
  <si>
    <t>木桩</t>
  </si>
  <si>
    <t>走兔株</t>
  </si>
  <si>
    <t>走兔株道具_5分钟倒</t>
  </si>
  <si>
    <t>鹿武童</t>
  </si>
  <si>
    <t>木狸狸</t>
  </si>
  <si>
    <t>更换交通表现标记</t>
  </si>
  <si>
    <t>{nClass=1,nIcon=2178,nFrame=5,szName="蛋叉叔叔的糖葫芦",nTime=10,nRefresh=1800,key="蛋叉叔叔的糖葫芦",},</t>
  </si>
  <si>
    <t>0,238,0,</t>
  </si>
  <si>
    <t>31,238,255,</t>
  </si>
  <si>
    <t>#1FEEFFFF</t>
  </si>
  <si>
    <t>香 灵素技能赤芍寒香hot</t>
  </si>
  <si>
    <t>{szStackOp="&gt;=",nStackNum=1,szReminder="春 技能春泥减伤",nPriority=12,nColAlpha=255,col="#B3EE3AFF",},</t>
  </si>
  <si>
    <t>{szStackOp="&gt;=",nStackNum=1,szReminder="春 奇穴南柯+15技能春泥减伤",nPriority=12,nColAlpha=255,col="#B3EE3AFF",},</t>
  </si>
  <si>
    <t>盾 奶花奇穴坐隐化解</t>
  </si>
  <si>
    <t>毫 旧版毫针技能减伤</t>
  </si>
  <si>
    <t>毫 奇穴秋毫减伤</t>
  </si>
  <si>
    <t>减 花间奇穴金屋减伤</t>
  </si>
  <si>
    <t>减 奶花奇穴轻燕减伤</t>
  </si>
  <si>
    <t>碧 碧水滔天万花回蓝2级回血</t>
  </si>
  <si>
    <t>{szStackOp="&gt;=",nStackNum=1,szReminder="春 无界技能春泥减伤",nPriority=12,nColAlpha=255,col="#B3EE3AFF",},</t>
  </si>
  <si>
    <t>韶 奶秀奇穴韶景芳尘hot</t>
  </si>
  <si>
    <t>减 奶秀奇穴璇妗减伤</t>
  </si>
  <si>
    <t>减 运功不被打退</t>
  </si>
  <si>
    <t>减 天地低昂额外10%减伤</t>
  </si>
  <si>
    <t>减 奇穴玉骨内减</t>
  </si>
  <si>
    <t>减 奶秀奇穴左旋右转减伤</t>
  </si>
  <si>
    <t>盾 奶秀奇穴舞霁化解</t>
  </si>
  <si>
    <t>红 奶秀奇穴红绡倩风治疗免持续</t>
  </si>
  <si>
    <t>云洗</t>
  </si>
  <si>
    <t>云 奶秀奇穴云洗闪避</t>
  </si>
  <si>
    <t>相 技能无相减伤或反弹</t>
  </si>
  <si>
    <t>相 技能无相减伤加强</t>
  </si>
  <si>
    <t>相 技能无相反弹</t>
  </si>
  <si>
    <t>相 技能带秘籍无相减伤或反弹</t>
  </si>
  <si>
    <t>相 奇穴加强无相减伤</t>
  </si>
  <si>
    <t>转 剑纯技能转乾坤减伤</t>
  </si>
  <si>
    <t>减 技能坐忘减伤</t>
  </si>
  <si>
    <t>减 气纯奇穴玄德内功减伤</t>
  </si>
  <si>
    <t>盾 化解自身收到的伤害</t>
  </si>
  <si>
    <t>盾 根据根骨属性化解自身收到的伤害</t>
  </si>
  <si>
    <t>速 移动速度提高30%</t>
  </si>
  <si>
    <t>渊 奇穴受到渊减伤</t>
  </si>
  <si>
    <t>减 奇穴金甲减伤</t>
  </si>
  <si>
    <t>减 傲血奇穴破重围减伤</t>
  </si>
  <si>
    <t>减 技能御减伤</t>
  </si>
  <si>
    <t>盾 傲血奇穴铁骑化解</t>
  </si>
  <si>
    <t>免 免疫控制（击退和被拉除外）</t>
  </si>
  <si>
    <t>免 免控（被拉除外）</t>
  </si>
  <si>
    <t>突 施放</t>
  </si>
  <si>
    <t>突 免控（击退和被拉除外）</t>
  </si>
  <si>
    <t>减 技能虎跑减伤</t>
  </si>
  <si>
    <t>探 奇穴探梅化解</t>
  </si>
  <si>
    <t>盾 奇穴云台化解</t>
  </si>
  <si>
    <t>减 奇穴山岳乘风减伤</t>
  </si>
  <si>
    <t>梦 每秒发动一次攻击</t>
  </si>
  <si>
    <t>闪 奇穴风吹荷闪避提高100%</t>
  </si>
  <si>
    <t>免 不受控制（击退和被拉除外）</t>
  </si>
  <si>
    <t>凤 奶毒技能凤凰蛊复活</t>
  </si>
  <si>
    <t>皇 奶毒奇穴娲皇赐恩生效</t>
  </si>
  <si>
    <t>千 奶毒技能千蝶治疗</t>
  </si>
  <si>
    <t>阵 奶毒奇穴圣元阵治疗</t>
  </si>
  <si>
    <t>娲 奶毒技能女娲减伤</t>
  </si>
  <si>
    <t>圣 奶毒技能圣手减伤</t>
  </si>
  <si>
    <t>圣 免疫打断运功、缴械和无法运功</t>
  </si>
  <si>
    <t>玄 技能玄水减伤</t>
  </si>
  <si>
    <t>减 奶毒奇穴蝶戏水减伤</t>
  </si>
  <si>
    <t>减 奇穴散影减伤</t>
  </si>
  <si>
    <t>减 毒经技能灵蛊减伤</t>
  </si>
  <si>
    <t>减 奶毒奇穴求凰减伤</t>
  </si>
  <si>
    <t>减 毒经奇穴忘攸蛊减伤</t>
  </si>
  <si>
    <t>盾 奶毒奇穴茧灵化解</t>
  </si>
  <si>
    <t>盾 奶毒奇穴孔雀引减伤化解</t>
  </si>
  <si>
    <t>灵 奶毒技能灵蛊免控</t>
  </si>
  <si>
    <t>减 技能浮光掠影隐身40减伤</t>
  </si>
  <si>
    <t>减 技能隐身40减伤</t>
  </si>
  <si>
    <t>减 田螺阵50减伤</t>
  </si>
  <si>
    <t>朝 明尊技能朝圣言减伤</t>
  </si>
  <si>
    <t>闪 明尊技能慈悲愿闪避</t>
  </si>
  <si>
    <t>盾 明尊奇穴渡厄力化解</t>
  </si>
  <si>
    <t>闪 焚影奇穴明齐日月降被命中降低35%</t>
  </si>
  <si>
    <t>减 明尊奇穴耀火生瑞减伤</t>
  </si>
  <si>
    <t>血 明尊奇穴性命海血上限疗效</t>
  </si>
  <si>
    <t>闪 被命中几率降低10%</t>
  </si>
  <si>
    <t>清静心</t>
  </si>
  <si>
    <t>解 受到控制效果则解除</t>
  </si>
  <si>
    <t>乘 技能乘龙减伤10%</t>
  </si>
  <si>
    <t>减 奇穴落水打狗减伤</t>
  </si>
  <si>
    <t>免 免疫打断效果</t>
  </si>
  <si>
    <t>免 不受招式控制且不受位移招式影响</t>
  </si>
  <si>
    <t>免 不受招式控制效果影响（被拉除外）</t>
  </si>
  <si>
    <t>免 不受招式控制且不受打断招式影响</t>
  </si>
  <si>
    <t>免 小橙武不受招式控制效果影响</t>
  </si>
  <si>
    <t>免 远程亢龙免控</t>
  </si>
  <si>
    <t>壁 铁骨奇穴百炼化解</t>
  </si>
  <si>
    <t>捍 奇穴捍卫减伤</t>
  </si>
  <si>
    <t>盾 铁骨奇穴雄峦化解</t>
  </si>
  <si>
    <t>血 分山奇穴过涯盾壁自然结束减伤</t>
  </si>
  <si>
    <t>减 分山技能无惧减伤</t>
  </si>
  <si>
    <t>减 铁骨奇穴无惧减伤</t>
  </si>
  <si>
    <t>疗 分山奇穴步临减疗</t>
  </si>
  <si>
    <t>#A560E8FF</t>
  </si>
  <si>
    <t>减 技能杯水减伤</t>
  </si>
  <si>
    <t>傲 技能笑傲减伤</t>
  </si>
  <si>
    <t>空 使自身处于浮空状态</t>
  </si>
  <si>
    <t>减 技能青霄奇穴减伤40%</t>
  </si>
  <si>
    <t>减 奶歌奇穴平吟减伤</t>
  </si>
  <si>
    <t>减 笑傲光阴减伤效果</t>
  </si>
  <si>
    <t>免 免疫控制（被拉除外）</t>
  </si>
  <si>
    <t>闪 奇穴流影闪避</t>
  </si>
  <si>
    <t>减 技能临渊蹈河减伤</t>
  </si>
  <si>
    <t>减 技能上将减伤</t>
  </si>
  <si>
    <t>{szStackOp="&gt;=",nStackNum=1,szReminder="减 技能上将减伤",nPriority=12,nColAlpha=255,col="#B3EE3AFF",},</t>
  </si>
  <si>
    <t>减 奇穴寒衣减伤</t>
  </si>
  <si>
    <t>盾 技能疾电叱羽化解</t>
  </si>
  <si>
    <t>解 技能驭羽骋风减伤</t>
  </si>
  <si>
    <t>减 技能定波减伤</t>
  </si>
  <si>
    <t>减 奇穴遨宇减伤</t>
  </si>
  <si>
    <t>{szStackOp="&gt;=",nStackNum=1,szReminder="减 奇穴遨宇减伤",nPriority=12,nColAlpha=255,col="#B3EE3AFF",},</t>
  </si>
  <si>
    <t>减 浮游天地落地奇穴乘龙减伤30%免控（击退和被拉除外）</t>
  </si>
  <si>
    <t>斩 技能斩无常减伤</t>
  </si>
  <si>
    <t>鬼 免疫控制，追踪目标</t>
  </si>
  <si>
    <t>免 乱天狼免控（击退和被拉除外）</t>
  </si>
  <si>
    <t>减 奇穴天人合一司命减伤60%</t>
  </si>
  <si>
    <t>减 技能起卦减伤</t>
  </si>
  <si>
    <t>龙 奇穴龙马减伤</t>
  </si>
  <si>
    <t>盾 奇穴延年化解</t>
  </si>
  <si>
    <t>减 奇穴神占水卦减伤</t>
  </si>
  <si>
    <t>免 自身免疫控制（击退和被拉除外）</t>
  </si>
  <si>
    <t>免 神盾魂阵持续免控（击退和被拉除外）</t>
  </si>
  <si>
    <t>摊 灵素奇穴凝壁被分担</t>
  </si>
  <si>
    <t>减 技能千枝绽蕊减伤</t>
  </si>
  <si>
    <t>减 灵素奇穴自馨减伤</t>
  </si>
  <si>
    <t>葵 灵素技能龙葵自苦化解</t>
  </si>
  <si>
    <t>减 灵素奇穴流银减伤</t>
  </si>
  <si>
    <t>免 凌然天风免控（击退和被拉除外）</t>
  </si>
  <si>
    <t>免 渡若惊鸿掠水霸体</t>
  </si>
  <si>
    <t>盾 奇穴势钧化解</t>
  </si>
  <si>
    <t>免 驰风八步结束免控(击退和被拉除外)</t>
  </si>
  <si>
    <t>盾 化解自身受到的伤害</t>
  </si>
  <si>
    <t>盾 技能汇灵合契化解</t>
  </si>
  <si>
    <t>减 结魂契约_减伤15%</t>
  </si>
  <si>
    <t>盾 畴野护盾15%气血，击破回复5%内力</t>
  </si>
  <si>
    <t>{nClass=1,nIcon=3313,nFrame=6,szName="轻盈",nTime=10,key="断线的风筝",},</t>
  </si>
  <si>
    <t>{nClass=2,nIcon=3313,nFrame=5,szName="",nTime=0.01,key="断线的风筝",},</t>
  </si>
  <si>
    <t>门派事件</t>
  </si>
  <si>
    <t>龙门飞剑_QTE触发</t>
  </si>
  <si>
    <t>按1</t>
  </si>
  <si>
    <t>{nClass=1,nIcon=3316,nFrame=5,szName="按111",nTime=1.1,key="QTE·按1",},</t>
  </si>
  <si>
    <t>{nClass=2,nIcon=3316,nFrame=5,szName="QTE·按1",nTime=0,key="QTE·按1",},</t>
  </si>
  <si>
    <t>按2</t>
  </si>
  <si>
    <t>{nClass=1,nIcon=3317,nFrame=5,szName="按222",nTime=1.1,key="QTE·按2",},</t>
  </si>
  <si>
    <t>{nClass=2,nIcon=3317,nFrame=5,szName="QTE·按2",nTime=0,key="QTE·按2",},</t>
  </si>
  <si>
    <t>按3</t>
  </si>
  <si>
    <t>{nClass=1,nIcon=3319,nFrame=5,szName="按333",nTime=1.1,key="QTE·按3",},</t>
  </si>
  <si>
    <t>{nClass=2,nIcon=3319,nFrame=5,szName="QTE·按3",nTime=0,key="QTE·按3",},</t>
  </si>
  <si>
    <t>龙门飞剑维持气劲</t>
  </si>
  <si>
    <t>{nClass=1,nIcon=17135,nFrame=5,szName="一声号令，令人拜服",nTime=0,key="美人图1",},</t>
  </si>
  <si>
    <t>{nClass=1,nIcon=17135,nFrame=5,szName="威武雄壮",nTime=0,key="美人图2",},</t>
  </si>
  <si>
    <t>{nClass=1,nIcon=17135,nFrame=5,szName="我对大将军的景仰",nTime=0,key="美人图3",},</t>
  </si>
  <si>
    <t>{nClass=1,nIcon=17135,nFrame=5,szName="快对宫威使用大将军的帅印·伪",nTime=60,key="美人图1",},</t>
  </si>
  <si>
    <t>{nClass=2,nIcon=17135,nFrame=5,szName="快对宫威使用大将军的帅印·伪",nTime=0,key="美人图1",},</t>
  </si>
  <si>
    <t>神农洇背箱子</t>
  </si>
  <si>
    <t>true,true,true,false,false,false,false,false,false,false,</t>
  </si>
  <si>
    <t>箱 神农洇背箱子</t>
  </si>
  <si>
    <t>蓝方风雷驿镖银</t>
  </si>
  <si>
    <t>100,100,255,</t>
  </si>
  <si>
    <t>箱 蓝方溶溪寨菌箱</t>
  </si>
  <si>
    <t>#2080FFFF</t>
  </si>
  <si>
    <t>#2080FF</t>
  </si>
  <si>
    <t>红方流火驿镖银</t>
  </si>
  <si>
    <t>255,100,100,</t>
  </si>
  <si>
    <t xml:space="preserve"> 啊</t>
  </si>
  <si>
    <t>#FF2080FF</t>
  </si>
  <si>
    <t>#FF2080</t>
  </si>
  <si>
    <t>{nClass=1,nIcon=17135,nFrame=6,szName="飞虎军·安度",nTime=20,key="任务·提示2",},</t>
  </si>
  <si>
    <t>防御模式</t>
  </si>
  <si>
    <t>防 防御模式</t>
  </si>
  <si>
    <t>收竿</t>
  </si>
  <si>
    <t>{nClass=1,nIcon=4234,nFrame=5,szName="按222",nTime=1.5,key="钓鱼",},</t>
  </si>
  <si>
    <t>{nClass=2,nIcon=4234,nFrame=5,szName="钓鱼",nTime=0,key="钓鱼",},</t>
  </si>
  <si>
    <t>{nClass=1,nIcon=4235,nFrame=5,szName="按333",nTime=1.5,key="钓鱼",},</t>
  </si>
  <si>
    <t>{nClass=2,nIcon=4235,nFrame=5,szName="钓鱼",nTime=0,key="钓鱼",},</t>
  </si>
  <si>
    <t>按4</t>
  </si>
  <si>
    <t>{nClass=1,nIcon=4236,nFrame=5,szName="按444",nTime=1.5,key="钓鱼",},</t>
  </si>
  <si>
    <t>{nClass=2,nIcon=4236,nFrame=5,szName="钓鱼",nTime=0,key="钓鱼",},</t>
  </si>
  <si>
    <t>蓝方溶溪寨菌箱</t>
  </si>
  <si>
    <t>红方火塘寨菌箱</t>
  </si>
  <si>
    <t>箱 红方火塘寨菌箱</t>
  </si>
  <si>
    <t>{nClass=1,nIcon=17135,nFrame=6,szName="背向燕破军将军身后光圈",nTime=60,key="任务·提示1",},</t>
  </si>
  <si>
    <t>{nClass=2,nIcon=17135,nFrame=5,szName="任务·提示1",nTime=0,key="任务·提示1",},</t>
  </si>
  <si>
    <t>补货点</t>
  </si>
  <si>
    <t>阴山商路贸易区</t>
  </si>
  <si>
    <t>五台山·无遮大会</t>
  </si>
  <si>
    <t>香烛1</t>
  </si>
  <si>
    <t>运送材料·香烛1</t>
  </si>
  <si>
    <t>香烛3</t>
  </si>
  <si>
    <t>运送材料·香烛3</t>
  </si>
  <si>
    <t>香烛2</t>
  </si>
  <si>
    <t>木柴</t>
  </si>
  <si>
    <t>运送材料·木柴</t>
  </si>
  <si>
    <t>佛像</t>
  </si>
  <si>
    <t>运送材料·佛像</t>
  </si>
  <si>
    <t>香烛</t>
  </si>
  <si>
    <t>守卫佛像</t>
  </si>
  <si>
    <t>{nClass=1,nIcon=2142,nFrame=5,szName="无敌",nTime=0.5,nRefresh=4,key="摔跤·无敌",},</t>
  </si>
  <si>
    <t>{nClass=2,nIcon=2142,nFrame=5,szName="",nTime=0,key="摔跤·无敌",},</t>
  </si>
  <si>
    <t>{nClass=2,nIcon=3401,nFrame=5,szName="训马·交互·神采飞扬",nTime=0,key="训马·交互·神采飞扬",},</t>
  </si>
  <si>
    <t>{nClass=2,nIcon=3401,nFrame=5,szName="训马·交互·无忧无虑",nTime=0,key="训马·交互·无忧无虑",},</t>
  </si>
  <si>
    <t>{nClass=2,nIcon=3401,nFrame=5,szName="训马·心情",nTime=0,key="训马·心情",},</t>
  </si>
  <si>
    <t>{nClass=2,nIcon=3401,nFrame=5,szName="训马·交互",nTime=0,key="训马·交互",},</t>
  </si>
  <si>
    <t>{nClass=1,nIcon=4519,nFrame=6,szName="神采飞扬·交互·训练",nTime=30,key="训马·交互·神采飞扬",},</t>
  </si>
  <si>
    <t>{nClass=1,nIcon=4521,nFrame=5,szName="无忧无虑·交互·安抚",nTime=30,key="训马·交互·无忧无虑",},</t>
  </si>
  <si>
    <t>惜灵之心</t>
  </si>
  <si>
    <t>成就</t>
  </si>
  <si>
    <t>1速影</t>
  </si>
  <si>
    <t>雪国冬猎·加速1</t>
  </si>
  <si>
    <t>2速影</t>
  </si>
  <si>
    <t>雪国冬猎·加速2</t>
  </si>
  <si>
    <t>3速影</t>
  </si>
  <si>
    <t>雪国冬猎·加速3</t>
  </si>
  <si>
    <t>4速影</t>
  </si>
  <si>
    <t>雪国冬猎·加速4</t>
  </si>
  <si>
    <t>5速影</t>
  </si>
  <si>
    <t>雪国冬猎·加速5</t>
  </si>
  <si>
    <t>雪橇犬</t>
  </si>
  <si>
    <t>雪国冬猎·雪橇犬坐骑</t>
  </si>
  <si>
    <t>#FFFF00FF</t>
  </si>
  <si>
    <t>{nClass=2,nIcon=7623,nFrame=5,szName="武长生的镜片·{$me}",nTime=0,key="武长生的镜片·{$me}",},</t>
  </si>
  <si>
    <t>{nClass=1,nIcon=7623,nFrame=6,szName="武长生的镜片",nTime=300,key="武长生的镜片·{$me}",},</t>
  </si>
  <si>
    <t>成就·肉馅豪杰</t>
  </si>
  <si>
    <t>{nClass=1,nIcon=260,nFrame=5,szName="成就·肉馅豪杰",nTime=0,key="茶馆·成就",},</t>
  </si>
  <si>
    <t>八荒衡鉴·仙踪林</t>
  </si>
  <si>
    <t>芽 神树吸血效果</t>
  </si>
  <si>
    <t>return{DEBUFF={</t>
  </si>
  <si>
    <t>一触即发·开启事件</t>
  </si>
  <si>
    <t>{nClass=1,nIcon=13,nFrame=0,szName="拾取间隔",nTime=0,key="拾取间隔",},</t>
  </si>
  <si>
    <t>{nClass=1,nIcon=2399,nFrame=2,szName="召请CD·王遗风",nTime=-1,key="召请CD·王遗风",},</t>
  </si>
  <si>
    <t>{nClass=1,nIcon=2399,nFrame=2,szName="召请CD·肖药儿",nTime=-1,key="召请CD·肖药儿",},</t>
  </si>
  <si>
    <t>{nClass=1,nIcon=2399,nFrame=2,szName="召请CD·司徒一一",nTime=-1,key="召请CD·司徒一一",},</t>
  </si>
  <si>
    <t>{nClass=1,nIcon=2399,nFrame=2,szName="召请CD·陶寒亭",nTime=-1,key="召请CD·陶寒亭",},</t>
  </si>
  <si>
    <t>{nClass=1,nIcon=2399,nFrame=2,szName="召请CD·米丽古丽",nTime=-1,key="召请CD·米丽古丽",},</t>
  </si>
  <si>
    <t>{nClass=1,nIcon=2399,nFrame=2,szName="召请CD·白某",nTime=-1,key="召请CD·白某",},</t>
  </si>
  <si>
    <t>{nClass=1,nIcon=2399,nFrame=2,szName="召请CD·谢渊",nTime=-1,key="召请CD·谢渊",},</t>
  </si>
  <si>
    <t>{nClass=1,nIcon=2399,nFrame=2,szName="召请CD·月弄痕",nTime=-1,key="召请CD·月弄痕",},</t>
  </si>
  <si>
    <t>{nClass=1,nIcon=2399,nFrame=2,szName="召请CD·游驹",nTime=-1,key="召请CD·游驹",},</t>
  </si>
  <si>
    <t>{nClass=1,nIcon=2399,nFrame=2,szName="召请CD·小七",nTime=-1,key="召请CD·小七",},</t>
  </si>
  <si>
    <t>{nClass=1,nIcon=2399,nFrame=2,szName="召请CD·张桎辕",nTime=-1,key="召请CD·张桎辕",},</t>
  </si>
  <si>
    <t>{nClass=1,nIcon=2399,nFrame=2,szName="召请CD·司空仲平",nTime=-1,key="召请CD·司空仲平",},</t>
  </si>
  <si>
    <t>偃旗息鼓·结束时间</t>
  </si>
  <si>
    <t>{nClass=2,nIcon=13,nFrame=0,szName="拾取间隔",nTime=0,key="拾取间隔",},</t>
  </si>
  <si>
    <t>{nClass=2,nIcon=13,nFrame=-1,szName="谢渊·月弄痕·减伤",nTime=-1,key="谢渊·月弄痕·减伤",},</t>
  </si>
  <si>
    <t>{nClass=2,nIcon=13,nFrame=-1,szName="谢渊·游驹·减伤",nTime=-1,key="谢渊·游驹·减伤",},</t>
  </si>
  <si>
    <t>{nClass=2,nIcon=13,nFrame=-1,szName="谢渊·小七·减伤",nTime=-1,key="谢渊·小七·减伤",},</t>
  </si>
  <si>
    <t>{nClass=2,nIcon=13,nFrame=-1,szName="谢渊·张桎辕·减伤",nTime=-1,key="谢渊·张桎辕·减伤",},</t>
  </si>
  <si>
    <t>{nClass=2,nIcon=13,nFrame=-1,szName="谢渊·司空仲平·减伤",nTime=-1,key="谢渊·司空仲平·减伤",},</t>
  </si>
  <si>
    <t>{nClass=2,nIcon=13,nFrame=-1,szName="王遗风·司徒一一·减伤",nTime=-1,key="王遗风·司徒一一·减伤",},</t>
  </si>
  <si>
    <t>{nClass=2,nIcon=13,nFrame=-1,szName="王遗风·白某·减伤",nTime=-1,key="王遗风·白某·减伤",},</t>
  </si>
  <si>
    <t>{nClass=2,nIcon=13,nFrame=-1,szName="王遗风·米丽古丽·减伤",nTime=-1,key="王遗风·米丽古丽·减伤",},</t>
  </si>
  <si>
    <t>{nClass=2,nIcon=13,nFrame=-1,szName="王遗风·陶寒亭·减伤",nTime=-1,key="王遗风·陶寒亭·减伤",},</t>
  </si>
  <si>
    <t>{nClass=2,nIcon=13,nFrame=-1,szName="王遗风·肖药儿·减伤",nTime=-1,key="王遗风·肖药儿·减伤",},</t>
  </si>
  <si>
    <t>{nClass=2,nIcon=13,nFrame=-1,szName="王遗风·伊夜·减伤",nTime=-1,key="王遗风·伊夜·减伤",},</t>
  </si>
  <si>
    <t>{nClass=2,nIcon=13,nFrame=-1,szName="王遗风·丁丁·减伤",nTime=-1,key="王遗风·丁丁·减伤",},</t>
  </si>
  <si>
    <t>{nClass=2,nIcon=13,nFrame=-1,szName="王遗风·岳琅·减伤",nTime=-1,key="王遗风·岳琅·减伤",},</t>
  </si>
  <si>
    <t>{nClass=2,nIcon=13,nFrame=-1,szName="王遗风·毕罗巴·减伤",nTime=-1,key="王遗风·毕罗巴·减伤",},</t>
  </si>
  <si>
    <t>{nClass=2,nIcon=13,nFrame=-1,szName="王遗风·烟·减伤",nTime=-1,key="王遗风·烟·减伤",},</t>
  </si>
  <si>
    <t>{nClass=2,nIcon=13,nFrame=-1,szName="王遗风·独孤修·减伤",nTime=-1,key="王遗风·独孤修·减伤",},</t>
  </si>
  <si>
    <t>{nClass=2,nIcon=13,nFrame=-1,szName="谢渊·韩非池·减伤",nTime=-1,key="谢渊·韩非池·减伤",},</t>
  </si>
  <si>
    <t>{nClass=2,nIcon=13,nFrame=-1,szName="谢渊·赵紫儿·减伤",nTime=-1,key="谢渊·赵紫儿·减伤",},</t>
  </si>
  <si>
    <t>{nClass=2,nIcon=13,nFrame=-1,szName="谢渊·叶镜池·减伤",nTime=-1,key="谢渊·叶镜池·减伤",},</t>
  </si>
  <si>
    <t>{nClass=2,nIcon=13,nFrame=-1,szName="谢渊·郭珠·减伤",nTime=-1,key="谢渊·郭珠·减伤",},</t>
  </si>
  <si>
    <t>{nClass=2,nIcon=13,nFrame=-1,szName="谢渊·穆玄英·减伤",nTime=-1,key="谢渊·穆玄英·减伤",},</t>
  </si>
  <si>
    <t>{nClass=2,nIcon=13,nFrame=-1,szName="谢渊·影·减伤",nTime=-1,key="谢渊·影·减伤",},</t>
  </si>
  <si>
    <t>落花</t>
  </si>
  <si>
    <t>偷花</t>
  </si>
  <si>
    <t>召唤</t>
  </si>
  <si>
    <t>虚 虚弱攻击-50%</t>
  </si>
  <si>
    <t>{nClass=1,nIcon=13,nFrame=4,szName="炊事剩余时间",nTime=60,key="炊事",},</t>
  </si>
  <si>
    <t>箱</t>
  </si>
  <si>
    <t>冻 天原绝境蓝马匪定身</t>
  </si>
  <si>
    <t>关 道具鸿蒙天禁隔离</t>
  </si>
  <si>
    <t>255,153,204,</t>
  </si>
  <si>
    <t>弹 道具毒手反弹</t>
  </si>
  <si>
    <t>#FF99CCFF</t>
  </si>
  <si>
    <t>#FF99CC</t>
  </si>
  <si>
    <t>默 道具绛唇珠袖沉默</t>
  </si>
  <si>
    <t>默 道具傍花随柳沉默</t>
  </si>
  <si>
    <t>定 道具幻蛊定身</t>
  </si>
  <si>
    <t>九 道具九霄风雷无敌</t>
  </si>
  <si>
    <t>定 道具人剑定身</t>
  </si>
  <si>
    <t>晕 道具极乐引眩晕</t>
  </si>
  <si>
    <t>晕 道具撼地眩晕</t>
  </si>
  <si>
    <t>封 道具_剑破封内</t>
  </si>
  <si>
    <t>封 道具_抢珠式封内</t>
  </si>
  <si>
    <t>黑1</t>
  </si>
  <si>
    <t>万花·黑子1</t>
  </si>
  <si>
    <t>{nClass=2,nIcon=13670,nFrame=5,szName="万花·黑棋",nTime=0,key="万花·黑棋",},</t>
  </si>
  <si>
    <t>{nClass=1,nIcon=13670,nFrame=6,szName="万花·黑棋1",nTime=12,key="万花·黑棋",},</t>
  </si>
  <si>
    <t>白1</t>
  </si>
  <si>
    <t>万花·白子1</t>
  </si>
  <si>
    <t>{nClass=2,nIcon=13669,nFrame=5,szName="万花·白棋",nTime=0,key="万花·白棋",},</t>
  </si>
  <si>
    <t>{nClass=1,nIcon=13669,nFrame=6,szName="万花·白棋1",nTime=12,key="万花·白棋",},</t>
  </si>
  <si>
    <t>{nClass=1,nIcon=115,nFrame=5,szName="阿飞送货·开始",nTime=2,key="阿飞送货",},</t>
  </si>
  <si>
    <t>{nClass=2,nIcon=115,nFrame=5,szName="阿飞送货·完成",nTime=2,key="阿飞送货",},</t>
  </si>
  <si>
    <t>据点内</t>
  </si>
  <si>
    <t>255,255,31,</t>
  </si>
  <si>
    <t>0,85,255,</t>
  </si>
  <si>
    <t>定 绿林_陷阱定身</t>
  </si>
  <si>
    <t>#0055FFFF</t>
  </si>
  <si>
    <t>逃 无法参加部分PVP玩法</t>
  </si>
  <si>
    <t>逃 战场无法排队</t>
  </si>
  <si>
    <t>逃 野狸岛无法排队</t>
  </si>
  <si>
    <t>已拾取</t>
  </si>
  <si>
    <t>镖 运货首领</t>
  </si>
  <si>
    <t>#FFFFFFFF</t>
  </si>
  <si>
    <t>浪客行的数据</t>
  </si>
  <si>
    <t>舞众生</t>
  </si>
  <si>
    <t>255,45,45,</t>
  </si>
  <si>
    <t>255,50,50,</t>
  </si>
  <si>
    <t>{nClass=2,nIcon=15692,nFrame=0,szName="",nTime="4,【{$sender}】·落黄;5,【{$sender}】·补飘黄;6,【{$sender}】·补飘黄,VO:ShiYongTeShuJiNeng;8,【{$sender}】·补飘黄",nRefresh=10,key="KEY·飘黄",},</t>
  </si>
  <si>
    <t>音 奶歌奇穴音尘标记</t>
  </si>
  <si>
    <t>蛊 奶毒技能蛊惑增疗</t>
  </si>
  <si>
    <t>雪山恩仇</t>
  </si>
  <si>
    <t>鸠雀记</t>
  </si>
  <si>
    <t>茶馆奇缘</t>
  </si>
  <si>
    <t>秘宝图</t>
  </si>
  <si>
    <t>北行镖</t>
  </si>
  <si>
    <t>石敢当</t>
  </si>
  <si>
    <t>戎马边</t>
  </si>
  <si>
    <t>稚子心</t>
  </si>
  <si>
    <t>丹青记</t>
  </si>
  <si>
    <t>清茗经</t>
  </si>
  <si>
    <t>虎啸CD</t>
  </si>
  <si>
    <t>{nClass=1,nIcon=2546,nFrame=5,szName="雪雪乘船CD",nTime=2,nRefresh=7200,key="雪雪乘船CD",},</t>
  </si>
  <si>
    <t>{nClass=1,nIcon=2758,nFrame=5,szName="宠物存在",nTime=0,key="宠物存在",},</t>
  </si>
  <si>
    <t>{nClass=2,nIcon=2758,nFrame=2,szName="倒计时 {$B15803}",nTime="1,快召宝宝;2,快召宝宝;5,快召宝宝",nRefresh=5,key="宠物存在",},</t>
  </si>
  <si>
    <t>停留</t>
  </si>
  <si>
    <t>福德齐天·CD</t>
  </si>
  <si>
    <t>255,238,255,</t>
  </si>
  <si>
    <t>落 落梅无法获得梅花三弄盾效果</t>
  </si>
  <si>
    <t>#FFEEEEFF</t>
  </si>
  <si>
    <t>蓄 千斤坠蓄力免控</t>
  </si>
  <si>
    <t>寒 奇穴辟寒免死</t>
  </si>
  <si>
    <t>免 免控打断无法运功缴械</t>
  </si>
  <si>
    <t>闪 奶歌奇穴敛意闪避提高80%</t>
  </si>
  <si>
    <t>免 乱天狼锁面向免控</t>
  </si>
  <si>
    <t>换 奇穴链魂互换属性</t>
  </si>
  <si>
    <t>踏 技能踏星行降被命中</t>
  </si>
  <si>
    <t>免 且待时休免控（击退和被拉除外）</t>
  </si>
  <si>
    <t>减 技能凝云势减伤免控（击退和被拉除外）</t>
  </si>
  <si>
    <t>合 技能汇灵合契变身本体无敌</t>
  </si>
  <si>
    <t>胜负局</t>
  </si>
  <si>
    <t>兔江湖·翌日之约</t>
  </si>
  <si>
    <t>{nClass=1,nIcon=4545,nFrame=5,szName="准备进入·战场",nTime=30,nRefresh=600,key="战场·排队",},</t>
  </si>
  <si>
    <t>{nClass=2,nIcon=4545,nFrame=5,szName="战场·排队",nTime=0,key="战场·排队",},</t>
  </si>
  <si>
    <t>逃 竞技场无法排队</t>
  </si>
  <si>
    <t>金蛋</t>
  </si>
  <si>
    <t>拾取CD</t>
  </si>
  <si>
    <t>{nClass=1,nIcon=2296,nFrame=5,szName="元旦·金蛋",nTime=0,key="元旦·金蛋",},</t>
  </si>
  <si>
    <t>运功中</t>
  </si>
  <si>
    <t>255,255,100,</t>
  </si>
  <si>
    <t>{nClass=1,nIcon=1244,nFrame=6,szName="",nTime="60,科举考试·60秒;90,科举考试·90秒",nRefresh=0,key="科举考试",},</t>
  </si>
  <si>
    <t>{nClass=2,nIcon=1244,nFrame=5,szName="科举考试",nTime=0,key="科举考试",},</t>
  </si>
  <si>
    <t>["SKILL#10028"]=true,["SKILL#10080"]=true,["SKILL#10176"]=true,["SKILL#10448"]=true,["SKILL#10626"]=true,</t>
  </si>
  <si>
    <t>枯</t>
  </si>
  <si>
    <t>{nClass=1,nIcon=15422,nFrame=6,szName="1,奶[{$receiver}];2,奶[{$receiver}];3,奶[{$receiver}];30,奶[{$receiver}];",nTime="1,奶【{$receiver}】;2,奶【{$receiver}】;3,奶【{$receiver}】;30,奶【{$receiver}】",key="枯木{$receiver}",},</t>
  </si>
  <si>
    <t>{nClass=2,nIcon=15422,nFrame=5,szName="",nTime=0,key="枯木{$receiver}",},</t>
  </si>
  <si>
    <t>#FA9B00FF</t>
  </si>
  <si>
    <t>{nClass=1,nIcon=15422,nFrame=6,szName="1,奶【{$receiver}】;2,奶【{$receiver}】;3,奶【{$receiver}】;30,奶【{$receiver}】;",nTime="1,奶【{$receiver}】;2,奶【{$receiver}】;3,奶【{$receiver}】;30,奶【{$receiver}】",key="枯木{$receiver}",},</t>
  </si>
  <si>
    <t>{nClass=2,nIcon=15422,nFrame=6,szName="",nTime=0,key="枯木{$receiver}",},</t>
  </si>
  <si>
    <t>{nClass=1,nIcon=2758,nFrame=5,szName="",nTime=0,key="宠物存在",},</t>
  </si>
  <si>
    <t>{nClass=2,nIcon=2758,nFrame=2,szName="宠物消失",nTime=2,nRefresh=2,key="宠物存在",},</t>
  </si>
  <si>
    <t>{nClass=1,nIcon=2747,nFrame=5,szName="仙王蛊鼎",nTime=0,key="仙王蛊鼎",},</t>
  </si>
  <si>
    <t>黑2</t>
  </si>
  <si>
    <t>万花·黑子2</t>
  </si>
  <si>
    <t>黑3</t>
  </si>
  <si>
    <t>万花·黑子3</t>
  </si>
  <si>
    <t>黑4</t>
  </si>
  <si>
    <t>万花·黑子4</t>
  </si>
  <si>
    <t>黑5</t>
  </si>
  <si>
    <t>万花·黑子5</t>
  </si>
  <si>
    <t>白2</t>
  </si>
  <si>
    <t>万花·白子2</t>
  </si>
  <si>
    <t>白3</t>
  </si>
  <si>
    <t>万花·白子3</t>
  </si>
  <si>
    <t>白4</t>
  </si>
  <si>
    <t>万花·白子4</t>
  </si>
  <si>
    <t>白5</t>
  </si>
  <si>
    <t>万花·白子5</t>
  </si>
  <si>
    <t>["SKILL#10028"]=true,</t>
  </si>
  <si>
    <t>{nClass=1,nIcon=3010,nFrame=6,szName="水逝·10s水月爆发",nTime=10,key="水逝",},</t>
  </si>
  <si>
    <t>{nClass=2,nIcon=3010,nFrame=5,szName="水逝",nTime=0,key="水逝",},</t>
  </si>
  <si>
    <t>为爆炸范围内玩家目标</t>
  </si>
  <si>
    <t>{nClass=2,nIcon=2941,nFrame=5,szName="为爆炸范围内玩家目标NPC添加等级为1持续时间为8秒的静寂之美",nTime=0,key="静寂之美",},</t>
  </si>
  <si>
    <t>静寂之美实际效果</t>
  </si>
  <si>
    <t>标记BUFF</t>
  </si>
  <si>
    <t>万花特殊武器_标记</t>
  </si>
  <si>
    <t>人数记录BUFF</t>
  </si>
  <si>
    <t>切奇穴</t>
  </si>
  <si>
    <t>切 切换奇穴</t>
  </si>
  <si>
    <t>{nClass=1,nIcon=12373,nFrame=5,szName="机缘·良伴·宠物奇遇",nTime=10,nRefresh=9999,key="机缘",},</t>
  </si>
  <si>
    <t>{nClass=1,nIcon=3448,nFrame=5,szName="【{$sender}】→【{$receiver}】",nTime=20,key="波涛浩荡",},</t>
  </si>
  <si>
    <t>万花进战</t>
  </si>
  <si>
    <t>{nClass=2,nIcon=403,nFrame=5,szName="KEY·秋肃",nTime=0,key="KEY·秋肃",},</t>
  </si>
  <si>
    <t>万花脱战</t>
  </si>
  <si>
    <t>{nClass=1,nIcon=403,nFrame=5,szName="KEY·秋肃",nTime=0,key="KEY·秋肃",},</t>
  </si>
  <si>
    <t>传</t>
  </si>
  <si>
    <t>{nClass=2,nIcon=2111,nFrame=5,szName="",nTime=0,key="传功·{$sender}",},</t>
  </si>
  <si>
    <t>召请</t>
  </si>
  <si>
    <t>{nClass=2,nIcon=5958,nFrame=5,szName="侠客召请",nTime=0,key="侠客召请",},</t>
  </si>
  <si>
    <t>{nClass=1,nIcon=2546,nFrame=4,szName="雪雪乘船CD",nTime=2,nRefresh=7200,key="雪雪乘船CD",},</t>
  </si>
  <si>
    <t>{nClass=2,nIcon=2546,nFrame=6,szName="雪雪乘船CD·消失",nTime=5,key="雪雪乘船CD",},</t>
  </si>
  <si>
    <t>{nClass=2,nIcon=4514,nFrame=0,szName="奇遇·雪山恩仇·解封",nTime=10,key="奇遇·封印",},</t>
  </si>
  <si>
    <t>{nClass=2,nIcon=4514,nFrame=0,szName="普通空雾峰·莫菲菲·传功",nTime=10.1,key="奇遇·解封",},</t>
  </si>
  <si>
    <t>{nClass=2,nIcon=2399,nFrame=7,szName="奇遇·鸠雀记·解封",nTime=10,key="奇遇·封印",},</t>
  </si>
  <si>
    <t>{nClass=2,nIcon=2399,nFrame=7,szName="扬州·再来镇·张百炼",nTime=10.1,key="奇遇·解封",},</t>
  </si>
  <si>
    <t>{nClass=2,nIcon=1475,nFrame=7,szName="奇遇·少年行·解封",nTime=10,key="奇遇·封印",},</t>
  </si>
  <si>
    <t>{nClass=2,nIcon=1475,nFrame=7,szName="奇遇·解封",nTime=0,key="奇遇·解封",},</t>
  </si>
  <si>
    <t>{nClass=2,nIcon=105,nFrame=7,szName="奇遇·茶馆奇缘·解封",nTime=10,key="奇遇·封印",},</t>
  </si>
  <si>
    <t>{nClass=2,nIcon=105,nFrame=7,szName="长安·战乱·茶馆·秋画扇",nTime=10.1,key="奇遇·解封",},</t>
  </si>
  <si>
    <t>{nClass=2,nIcon=11208,nFrame=7,szName="奇遇·秘宝图·解封",nTime=10,key="奇遇·封印",},</t>
  </si>
  <si>
    <t>{nClass=2,nIcon=11208,nFrame=7,szName="侠客岛·安平村村口·光圈",nTime=10.1,key="奇遇·解封",},</t>
  </si>
  <si>
    <t>{nClass=2,nIcon=9246,nFrame=7,szName="奇遇·北行镖·解封",nTime=10,key="奇遇·封印",},</t>
  </si>
  <si>
    <t>{nClass=2,nIcon=9246,nFrame=7,szName="洛阳城·同文书馆·李文绮",nTime=10.1,key="奇遇·解封",},</t>
  </si>
  <si>
    <t>{nClass=2,nIcon=8134,nFrame=7,szName="奇遇·石敢当·解封",nTime=10,key="奇遇·封印",},</t>
  </si>
  <si>
    <t>{nClass=2,nIcon=8134,nFrame=7,szName="成都·吴为有",nTime=10.1,key="奇遇·解封",},</t>
  </si>
  <si>
    <t>{nClass=2,nIcon=10052,nFrame=7,szName="奇遇·戎马边·解封",nTime=10,key="奇遇·封印",},</t>
  </si>
  <si>
    <t>{nClass=2,nIcon=10052,nFrame=7,szName="太原·怀德门·栾志辉",nTime=10.1,key="奇遇·解封",},</t>
  </si>
  <si>
    <t>{nClass=2,nIcon=1372,nFrame=7,szName="奇遇·东海客·解封",nTime=10,key="奇遇·封印",},</t>
  </si>
  <si>
    <t>{nClass=2,nIcon=1372,nFrame=7,szName="五毒·无心岭·达久婆婆",nTime=10.1,key="奇遇·解封",},</t>
  </si>
  <si>
    <t>{nClass=2,nIcon=8591,nFrame=7,szName="奇遇·稚子心·解封1",nTime=10,key="奇遇·封印",},</t>
  </si>
  <si>
    <t>{nClass=2,nIcon=8591,nFrame=7,szName="丐帮·君山·苏临渊",nTime=10.1,key="奇遇·解封",},</t>
  </si>
  <si>
    <t>{nClass=2,nIcon=8591,nFrame=7,szName="奇遇·稚子心·解封2",nTime=10,key="奇遇·封印",},</t>
  </si>
  <si>
    <t>{nClass=2,nIcon=8591,nFrame=7,szName="扬州·内城杂货区·哈德罗德",nTime=10.1,key="奇遇·解封",},</t>
  </si>
  <si>
    <t>{nClass=2,nIcon=8591,nFrame=7,szName="奇遇·稚子心·解封3",nTime=10,key="奇遇·封印",},</t>
  </si>
  <si>
    <t>{nClass=2,nIcon=8591,nFrame=7,szName="丐帮·集市·苏临渊",nTime=10.1,key="奇遇·解封",},</t>
  </si>
  <si>
    <t>{nClass=2,nIcon=15096,nFrame=7,szName="奇遇·丹青记·解封",nTime=10,key="奇遇·封印",},</t>
  </si>
  <si>
    <t>{nClass=2,nIcon=15096,nFrame=7,szName="九寨沟·镜海·神山乡关·白六娘",nTime=10.1,key="奇遇·解封",},</t>
  </si>
  <si>
    <t>{nClass=2,nIcon=7925,nFrame=7,szName="奇遇·清茗经·解封",nTime=10,key="奇遇·封印",},</t>
  </si>
  <si>
    <t>{nClass=2,nIcon=7925,nFrame=7,szName="1日·五台山·台怀镇·婆娑僧",nTime=10.1,key="奇遇·解封1",},</t>
  </si>
  <si>
    <t>{nClass=2,nIcon=7925,nFrame=7,szName="2日·五台山·缘居林·梵叶禅师",nTime=10.1,key="奇遇·解封2",},</t>
  </si>
  <si>
    <t>{nClass=2,nIcon=9,nFrame=7,szName="奇遇·凌云梯·解封",nTime=10,key="奇遇·封印",},</t>
  </si>
  <si>
    <t>{nClass=2,nIcon=9,nFrame=7,szName="成都·擂台·楚辞岩",nTime=10.1,key="奇遇·解封",},</t>
  </si>
  <si>
    <t>召宠</t>
  </si>
  <si>
    <t>锁操作_御兽</t>
  </si>
  <si>
    <t>乘骑中</t>
  </si>
  <si>
    <t>乘骑监控</t>
  </si>
  <si>
    <t>{nClass=1,nIcon=17135,nFrame=7,szName="请返回门派·寻找·掌事者",nTime=30,nRefresh=7200,key="雪山恩仇·首次提示",},</t>
  </si>
  <si>
    <t>{nClass=1,nIcon=13693,nFrame=5,szName="少林·玄  正|万花·孙思邈",nTime=30,nRefresh=7200,key="雪山恩仇·提示1",},</t>
  </si>
  <si>
    <t>{nClass=1,nIcon=13695,nFrame=5,szName="天策·李承恩|纯阳·李忘生",nTime=30,nRefresh=7200,key="雪山恩仇·提示2",},</t>
  </si>
  <si>
    <t>{nClass=1,nIcon=13697,nFrame=5,szName="七秀·萧白胭|五毒·艾  黎",nTime=30,nRefresh=7200,key="雪山恩仇·提示3",},</t>
  </si>
  <si>
    <t>{nClass=1,nIcon=13700,nFrame=5,szName="唐门·唐老太|藏剑·叶  晖",nTime=30,nRefresh=7200,key="雪山恩仇·提示4",},</t>
  </si>
  <si>
    <t>{nClass=1,nIcon=13702,nFrame=5,szName="丐帮·郭  岩|明教·陆危楼",nTime=30,nRefresh=7200,key="雪山恩仇·提示5",},</t>
  </si>
  <si>
    <t>{nClass=1,nIcon=13703,nFrame=5,szName="苍云·长孙忘情|长歌·杨逸飞",nTime=30,nRefresh=7200,key="雪山恩仇·提示6",},</t>
  </si>
  <si>
    <t>{nClass=1,nIcon=13705,nFrame=5,szName="霸刀·柳静海|蓬莱·方  乾",nTime=30,nRefresh=7200,key="雪山恩仇·提示7",},</t>
  </si>
  <si>
    <t>{nClass=1,nIcon=13707,nFrame=5,szName="凌雪·林白轩|衍天·萧卿云",nTime=30,nRefresh=7200,key="雪山恩仇·提示8",},</t>
  </si>
  <si>
    <t>{nClass=1,nIcon=15593,nFrame=5,szName="药宗·陈  月|刀宗·谢云流",nTime=30,nRefresh=7200,key="雪山恩仇·提示9",},</t>
  </si>
  <si>
    <t>{nClass=1,nIcon=19664,nFrame=5,szName="万灵·颂少风",nTime=30,nRefresh=7200,key="雪山恩仇·提示10",},</t>
  </si>
  <si>
    <t>罗盘冷却</t>
  </si>
  <si>
    <t>挖掘</t>
  </si>
  <si>
    <t>挖宝状态</t>
  </si>
  <si>
    <t>{nClass=1,nIcon=2409,nFrame=5,szName="挖宝·CD",nTime=60,nRefresh=59,key="挖宝·CD",},</t>
  </si>
  <si>
    <t>1级</t>
  </si>
  <si>
    <t>时来运转2%</t>
  </si>
  <si>
    <t>2级</t>
  </si>
  <si>
    <t>顺风顺水4%</t>
  </si>
  <si>
    <t>3级</t>
  </si>
  <si>
    <t>好运连连6%</t>
  </si>
  <si>
    <t>4级</t>
  </si>
  <si>
    <t>鸿运当头8%</t>
  </si>
  <si>
    <t>5级</t>
  </si>
  <si>
    <t>紫气东来8%</t>
  </si>
  <si>
    <t>{nClass=2,nIcon=4606,nFrame=7,szName="成就·福德齐天·CD消除",nTime=10,key="福德齐天·封印",},</t>
  </si>
  <si>
    <t>快收杆</t>
  </si>
  <si>
    <t>{nClass=1,nIcon=2678,nFrame=5,szName="正在钓鱼",nTime=60,key="钓鱼提示",},</t>
  </si>
  <si>
    <t>{nClass=2,nIcon=13,nFrame=5,szName="",nTime=0,key="钓鱼提示",},</t>
  </si>
  <si>
    <t>{nClass=1,nIcon=12371,nFrame=1,szName="机缘·会逢·普通奇遇",nTime=10,nRefresh=9999,key="机缘",},</t>
  </si>
  <si>
    <t>{nClass=1,nIcon=12372,nFrame=3,szName="机缘·无双·绝世奇遇",nTime=10,nRefresh=9999,key="机缘",},</t>
  </si>
  <si>
    <t>青歌</t>
  </si>
  <si>
    <t>["SKILL#10021"]=true,</t>
  </si>
  <si>
    <t>音尘</t>
  </si>
  <si>
    <t>封轻功</t>
  </si>
  <si>
    <t>轻 通用封轻功</t>
  </si>
  <si>
    <t>默</t>
  </si>
  <si>
    <t>默 通用沉默</t>
  </si>
  <si>
    <t>倒</t>
  </si>
  <si>
    <t>疗 减疗50%</t>
  </si>
  <si>
    <t>晕 无界眩晕</t>
  </si>
  <si>
    <t>锢 奇穴守拙禁锢无敌</t>
  </si>
  <si>
    <t>170,170,170,</t>
  </si>
  <si>
    <t>禁 花间奇穴兰舟生息禁疗</t>
  </si>
  <si>
    <t>#AAAAAAFF</t>
  </si>
  <si>
    <t>#AAAAAA</t>
  </si>
  <si>
    <t>商 技能商阳指dot</t>
  </si>
  <si>
    <t>兰 花间技能兰摧dot</t>
  </si>
  <si>
    <t>默 花间技能兰摧沉默dot驱散惩罚</t>
  </si>
  <si>
    <t>毓 技能钟林毓秀dot</t>
  </si>
  <si>
    <t>默 花间奇穴洛川沉默</t>
  </si>
  <si>
    <t>封 奇穴厥阴封内</t>
  </si>
  <si>
    <t>埃 春泥获得cd</t>
  </si>
  <si>
    <t>定 花间技能芙蓉定身</t>
  </si>
  <si>
    <t>晕 奇穴天工甲士眩晕</t>
  </si>
  <si>
    <t>洛 花间奇穴洛川连线</t>
  </si>
  <si>
    <t>乘 花间奇穴乘墨由心降命中-驱散混元</t>
  </si>
  <si>
    <t>逐 奶花奇穴逐月降命中-驱散用</t>
  </si>
  <si>
    <t>定 太阴指定身</t>
  </si>
  <si>
    <t>定 太阴指锁足-驱散点穴</t>
  </si>
  <si>
    <t>游斤</t>
  </si>
  <si>
    <t>斤 花间奇穴游斤减速禁跳跃</t>
  </si>
  <si>
    <t>风欲催</t>
  </si>
  <si>
    <t>兰摧</t>
  </si>
  <si>
    <t>兰 无界花间技能兰摧dot</t>
  </si>
  <si>
    <t>晕 技能雷霆眩晕</t>
  </si>
  <si>
    <t>封 冰心技能剑破封内</t>
  </si>
  <si>
    <t>封 冰心奇穴剑心封内</t>
  </si>
  <si>
    <t>默 奶秀奇穴绰态沉默</t>
  </si>
  <si>
    <t>默 冰心奇穴月出东山沉默</t>
  </si>
  <si>
    <t>冧 奶秀风袖获得cd</t>
  </si>
  <si>
    <t>定 技能帝骖定身</t>
  </si>
  <si>
    <t>晕 冰心奇穴霜疾眩晕</t>
  </si>
  <si>
    <t>疗 奶秀奇穴韶景芳尘限疗</t>
  </si>
  <si>
    <t>霜 冰心奇穴霜天连线</t>
  </si>
  <si>
    <t>凝 冰心奇穴合璧知意层数</t>
  </si>
  <si>
    <t>{szStackOp="&gt;=",nStackNum=1,szReminder="凝 冰心奇穴合璧知意层数",nPriority=15,nColAlpha=255,col="#FF99CCFF",},</t>
  </si>
  <si>
    <t>凝 冰心奇穴凝华层数</t>
  </si>
  <si>
    <t>{szStackOp="&gt;=",nStackNum=1,szReminder="凝 冰心奇穴凝华层数",nPriority=15,nColAlpha=255,col="#FF99CCFF",},</t>
  </si>
  <si>
    <t>凝 冰心奇穴合璧知意标记</t>
  </si>
  <si>
    <t>帝骖龙翔·悟</t>
  </si>
  <si>
    <t>雷霆震怒·眩晕</t>
  </si>
  <si>
    <t>晕 无界技能雷霆眩晕</t>
  </si>
  <si>
    <t>活 奇穴非梵复活无法移动、免疫治疗</t>
  </si>
  <si>
    <t>封 奇穴抢珠封内</t>
  </si>
  <si>
    <t>255,0,85,</t>
  </si>
  <si>
    <t>缴 易筋奇穴断诛邪见缴械自身</t>
  </si>
  <si>
    <t>晕 技能大狮子吼眩晕1</t>
  </si>
  <si>
    <t>晕 技能大狮子吼眩晕2</t>
  </si>
  <si>
    <t>晕 技能大狮子吼眩晕3</t>
  </si>
  <si>
    <t>晕 奇穴醍醐灌顶眩晕</t>
  </si>
  <si>
    <t>疗 易筋奇穴尘息减疗</t>
  </si>
  <si>
    <t>弹 易筋奇穴自在反弹</t>
  </si>
  <si>
    <t>坠 小橙武BOSS_少林_千斤坠晕眩</t>
  </si>
  <si>
    <t>坠 新千斤坠技能眩晕</t>
  </si>
  <si>
    <t>挂碍</t>
  </si>
  <si>
    <t>缓 易筋奇穴挂碍降加速</t>
  </si>
  <si>
    <t>晕 九转归一_眩晕</t>
  </si>
  <si>
    <t>封 剑纯奇穴剑飞沉默</t>
  </si>
  <si>
    <t>封 剑纯奇穴剑飞沉默-混元不利</t>
  </si>
  <si>
    <t>封 气纯奇穴八卦封内</t>
  </si>
  <si>
    <t>封 气纯奇穴八卦封内-点穴不利</t>
  </si>
  <si>
    <t>定 剑纯奇穴凌云剑定身</t>
  </si>
  <si>
    <t>定 剑纯技能大道定身-点穴不利</t>
  </si>
  <si>
    <t>定 剑纯技能大道定身追加1秒</t>
  </si>
  <si>
    <t>定 剑纯技能大道定身减15%化劲</t>
  </si>
  <si>
    <t>定 剑纯大道定身减15%化劲强化</t>
  </si>
  <si>
    <t>定 气纯技能七星定身</t>
  </si>
  <si>
    <t>定 气纯技能七星定身新</t>
  </si>
  <si>
    <t>定迹</t>
  </si>
  <si>
    <t>定 气纯奇穴定迹定身</t>
  </si>
  <si>
    <t>晕 气纯技能七星眩晕</t>
  </si>
  <si>
    <t>晕 气纯奇穴羽化眩晕</t>
  </si>
  <si>
    <t>晕 气纯奇穴剑出鸿蒙眩晕</t>
  </si>
  <si>
    <t>晕 剑纯技能剑冲眩晕</t>
  </si>
  <si>
    <t>晕 剑纯奇穴斗转眩晕</t>
  </si>
  <si>
    <t>晕 剑纯奇穴剑道万象眩晕</t>
  </si>
  <si>
    <t>晕 剑纯奇穴剑入眩晕</t>
  </si>
  <si>
    <t>疗 剑纯心法自带减疗</t>
  </si>
  <si>
    <t>叠 剑纯奇穴裂云七叠刃</t>
  </si>
  <si>
    <t>{szStackOp="&gt;=",nStackNum=1,szReminder="叠 剑纯奇穴裂云七叠刃",nPriority=15,nColAlpha=255,col="#FF99CCFF",},</t>
  </si>
  <si>
    <t>定 锁足</t>
  </si>
  <si>
    <t>滞 移动速度降低40%</t>
  </si>
  <si>
    <t>定 锁足被伤害招式命中有50%几率消失</t>
  </si>
  <si>
    <t>湛 剑纯奇穴湛存标记层数高则伤害高</t>
  </si>
  <si>
    <t>{szStackOp="&gt;=",nStackNum=1,szReminder="湛 剑纯奇穴湛存标记层数高则伤害高",nPriority=15,nColAlpha=255,col="#FF99CCFF",},</t>
  </si>
  <si>
    <t>剑 剑纯奇穴剑道万象标记</t>
  </si>
  <si>
    <t>大道无术·至柔</t>
  </si>
  <si>
    <t>晕 剑纯奇穴至柔眩晕</t>
  </si>
  <si>
    <t>轻 破重围3秒封轻功</t>
  </si>
  <si>
    <t>晕 技能断魂刺眩晕</t>
  </si>
  <si>
    <t>晕 技能疾眩晕</t>
  </si>
  <si>
    <t>晕 傲血奇穴青阳眩晕</t>
  </si>
  <si>
    <t>晕 奇穴崩眩晕</t>
  </si>
  <si>
    <t>晕 铁牢奇穴将威眩晕</t>
  </si>
  <si>
    <t>疗 傲血奇穴霹雳减疗</t>
  </si>
  <si>
    <t>禁 破军重创下一次治疗无效</t>
  </si>
  <si>
    <t>缓 铁牢奇穴崩降加速30%</t>
  </si>
  <si>
    <t>缴 奇穴铸兵缴械</t>
  </si>
  <si>
    <t>缴 无法使用武器</t>
  </si>
  <si>
    <t>玉 消耗所有剑气回复气血值</t>
  </si>
  <si>
    <t>碎 奇穴片玉复活cd</t>
  </si>
  <si>
    <t>定 奇穴惊涛定身</t>
  </si>
  <si>
    <t>晕 技能醉月眩晕</t>
  </si>
  <si>
    <t>晕 奇穴摘星眩晕</t>
  </si>
  <si>
    <t>禁 奇穴剑引龙泉下一次治疗无效</t>
  </si>
  <si>
    <t>嘲 风吹荷</t>
  </si>
  <si>
    <t>轻 封轻功</t>
  </si>
  <si>
    <t>定 平湖断月锁足</t>
  </si>
  <si>
    <t>定 玉泉鱼跃锁足</t>
  </si>
  <si>
    <t>晕 藏剑眩晕效果</t>
  </si>
  <si>
    <t>禁 奇穴活祭禁疗</t>
  </si>
  <si>
    <t>封 技能灵蛊封内</t>
  </si>
  <si>
    <t>封 毒经技能蟾啸封内</t>
  </si>
  <si>
    <t>蜕 奇穴蝉蜕复活cd</t>
  </si>
  <si>
    <t>缠惑</t>
  </si>
  <si>
    <t>盾 奶毒奇穴眷思化解</t>
  </si>
  <si>
    <t>定 毒经奇穴幻蛊定身</t>
  </si>
  <si>
    <t>定 技能丝牵定身</t>
  </si>
  <si>
    <t>晕 技能蝎心眩晕</t>
  </si>
  <si>
    <t>疗 毒经技能百足减疗</t>
  </si>
  <si>
    <t>弹 奇穴毒手反弹</t>
  </si>
  <si>
    <t>蚀 毒经奇穴蚀心蛊</t>
  </si>
  <si>
    <t>篾 毒经奇穴篾片蛊爆炸</t>
  </si>
  <si>
    <t>泽 毒经奇穴怀泽蛊前置</t>
  </si>
  <si>
    <t>引 毒经奇穴怀泽蛊前置</t>
  </si>
  <si>
    <t>泽 毒经奇穴怀泽蛊后续</t>
  </si>
  <si>
    <t>缓 加速率降低50%</t>
  </si>
  <si>
    <t>展缓</t>
  </si>
  <si>
    <t>展 毒经奇穴二圣爆炸</t>
  </si>
  <si>
    <t>{szStackOp="&gt;=",nStackNum=1,szReminder="展 毒经奇穴二圣爆炸",nPriority=15,nColAlpha=255,col="#FF99CCFF",},</t>
  </si>
  <si>
    <t>盲 奶毒奇穴穿蝶化羽致盲</t>
  </si>
  <si>
    <t>阵 奶毒奇穴圣元阵降命中50%</t>
  </si>
  <si>
    <t>缓 毒经奇穴忘攸蛊降加速30%*2</t>
  </si>
  <si>
    <t>默 田螺奇穴诡面埋伏沉默</t>
  </si>
  <si>
    <t>禁 田螺奇穴诡面埋伏禁疗</t>
  </si>
  <si>
    <t>封 奇穴梅花针封内</t>
  </si>
  <si>
    <t>默 田螺奇穴不负霜雪沉默</t>
  </si>
  <si>
    <t>晕 田螺奇穴弩击轰雷眩晕</t>
  </si>
  <si>
    <t>晕 技能迷神钉眩晕</t>
  </si>
  <si>
    <t>晕 技能雷震子眩晕</t>
  </si>
  <si>
    <t>晕 小橙武BOSS雷震子眩晕</t>
  </si>
  <si>
    <t>晕 田螺奇穴九霄风雷眩晕</t>
  </si>
  <si>
    <t>疗 奇穴千回百转虚弱减疗</t>
  </si>
  <si>
    <t>疗 鲸鱼技能穿心弩减疗</t>
  </si>
  <si>
    <t>疗 鲸鱼奇穴浴血沁骨禁hot</t>
  </si>
  <si>
    <t>火 鲸鱼奇穴流火连星爆炸</t>
  </si>
  <si>
    <t>凝 鲸鱼奇穴凝形逐踪标记</t>
  </si>
  <si>
    <t>坠 田螺奇穴不负霜雪沉默前置</t>
  </si>
  <si>
    <t>{szStackOp="&gt;=",nStackNum=1,bOnlyMe=true,szReminder="坠 田螺奇穴不负霜雪沉默前置",nPriority=15,nColAlpha=255,col="#FF99CCFF",},</t>
  </si>
  <si>
    <t>定 逐星箭锁足</t>
  </si>
  <si>
    <t>荆 外功命中降低、内功伤害降低100%</t>
  </si>
  <si>
    <t>缴 焚影技能缴械</t>
  </si>
  <si>
    <t>封 奇穴寒月耀封内</t>
  </si>
  <si>
    <t>晕 焚影技能魂锁眩晕</t>
  </si>
  <si>
    <t>晕 明尊奇穴镇魔极道眩晕</t>
  </si>
  <si>
    <t>晕 技能月破眩晕</t>
  </si>
  <si>
    <t>晕 明尊奇穴知我罪我眩晕</t>
  </si>
  <si>
    <t>晕 技能生死劫眩晕</t>
  </si>
  <si>
    <t>晕 焚影奇穴极本溯源眩晕</t>
  </si>
  <si>
    <t>晦冥曳</t>
  </si>
  <si>
    <t>晕 焚影奇穴清净心眩晕</t>
  </si>
  <si>
    <t>疗 技能生死劫减疗</t>
  </si>
  <si>
    <t>锢 焚影奇穴妙相常晖禁锢锁足</t>
  </si>
  <si>
    <t>盲 焚影奇穴明齐日月致盲</t>
  </si>
  <si>
    <t>晕 丐帮醉逍遥眩晕</t>
  </si>
  <si>
    <t>定 奇穴安患定身</t>
  </si>
  <si>
    <t>将进酒</t>
  </si>
  <si>
    <t>晕 奇穴将进酒眩晕</t>
  </si>
  <si>
    <t>亢 奇穴雨龙八层</t>
  </si>
  <si>
    <t>{szStackOp="&gt;=",nStackNum=1,szReminder="亢 奇穴雨龙八层",nPriority=15,nColAlpha=255,col="#FF99CCFF",},</t>
  </si>
  <si>
    <t>酌 奇穴对酌降调息</t>
  </si>
  <si>
    <t>城 奇穴城复于隍击飞无法选中</t>
  </si>
  <si>
    <t>挑 受到挑飞效果</t>
  </si>
  <si>
    <t>定 擒龙六式一段锁足</t>
  </si>
  <si>
    <t>苍龙戾天</t>
  </si>
  <si>
    <t>晕 奇穴苍龙戾天眩晕</t>
  </si>
  <si>
    <t>决 分山奇穴决斗</t>
  </si>
  <si>
    <t>仇 分山奇穴仇非免死</t>
  </si>
  <si>
    <t>默 奇穴雷云沉默</t>
  </si>
  <si>
    <t>血 分山奇穴过涯血上限延迟治疗</t>
  </si>
  <si>
    <t>晕 奇穴断马眩晕</t>
  </si>
  <si>
    <t>倒 技能盾猛击倒</t>
  </si>
  <si>
    <t>疗 分山奇穴血誓减疗</t>
  </si>
  <si>
    <t>疗 分山奇穴祭血关山限疗</t>
  </si>
  <si>
    <t>定 斩刀_锁足效果</t>
  </si>
  <si>
    <t>麾远</t>
  </si>
  <si>
    <t>晕 奇穴麾远眩晕</t>
  </si>
  <si>
    <t>残楼</t>
  </si>
  <si>
    <t>阻 分山奇穴残楼阻疗</t>
  </si>
  <si>
    <t>杯 使自身短暂恢复战斗能力</t>
  </si>
  <si>
    <t>回 奶歌奇穴化羽同归标记</t>
  </si>
  <si>
    <t>默 奇穴井仪沉默</t>
  </si>
  <si>
    <t>封 莫问奇穴清音长啸封内</t>
  </si>
  <si>
    <t>减 奇穴超然减伤</t>
  </si>
  <si>
    <t>盏 莫问奇穴盏萤减伤</t>
  </si>
  <si>
    <t>{szStackOp="&gt;=",nStackNum=1,szReminder="盏 莫问奇穴盏萤减伤",nPriority=12,nColAlpha=255,col="#B3EE3AFF",},</t>
  </si>
  <si>
    <t>定 莫问奇穴别鹤定身</t>
  </si>
  <si>
    <t>晕 莫问奇穴停拍眩晕</t>
  </si>
  <si>
    <t>疗 莫问奇穴楚济减疗</t>
  </si>
  <si>
    <t>拉 技能迴梦</t>
  </si>
  <si>
    <t>懵 技能江逐降加速</t>
  </si>
  <si>
    <t>弹 莫问奇穴啸影反弹</t>
  </si>
  <si>
    <t>游 奶歌奇穴游太清锁血</t>
  </si>
  <si>
    <t>爆 莫问奇穴不愧君引爆</t>
  </si>
  <si>
    <t>默 技能雷走沉默</t>
  </si>
  <si>
    <t>减 奇穴易水减伤</t>
  </si>
  <si>
    <t>大 大刀状态</t>
  </si>
  <si>
    <t>定 割据秦宫一段锁足</t>
  </si>
  <si>
    <t>晕 割据秦宫二段眩晕</t>
  </si>
  <si>
    <t>倒 割据秦宫击倒</t>
  </si>
  <si>
    <t>定 奇穴御侮定身</t>
  </si>
  <si>
    <t>晕 奇穴裁骨眩晕</t>
  </si>
  <si>
    <t>晕 奇穴余声眩晕</t>
  </si>
  <si>
    <t>倒 技能踏宴击倒</t>
  </si>
  <si>
    <t>心境</t>
  </si>
  <si>
    <t>定 奇穴心镜定身</t>
  </si>
  <si>
    <t>定 奇穴渊冰定身</t>
  </si>
  <si>
    <t>疗 奇穴吞楚减疗</t>
  </si>
  <si>
    <t>关 奇穴无涯隔离</t>
  </si>
  <si>
    <t>默 奇穴翔极碧落沉默</t>
  </si>
  <si>
    <t>默 湛然若海沉默</t>
  </si>
  <si>
    <t>定 奇穴飞倾列缺定身</t>
  </si>
  <si>
    <t>晕 奇穴横绝眩晕</t>
  </si>
  <si>
    <t>疗 奇穴跃潮减疗</t>
  </si>
  <si>
    <t>默 奇穴燕歌沉默</t>
  </si>
  <si>
    <t>晕 奇穴长绝眩晕</t>
  </si>
  <si>
    <t>晕 奇穴兵戈眩晕</t>
  </si>
  <si>
    <t>晕 技能骤雨寒江眩晕</t>
  </si>
  <si>
    <t>晕 奇穴赴尘劫眩晕</t>
  </si>
  <si>
    <t>链 技能血覆黄泉链接</t>
  </si>
  <si>
    <t>诀狱</t>
  </si>
  <si>
    <t>疗 奇穴无间狱限疗</t>
  </si>
  <si>
    <t>横 奇穴横云意束缚</t>
  </si>
  <si>
    <t>免 血覆黄泉免疫控制</t>
  </si>
  <si>
    <t>定 幽冥窥月锁足</t>
  </si>
  <si>
    <t>刑 奇穴尽荒狱结束后禁锢</t>
  </si>
  <si>
    <t>锢 奇穴尽荒狱禁锢锁足</t>
  </si>
  <si>
    <t>变 奇穴神占山卦变形无敌</t>
  </si>
  <si>
    <t>关 技能鸿蒙天禁隔离</t>
  </si>
  <si>
    <t>封 奇穴神皆寂封内</t>
  </si>
  <si>
    <t>定 技能往者定定身</t>
  </si>
  <si>
    <t>疗 奇穴休囚减疗</t>
  </si>
  <si>
    <t>火 技能火卦dot</t>
  </si>
  <si>
    <t>卜 奇穴增卜层数</t>
  </si>
  <si>
    <t>灼 奇穴逆火损失体质</t>
  </si>
  <si>
    <t>{szStackOp="&gt;=",nStackNum=1,szReminder="灼 奇穴逆火损失体质",nPriority=15,nColAlpha=255,col="#FF99CCFF",},</t>
  </si>
  <si>
    <t>荧 奇穴荧惑守心前置</t>
  </si>
  <si>
    <t>往者定</t>
  </si>
  <si>
    <t>滞 移动速度降低70%/80%/90%</t>
  </si>
  <si>
    <t>定 魂灯锁足效果</t>
  </si>
  <si>
    <t>滞 移动速度降低80%</t>
  </si>
  <si>
    <t>流 奇穴荧惑守心禁增益</t>
  </si>
  <si>
    <t>禁 无方奇穴荡襟禁疗</t>
  </si>
  <si>
    <t>默 无方技能且待时休毒性沉默</t>
  </si>
  <si>
    <t>默 无方技能且待时休沉默</t>
  </si>
  <si>
    <t>减 灵素奇穴妒茵减伤</t>
  </si>
  <si>
    <t>定 无方技能沾衣未妨定身</t>
  </si>
  <si>
    <t>定 技能惊鸿掠水定身</t>
  </si>
  <si>
    <t>定 无方奇穴荆障定身</t>
  </si>
  <si>
    <t>疗 无方技能紫叶沉疴限疗</t>
  </si>
  <si>
    <t>疗 灵素技能龙葵自苦限疗</t>
  </si>
  <si>
    <t>逆 无方毒层数</t>
  </si>
  <si>
    <t>{szStackOp="&gt;=",nStackNum=1,szReminder="逆 无方毒层数",nPriority=15,nColAlpha=255,col="#FF99CCFF",},</t>
  </si>
  <si>
    <t>弹 无方奇穴并蒂夺株反弹</t>
  </si>
  <si>
    <t>虚 灵素技能枯木苏息易伤虚弱</t>
  </si>
  <si>
    <t>织翠</t>
  </si>
  <si>
    <t>疗 灵素奇穴织翠减疗减护盾</t>
  </si>
  <si>
    <t>缓 无方奇穴并蒂夺株降加速50%</t>
  </si>
  <si>
    <t>禁 奇穴遏云势禁疗</t>
  </si>
  <si>
    <t>缴 技能洗兵雨缴械</t>
  </si>
  <si>
    <t>晕 奇穴袭伐眩晕</t>
  </si>
  <si>
    <t>定 技能游风飘踪定身</t>
  </si>
  <si>
    <t>晕 技能游风飘踪眩晕</t>
  </si>
  <si>
    <t>定 奇穴驰心定身</t>
  </si>
  <si>
    <t>疗 奇穴辞霈减疗减护盾</t>
  </si>
  <si>
    <t>连 奇穴泽风同承伤害传导</t>
  </si>
  <si>
    <t>破 奇穴承磊六破绽</t>
  </si>
  <si>
    <t>{szStackOp="&gt;=",nStackNum=1,szReminder="破 奇穴承磊六破绽",nPriority=15,nColAlpha=255,col="#FF99CCFF",},</t>
  </si>
  <si>
    <t>连亘</t>
  </si>
  <si>
    <t>连 奇穴连亘降命中100%</t>
  </si>
  <si>
    <t>恐 变身后技能恐惧</t>
  </si>
  <si>
    <t>滞 万灵山庄_减移速50%</t>
  </si>
  <si>
    <t>定 万灵山庄_锁足</t>
  </si>
  <si>
    <t>定 技能空弦惊雁定身</t>
  </si>
  <si>
    <t>#FF0055</t>
  </si>
  <si>
    <t>晕 技能空弦惊雁眩晕</t>
  </si>
  <si>
    <t>汇山岚</t>
  </si>
  <si>
    <t>晕 技能汇山岚眩晕</t>
  </si>
  <si>
    <t>疗 奇穴陆吾减疗</t>
  </si>
  <si>
    <t>疗 技能汇灵合契限疗</t>
  </si>
  <si>
    <t>盲 奇穴沃焦致盲</t>
  </si>
  <si>
    <t>禁 万灵奇穴反曲下一次治疗无效</t>
  </si>
  <si>
    <t>{nClass=2,nIcon=7931,nFrame=7,szName="奇遇·胜负局·解封",nTime=10,key="奇遇·封印",},</t>
  </si>
  <si>
    <t>{nClass=2,nIcon=7931,nFrame=7,szName="千岛湖·贺城·封博安",nTime=10.1,key="奇遇·解封",},</t>
  </si>
  <si>
    <t>{nClass=2,nIcon=6072,nFrame=7,szName="奇遇·兔江湖·解封",nTime=10,key="奇遇·封印",},</t>
  </si>
  <si>
    <t>{nClass=2,nIcon=6072,nFrame=7,szName="洛阳·战乱·茶馆·神秘人",nTime=10.1,key="奇遇·解封",},</t>
  </si>
  <si>
    <t>{nClass=2,nIcon=293,nFrame=5,szName="雪雪·旅行",nTime=0,key="雪雪·旅行",},</t>
  </si>
  <si>
    <t>{nClass=1,nIcon=293,nFrame=5,szName="旅行·稻香村·镜湖亭东北·围棋",nTime=20,key="雪雪·旅行",},</t>
  </si>
  <si>
    <t>{nClass=2,nIcon=293,nFrame=5,szName="可以去溪水里看荷花",nTime=20,key="雪雪·旅行介绍1",},</t>
  </si>
  <si>
    <t>{nClass=2,nIcon=293,nFrame=5,szName="可以顺着桥走去看瀑布",nTime=20,key="雪雪·旅行介绍2",},</t>
  </si>
  <si>
    <t>{nClass=1,nIcon=293,nFrame=5,szName="雪雪·旅行介绍1",nTime=0,key="雪雪·旅行介绍1",},</t>
  </si>
  <si>
    <t>{nClass=1,nIcon=293,nFrame=5,szName="雪雪·旅行介绍2",nTime=0,key="雪雪·旅行介绍2",},</t>
  </si>
  <si>
    <t>{nClass=2,nIcon=17135,nFrame=0,szName="雪雪·旅行介绍1",nTime=0,key="雪雪·旅行介绍1",},</t>
  </si>
  <si>
    <t>{nClass=2,nIcon=17135,nFrame=0,szName="雪雪·旅行介绍2",nTime=0,key="雪雪·旅行介绍2",},</t>
  </si>
  <si>
    <t>{nClass=1,nIcon=17135,nFrame=0,szName="选项1·命途偏·逸",nTime=10,key="雪雪·旅行介绍1",},</t>
  </si>
  <si>
    <t>{nClass=1,nIcon=17135,nFrame=0,szName="选项2·命途偏·尘",nTime=10,key="雪雪·旅行介绍2",},</t>
  </si>
  <si>
    <t>雪山恩仇·万花</t>
  </si>
  <si>
    <t>{nClass=1,nIcon=13694,nFrame=7,szName="雪山恩仇·万花·孙思邈",nTime=60,key="雪山恩仇·提示0",},</t>
  </si>
  <si>
    <t>{nClass=2,nIcon=13694,nFrame=7,szName="雪山恩仇·提示0",nTime=0,key="雪山恩仇·提示0",},</t>
  </si>
  <si>
    <t>{nClass=1,nIcon=293,nFrame=5,szName="旅行·万花·晴昼海",nTime=20,key="雪雪·旅行",},</t>
  </si>
  <si>
    <t>{nClass=2,nIcon=293,nFrame=5,szName="晴昼海·赵小凯·附近·触发命途",nTime=20,key="雪雪·旅行介绍1",},</t>
  </si>
  <si>
    <t>{nClass=2,nIcon=293,nFrame=5,szName="落星湖小屋找·宇晴",nTime=20,key="雪雪·旅行介绍2",},</t>
  </si>
  <si>
    <t>{nClass=1,nIcon=414,nFrame=5,szName="饱食·万花·东方宇轩",nTime=2,nRefresh=3600,key="冬至·饱食·万花",},</t>
  </si>
  <si>
    <t>["SKILL#10002"]=true,["SKILL#10003"]=true,</t>
  </si>
  <si>
    <t>雪山恩仇·少林</t>
  </si>
  <si>
    <t>{nClass=1,nIcon=13693,nFrame=7,szName="雪山恩仇·少林·玄正",nTime=60,key="雪山恩仇·提示0",},</t>
  </si>
  <si>
    <t>{nClass=2,nIcon=13693,nFrame=7,szName="雪山恩仇·提示0",nTime=0,key="雪山恩仇·提示0",},</t>
  </si>
  <si>
    <t>{nClass=1,nIcon=438,nFrame=5,szName="饱食·少林·玄正",nTime=2,nRefresh=3600,key="冬至·饱食·少林",},</t>
  </si>
  <si>
    <t>消帮战败兵CD</t>
  </si>
  <si>
    <t>{nClass=1,nIcon=2020,nFrame=5,szName="少林打坐帮战debuff",nTime=0.1,nRefresh=7800,key="帮会宣战·败兵",},</t>
  </si>
  <si>
    <t>{nClass=1,nIcon=8591,nFrame=7,szName="奇遇·稚子心·封印2·24小时",nTime=10,nRefresh=7200,key="奇遇·封印",},</t>
  </si>
  <si>
    <t>{nClass=2,nIcon=3314,nFrame=5,szName="断线的风筝",nTime=0,key="断线的风筝",},</t>
  </si>
  <si>
    <t>255,0,255,</t>
  </si>
  <si>
    <t>{nClass=1,nIcon=5372,nFrame=1,szName="踩花灯·CD",nTime=2,key="踩花灯·CD",},</t>
  </si>
  <si>
    <t>{nClass=2,nIcon=5372,nFrame=5,szName="踩花灯·CD",nTime=0,key="踩花灯·CD",},</t>
  </si>
  <si>
    <t>["SKILL#10014"]=true,["SKILL#10015"]=true,</t>
  </si>
  <si>
    <t>雪山恩仇·纯阳</t>
  </si>
  <si>
    <t>{nClass=1,nIcon=13696,nFrame=7,szName="雪山恩仇·纯阳·李忘生",nTime=60,key="雪山恩仇·提示0",},</t>
  </si>
  <si>
    <t>{nClass=2,nIcon=13696,nFrame=7,szName="雪山恩仇·提示0",nTime=0,key="雪山恩仇·提示0",},</t>
  </si>
  <si>
    <t>{nClass=1,nIcon=325,nFrame=3,szName="虚弱·禁疗·打坐消除",nTime=180,key="门派事件·虚弱·禁疗",},</t>
  </si>
  <si>
    <t>{nClass=2,nIcon=325,nFrame=5,szName="门派事件·虚弱·禁疗",nTime=0,key="门派事件·虚弱·禁疗",},</t>
  </si>
  <si>
    <t>{nClass=1,nIcon=325,nFrame=3,szName="读条消失不要动·最终会加分",nTime=30,key="门派事件1",},</t>
  </si>
  <si>
    <t>{nClass=2,nIcon=325,nFrame=5,szName="门派事件1",nTime=0,key="门派事件1",},</t>
  </si>
  <si>
    <t>{nClass=1,nIcon=325,nFrame=3,szName="穿装备打坐回到35%再脱装备",nTime=60,key="门派事件2",},</t>
  </si>
  <si>
    <t>{nClass=2,nIcon=325,nFrame=3,szName="门派事件2",nTime=0,key="门派事件2",},</t>
  </si>
  <si>
    <t>雪雪旅行</t>
  </si>
  <si>
    <t>{nClass=1,nIcon=293,nFrame=5,szName="旅行·纯阳·太极广场",nTime=20,key="雪雪·旅行",},</t>
  </si>
  <si>
    <t>{nClass=2,nIcon=293,nFrame=5,szName="纯阳·太极广场·于睿",nTime=20,key="雪雪·旅行介绍1",},</t>
  </si>
  <si>
    <t>{nClass=2,nIcon=293,nFrame=5,szName="纯阳·太极广场东南·小亭子",nTime=20,key="雪雪·旅行介绍2",},</t>
  </si>
  <si>
    <t>{nClass=1,nIcon=620,nFrame=5,szName="饱食·纯阳·李忘生",nTime=2,nRefresh=3600,key="冬至·饱食·纯阳",},</t>
  </si>
  <si>
    <t>["SKILL#10026"]=true,["SKILL#10062"]=true,</t>
  </si>
  <si>
    <t>雪山恩仇·天策</t>
  </si>
  <si>
    <t>{nClass=1,nIcon=13695,nFrame=7,szName="雪山恩仇·天策·李承恩",nTime=60,key="雪山恩仇·提示0",},</t>
  </si>
  <si>
    <t>{nClass=2,nIcon=13695,nFrame=7,szName="雪山恩仇·提示0",nTime=0,key="雪山恩仇·提示0",},</t>
  </si>
  <si>
    <t>{nClass=1,nIcon=635,nFrame=5,szName="饱食·天策·李承恩",nTime=2,nRefresh=3600,key="冬至·饱食·天策",},</t>
  </si>
  <si>
    <t>{nClass=1,nIcon=293,nFrame=5,szName="旅行·金水镇·金水镇广场",nTime=20,key="雪雪·旅行",},</t>
  </si>
  <si>
    <t>{nClass=2,nIcon=293,nFrame=5,szName="可以去广场戏台找·熊爷",nTime=20,key="雪雪·旅行介绍1",},</t>
  </si>
  <si>
    <t>{nClass=2,nIcon=293,nFrame=5,szName="可以去渡口·刘理阳附近·看湖",nTime=20,key="雪雪·旅行介绍2",},</t>
  </si>
  <si>
    <t>{nClass=1,nIcon=2399,nFrame=7,szName="奇遇·鸠雀记·封印·24小时",nTime=10,nRefresh=7200,key="奇遇·封印",},</t>
  </si>
  <si>
    <t>雪山恩仇·七秀</t>
  </si>
  <si>
    <t>{nClass=1,nIcon=13697,nFrame=7,szName="雪山恩仇·七秀·萧白胭",nTime=60,key="雪山恩仇·提示0",},</t>
  </si>
  <si>
    <t>{nClass=2,nIcon=13697,nFrame=7,szName="雪山恩仇·提示0",nTime=0,key="雪山恩仇·提示0",},</t>
  </si>
  <si>
    <t>{nClass=1,nIcon=907,nFrame=5,szName="饱食·七秀·叶芷青",nTime=2,nRefresh=3600,key="冬至·饱食·七秀",},</t>
  </si>
  <si>
    <t>{nClass=1,nIcon=4513,nFrame=5,szName="普通空雾峰·玉华池·打坐",nTime=20,key="雪山恩仇·提示0",},</t>
  </si>
  <si>
    <t>{nClass=2,nIcon=4513,nFrame=5,szName="雪山恩仇·提示0",nTime=0,key="雪山恩仇·提示0",},</t>
  </si>
  <si>
    <t>{nClass=1,nIcon=4514,nFrame=0,szName="奇遇·雪山恩仇·封印·23小时",nTime=10,nRefresh=7200,key="奇遇·封印",},</t>
  </si>
  <si>
    <t>好感度</t>
  </si>
  <si>
    <t>胡月宝箱限制</t>
  </si>
  <si>
    <t>龙门飞剑内置CD</t>
  </si>
  <si>
    <t>锋芒展·伙计对话</t>
  </si>
  <si>
    <t>剧情</t>
  </si>
  <si>
    <t>锋芒展</t>
  </si>
  <si>
    <t>{nClass=1,nIcon=293,nFrame=5,szName="旅行·昆仑·小遥峰",nTime=20,key="雪雪·旅行",},</t>
  </si>
  <si>
    <t>{nClass=2,nIcon=293,nFrame=5,szName="可以往瀑布方向走·看冰水",nTime=20,key="雪雪·旅行介绍1",},</t>
  </si>
  <si>
    <t>{nClass=2,nIcon=293,nFrame=5,szName="可以找·NPC冰雪",nTime=20,key="雪雪·旅行介绍2",},</t>
  </si>
  <si>
    <t>{nClass=2,nIcon=370,nFrame=5,szName="蜜蜂·采仙草",nTime=0,key="蜜蜂·采仙草",},</t>
  </si>
  <si>
    <t>{nClass=1,nIcon=370,nFrame=5,szName="蜜蜂·靠近水面",nTime=10,key="蜜蜂·采仙草",},</t>
  </si>
  <si>
    <t>{nClass=1,nIcon=370,nFrame=5,szName="蜜蜂·采仙草",nTime=0,key="蜜蜂·采仙草",},</t>
  </si>
  <si>
    <t>{nClass=1,nIcon=4513,nFrame=5,szName="请前往·普通空雾峰·玉华池",nTime=10,key="雪山恩仇·提示0",},</t>
  </si>
  <si>
    <t>["SKILL#10144"]=true,["SKILL#10145"]=true,</t>
  </si>
  <si>
    <t>雪山恩仇·藏剑</t>
  </si>
  <si>
    <t>{nClass=1,nIcon=13698,nFrame=7,szName="雪山恩仇·藏剑·叶晖",nTime=60,key="雪山恩仇·提示0",},</t>
  </si>
  <si>
    <t>{nClass=2,nIcon=13698,nFrame=7,szName="雪山恩仇·提示0",nTime=0,key="雪山恩仇·提示0",},</t>
  </si>
  <si>
    <t>{nClass=1,nIcon=2392,nFrame=5,szName="饱食·藏剑·叶英",nTime=2,nRefresh=3600,key="冬至·饱食·藏剑",},</t>
  </si>
  <si>
    <t>255,50,255,</t>
  </si>
  <si>
    <t>爆 内满·贰爆炸15尺内阳性伤害</t>
  </si>
  <si>
    <t>#FF32FFFF</t>
  </si>
  <si>
    <t>#FF32FF</t>
  </si>
  <si>
    <t>雪山恩仇·五毒</t>
  </si>
  <si>
    <t>{nClass=1,nIcon=13699,nFrame=7,szName="雪山恩仇·五毒·艾黎",nTime=60,key="雪山恩仇·提示0",},</t>
  </si>
  <si>
    <t>{nClass=2,nIcon=13699,nFrame=7,szName="雪山恩仇·提示0",nTime=0,key="雪山恩仇·提示0",},</t>
  </si>
  <si>
    <t>{nClass=1,nIcon=2756,nFrame=5,szName="饱食·五毒·曲云",nTime=2,nRefresh=3600,key="冬至·饱食·五毒",},</t>
  </si>
  <si>
    <t>{nClass=1,nIcon=1372,nFrame=7,szName="奇遇·东海客·封印·明日7时",nTime=10,nRefresh=7200,key="奇遇·封印",},</t>
  </si>
  <si>
    <t>雪雪养成</t>
  </si>
  <si>
    <t>滇南行·护体圣药</t>
  </si>
  <si>
    <t>{nClass=2,nIcon=1475,nFrame=7,szName="奇遇·少年行·解封",nTime=10.1,key="奇遇·封印",},</t>
  </si>
  <si>
    <t>{nClass=1,nIcon=1475,nFrame=7,szName="奇遇·少年行·封印·明日7时",nTime=10,nRefresh=7200,key="奇遇·封印",},</t>
  </si>
  <si>
    <t>{nClass=1,nIcon=8134,nFrame=7,szName="奇遇·石敢当·封印·明日7时",nTime=10,nRefresh=7200,key="奇遇·封印",},</t>
  </si>
  <si>
    <t>{nClass=1,nIcon=9,nFrame=7,szName="奇遇·凌云梯·封印·24小时",nTime=10,nRefresh=7200,key="奇遇·封印",},</t>
  </si>
  <si>
    <t>45,255,255,</t>
  </si>
  <si>
    <t>凝</t>
  </si>
  <si>
    <t>#2DFFFFFF</t>
  </si>
  <si>
    <t>#2DFFFF</t>
  </si>
  <si>
    <t>255,255,45,</t>
  </si>
  <si>
    <t>石</t>
  </si>
  <si>
    <t>#FFFF2DFF</t>
  </si>
  <si>
    <t>#FFFF2D</t>
  </si>
  <si>
    <t>["SKILL#10224"]=true,["SKILL#10225"]=true,</t>
  </si>
  <si>
    <t>雪山恩仇·唐门</t>
  </si>
  <si>
    <t>{nClass=1,nIcon=13700,nFrame=7,szName="雪山恩仇·唐门·唐老太太",nTime=60,key="雪山恩仇·提示0",},</t>
  </si>
  <si>
    <t>{nClass=2,nIcon=13700,nFrame=7,szName="雪山恩仇·提示0",nTime=0,key="雪山恩仇·提示0",},</t>
  </si>
  <si>
    <t>{nClass=1,nIcon=3176,nFrame=5,szName="饱食·唐门·唐老太太",nTime=2,nRefresh=3600,key="冬至·饱食·唐门",},</t>
  </si>
  <si>
    <t>{nClass=1,nIcon=4606,nFrame=7,szName="成就·福德齐天·CD·18小时",nTime=10,nRefresh=600,key="福德齐天·封印",},</t>
  </si>
  <si>
    <t>["SKILL#10242"]=true,["SKILL#10243"]=true,</t>
  </si>
  <si>
    <t>雪山恩仇·明教</t>
  </si>
  <si>
    <t>{nClass=1,nIcon=13701,nFrame=7,szName="雪山恩仇·明教·陆危楼",nTime=60,key="雪山恩仇·提示0",},</t>
  </si>
  <si>
    <t>{nClass=2,nIcon=13701,nFrame=7,szName="雪山恩仇·提示0",nTime=0,key="雪山恩仇·提示0",},</t>
  </si>
  <si>
    <t>{nClass=1,nIcon=293,nFrame=5,szName="旅行·明教·三生树",nTime=20,key="雪雪·旅行",},</t>
  </si>
  <si>
    <t>{nClass=2,nIcon=293,nFrame=5,szName="三生树找·NPC波斯猫",nTime=20,key="雪雪·旅行介绍1",},</t>
  </si>
  <si>
    <t>{nClass=2,nIcon=293,nFrame=5,szName="三生树东北找·两只贴贴的骆驼",nTime=20,key="雪雪·旅行介绍2",},</t>
  </si>
  <si>
    <t>{nClass=1,nIcon=3792,nFrame=5,szName="饱食·明教·陆危楼",nTime=2,nRefresh=3600,key="冬至·饱食·明教",},</t>
  </si>
  <si>
    <t>念红尘</t>
  </si>
  <si>
    <t>{nClass=1,nIcon=105,nFrame=7,szName="奇遇·茶馆奇缘·封印·明日7时",nTime=10,nRefresh=7200,key="奇遇·封印",},</t>
  </si>
  <si>
    <t>{nClass=1,nIcon=17135,nFrame=0,szName="奇遇提示0",nTime=0,key="奇遇提示0",},</t>
  </si>
  <si>
    <t>{nClass=1,nIcon=17135,nFrame=7,bHold=true,szName="准备·QTE",nTime=2,key="奇遇提示2",},</t>
  </si>
  <si>
    <t>{nClass=1,nIcon=17135,nFrame=7,bHold=true,szName="准备·QTE",nTime=2,key="奇遇提示3",},</t>
  </si>
  <si>
    <t>{nClass=1,nIcon=6934,nFrame=5,szName="按111",nTime=2,key="QTE·按1",},</t>
  </si>
  <si>
    <t>{nClass=2,nIcon=6934,nFrame=5,szName="QTE·按1",nTime=0,key="QTE·按1",},</t>
  </si>
  <si>
    <t>{nClass=1,nIcon=6954,nFrame=6,szName="按222",nTime=2,key="QTE·按2",},</t>
  </si>
  <si>
    <t>{nClass=2,nIcon=6954,nFrame=6,szName="QTE·按2",nTime=0,key="QTE·按2",},</t>
  </si>
  <si>
    <t>{nClass=1,nIcon=6965,nFrame=7,szName="按333",nTime=2,key="QTE·按3",},</t>
  </si>
  <si>
    <t>{nClass=2,nIcon=6965,nFrame=7,szName="QTE·按3",nTime=0,key="QTE·按3",},</t>
  </si>
  <si>
    <t>{nClass=1,nIcon=6937,nFrame=8,szName="按444",nTime=2,key="QTE·按4",},</t>
  </si>
  <si>
    <t>{nClass=2,nIcon=6937,nFrame=8,szName="QTE·按4",nTime=0,key="QTE·按4",},</t>
  </si>
  <si>
    <t>{nClass=1,nIcon=6072,nFrame=7,szName="奇遇·兔江湖·封印·次日7时",nTime=10,nRefresh=7200,key="奇遇·封印",},</t>
  </si>
  <si>
    <t>{nClass=1,nIcon=6072,nFrame=7,szName="次日·洛阳·战乱·茶馆·神秘人",nTime=10.1,nRefresh=7200,key="奇遇·解封",},</t>
  </si>
  <si>
    <t>{nClass=1,nIcon=6072,nFrame=7,szName="兔江湖",nTime=-1,key="兔江湖",},</t>
  </si>
  <si>
    <t>{nClass=1,nIcon=6072,nFrame=7,szName="奇遇提示2",nTime=-1,key="奇遇提示2",},</t>
  </si>
  <si>
    <t>{nClass=1,nIcon=6072,nFrame=7,szName="奇遇提示3",nTime=-1,key="奇遇提示3",},</t>
  </si>
  <si>
    <t>{nClass=1,nIcon=6951,nFrame=5,szName="按111",nTime=2,key="QTE·按1",},</t>
  </si>
  <si>
    <t>{nClass=2,nIcon=6951,nFrame=5,szName="QTE·按1",nTime=0,key="QTE·按1",},</t>
  </si>
  <si>
    <t>{nClass=1,nIcon=6954,nFrame=5,szName="按222",nTime=2,key="QTE·按2",},</t>
  </si>
  <si>
    <t>{nClass=2,nIcon=6954,nFrame=5,szName="QTE·按2",nTime=0,key="QTE·按2",},</t>
  </si>
  <si>
    <t>{nClass=1,nIcon=6920,nFrame=5,szName="按333",nTime=2,key="QTE·按3",},</t>
  </si>
  <si>
    <t>{nClass=2,nIcon=6920,nFrame=5,szName="QTE·按3",nTime=0,key="QTE·按3",},</t>
  </si>
  <si>
    <t>{nClass=1,nIcon=6962,nFrame=5,szName="按444",nTime=2,key="QTE·按4",},</t>
  </si>
  <si>
    <t>{nClass=2,nIcon=6962,nFrame=5,szName="QTE·按4",nTime=0,key="QTE·按4",},</t>
  </si>
  <si>
    <t>{nClass=1,nIcon=17135,nFrame=7,bHold=true,szName="QTE·无顺序",nTime=600,key="奇遇提示2",},</t>
  </si>
  <si>
    <t>{nClass=1,nIcon=17135,nFrame=7,bHold=true,szName="打赢·鲁小兔·即可",nTime=600,key="奇遇提示3",},</t>
  </si>
  <si>
    <t>{nClass=2,nIcon=17135,nFrame=7,bHold=true,szName="再次对话 ·鲁小兔",nTime=600,key="奇遇提示2",},</t>
  </si>
  <si>
    <t>{nClass=2,nIcon=17135,nFrame=7,bHold=true,szName="奇遇封印·次日7时",nTime=600,key="奇遇提示3",},</t>
  </si>
  <si>
    <t>["SKILL#10268"]=true,</t>
  </si>
  <si>
    <t>雪山恩仇·丐帮</t>
  </si>
  <si>
    <t>{nClass=1,nIcon=13702,nFrame=7,szName="雪山恩仇·丐帮·郭岩",nTime=60,key="雪山恩仇·提示0",},</t>
  </si>
  <si>
    <t>{nClass=2,nIcon=13702,nFrame=7,szName="雪山恩仇·提示0",nTime=0,key="雪山恩仇·提示0",},</t>
  </si>
  <si>
    <t>{nClass=1,nIcon=4884,nFrame=5,szName="饱食·丐帮·郭岩",nTime=2,nRefresh=3600,key="冬至·饱食·丐帮",},</t>
  </si>
  <si>
    <t>{nClass=1,nIcon=8591,nFrame=7,szName="奇遇·稚子心·封印1·24小时",nTime=10,nRefresh=7200,key="奇遇·封印",},</t>
  </si>
  <si>
    <t>{nClass=1,nIcon=8591,nFrame=7,szName="奇遇·稚子心·封印3·24小时",nTime=10,nRefresh=7200,key="奇遇·封印",},</t>
  </si>
  <si>
    <t>{nClass=1,nIcon=2678,nFrame=5,szName="钓鱼·QTE10次",nTime=60,key="钓鱼",},</t>
  </si>
  <si>
    <t>{nClass=2,nIcon=16,nFrame=5,szName="闹市猎手",nTime=0,key="闹市猎手",},</t>
  </si>
  <si>
    <t>{nClass=1,nIcon=16,nFrame=0,szName="闹市猎手",nTime=300,key="闹市猎手",},</t>
  </si>
  <si>
    <t>{nClass=2,nIcon=717,nFrame=6,szName="箭无虚发",nTime=0,key="箭无虚发",},</t>
  </si>
  <si>
    <t>{nClass=1,nIcon=717,nFrame=6,szName="箭无虚发",nTime=60,key="箭无虚发",},</t>
  </si>
  <si>
    <t>成就·七情覆灭</t>
  </si>
  <si>
    <t>{nClass=1,nIcon=3410,nFrame=5,szName="技能三·坐困愁城·愁城冰柱",nTime=8,key="坐困愁城",},</t>
  </si>
  <si>
    <t>{nClass=2,nIcon=3410,nFrame=5,szName="技能三·坐困愁城·愁城冰柱",nTime=0,key="坐困愁城",},</t>
  </si>
  <si>
    <t>{nClass=1,nIcon=3408,nFrame=5,szName="四技能·雪舞惧散·不受控",nTime=0,key="雪舞惧散",},</t>
  </si>
  <si>
    <t>{nClass=1,nIcon=3408,nFrame=5,szName="四技能·雪舞惧散·不受控",nTime=5,key="雪舞惧散",},</t>
  </si>
  <si>
    <t>{nClass=2,nIcon=3408,nFrame=5,szName="四技能·雪舞惧散·不受控",nTime=0,key="雪舞惧散",},</t>
  </si>
  <si>
    <t>{nClass=1,nIcon=1547,nFrame=5,szName="被申猴缴械了",nTime=2,key="猴窃",},</t>
  </si>
  <si>
    <t>{nClass=2,nIcon=1547,nFrame=5,szName="被申猴缴械了",nTime=0,key="猴窃",},</t>
  </si>
  <si>
    <t>#00FFFFFF</t>
  </si>
  <si>
    <t>#00FFFF</t>
  </si>
  <si>
    <t>{nClass=1,nIcon=4552,nFrame=5,szName="五技能·痴断情肠·痴·连线",nTime=2,key="痴断情肠·痴",},</t>
  </si>
  <si>
    <t>{nClass=2,nIcon=4552,nFrame=5,szName="五技能·痴断情肠·痴·连线",nTime=10,key="痴断情肠·痴",},</t>
  </si>
  <si>
    <t>#FF3232FF</t>
  </si>
  <si>
    <t>#FF3232</t>
  </si>
  <si>
    <t>{nClass=1,nIcon=4549,nFrame=5,szName="五技能·痴断情肠·情·连线",nTime=2,key="痴断情肠·情",},</t>
  </si>
  <si>
    <t>{nClass=2,nIcon=4549,nFrame=5,szName="五技能·痴断情肠·情·连线",nTime=0,key="痴断情肠·情",},</t>
  </si>
  <si>
    <t>["SKILL#10389"]=true,["SKILL#10390"]=true,</t>
  </si>
  <si>
    <t>雪山恩仇·苍云</t>
  </si>
  <si>
    <t>{nClass=1,nIcon=13703,nFrame=7,szName="雪山恩仇·苍云·长孙忘情",nTime=60,key="雪山恩仇·提示0",},</t>
  </si>
  <si>
    <t>{nClass=2,nIcon=13703,nFrame=7,szName="雪山恩仇·提示0",nTime=0,key="雪山恩仇·提示0",},</t>
  </si>
  <si>
    <t>{nClass=1,nIcon=6432,nFrame=5,szName="饱食·苍云·长孙忘情",nTime=2,nRefresh=3600,key="冬至·饱食·苍云",},</t>
  </si>
  <si>
    <t>{nClass=1,nIcon=10052,nFrame=7,szName="奇遇·戎马边·封印·72小时",nTime=10,nRefresh=7200,key="奇遇·封印",},</t>
  </si>
  <si>
    <t>{nClass=1,nIcon=8317,nFrame=7,szName="虎啸山林·阴山商路·已尝试",nTime=2,nRefresh=3600,key="奇遇·封印",},</t>
  </si>
  <si>
    <t>["SKILL#10447"]=true,["SKILL#10448"]=true,</t>
  </si>
  <si>
    <t>雪山恩仇·长歌</t>
  </si>
  <si>
    <t>{nClass=1,nIcon=13704,nFrame=7,szName="雪山恩仇·长歌·杨逸飞",nTime=60,key="雪山恩仇·提示0",},</t>
  </si>
  <si>
    <t>{nClass=2,nIcon=13704,nFrame=7,szName="雪山恩仇·提示0",nTime=0,key="雪山恩仇·提示0",},</t>
  </si>
  <si>
    <t>{nClass=1,nIcon=7129,nFrame=5,szName="饱食·长歌·杨逸飞",nTime=2,nRefresh=3600,key="冬至·饱食·长歌",},</t>
  </si>
  <si>
    <t>{nClass=1,nIcon=7925,nFrame=7,szName="奇遇·清茗经·封印·24小时",nTime=10,nRefresh=7200,key="奇遇·封印",},</t>
  </si>
  <si>
    <t>235,118,38,</t>
  </si>
  <si>
    <t>{nClass=1,nIcon=4540,nFrame=0,szName="按111",nTime=3.1,key="石敢当·QTE·按1",},</t>
  </si>
  <si>
    <t>{nClass=2,nIcon=4540,nFrame=5,szName="石敢当·QTE·按1",nTime=0,key="石敢当·QTE·按1",},</t>
  </si>
  <si>
    <t>0,146,234,</t>
  </si>
  <si>
    <t>{nClass=1,nIcon=7500,nFrame=5,szName="按222",nTime=3.1,key="石敢当·QTE·按2",},</t>
  </si>
  <si>
    <t>{nClass=2,nIcon=7500,nFrame=5,szName="石敢当·QTE·按2",nTime=0,key="石敢当·QTE·按2",},</t>
  </si>
  <si>
    <t>219,226,68,</t>
  </si>
  <si>
    <t>{nClass=1,nIcon=4224,nFrame=3,szName="按333",nTime=3.1,key="石敢当·QTE·按3",},</t>
  </si>
  <si>
    <t>{nClass=2,nIcon=4224,nFrame=5,szName="石敢当·QTE·按3",nTime=0,key="石敢当·QTE·按3",},</t>
  </si>
  <si>
    <t>147,45,228,</t>
  </si>
  <si>
    <t>{nClass=1,nIcon=3455,nFrame=8,szName="按444",nTime=3.1,key="石敢当·QTE·按4",},</t>
  </si>
  <si>
    <t>{nClass=2,nIcon=3455,nFrame=5,szName="石敢当·QTE·按4",nTime=0,key="石敢当·QTE·按4",},</t>
  </si>
  <si>
    <t>{nClass=2,nIcon=7931,nFrame=7,szName="千岛湖·贺城·封博安",nTime=10,key="奇遇·解封",},</t>
  </si>
  <si>
    <t>{nClass=1,nIcon=7931,nFrame=7,szName="奇遇·胜负局·封印·24小时",nTime=10,nRefresh=7200,key="奇遇·封印",},</t>
  </si>
  <si>
    <t>{nClass=2,nIcon=364,nFrame=5,szName="训马·交互",nTime=0,key="训马·交互",},</t>
  </si>
  <si>
    <t>{nClass=1,nIcon=364,nFrame=3,szName="清洁中",nTime=10,key="训马·交互",},</t>
  </si>
  <si>
    <t>{nClass=2,nIcon=219,nFrame=5,szName="训马·交互",nTime=0,key="训马·交互",},</t>
  </si>
  <si>
    <t>{nClass=1,nIcon=219,nFrame=3,szName="放养中",nTime=10,key="训马·交互",},</t>
  </si>
  <si>
    <t>{nClass=2,nIcon=382,nFrame=5,szName="训马·交互",nTime=0,key="训马·交互",},</t>
  </si>
  <si>
    <t>{nClass=1,nIcon=382,nFrame=5,szName="安抚中",nTime=10,key="训马·交互",},</t>
  </si>
  <si>
    <t>{nClass=2,nIcon=296,nFrame=5,szName="训马·交互",nTime=0,key="训马·交互",},</t>
  </si>
  <si>
    <t>{nClass=1,nIcon=296,nFrame=6,szName="训练中",nTime=10,key="训马·交互",},</t>
  </si>
  <si>
    <t>{nClass=1,nIcon=293,nFrame=5,szName="旅行·阴山大草原·阴山集市",nTime=20,key="雪雪·旅行",},</t>
  </si>
  <si>
    <t>{nClass=2,nIcon=293,nFrame=5,szName="阴山集市·黑市附近",nTime=20,key="雪雪·旅行介绍1",},</t>
  </si>
  <si>
    <t>{nClass=2,nIcon=293,nFrame=5,szName="阴山茶馆找·茶馆老板娘",nTime=20,key="雪雪·旅行介绍2",},</t>
  </si>
  <si>
    <t>{nClass=2,nIcon=293,nFrame=5,szName="湖心岛·触发命途",nTime=20,key="雪雪·旅行介绍3",},</t>
  </si>
  <si>
    <t>{nClass=1,nIcon=9246,nFrame=7,szName="奇遇·北行镖·封印·明日7时",nTime=10,nRefresh=7200,key="奇遇·封印",},</t>
  </si>
  <si>
    <t>{nClass=2,nIcon=4473,nFrame=6,szName="陈月·可接取隐藏任务",nTime=10,key="任务·提示2",},</t>
  </si>
  <si>
    <t>["SKILL#10464"]=true,</t>
  </si>
  <si>
    <t>雪山恩仇·霸刀</t>
  </si>
  <si>
    <t>{nClass=1,nIcon=13705,nFrame=7,szName="雪山恩仇·霸刀·柳静海",nTime=60,key="雪山恩仇·提示0",},</t>
  </si>
  <si>
    <t>{nClass=2,nIcon=13705,nFrame=7,szName="雪山恩仇·提示0",nTime=0,key="雪山恩仇·提示0",},</t>
  </si>
  <si>
    <t>穿风神矢</t>
  </si>
  <si>
    <t>{nClass=1,nIcon=8629,nFrame=5,szName="饱食·霸刀·柳静海",nTime=2,nRefresh=3600,key="冬至·饱食·霸刀",},</t>
  </si>
  <si>
    <t>会损失35%气血</t>
  </si>
  <si>
    <t>0,125,255,</t>
  </si>
  <si>
    <t>#007DFFFF</t>
  </si>
  <si>
    <t>#007DFF</t>
  </si>
  <si>
    <t>{nClass=2,nIcon=2036,nFrame=5,szName="瘴气·{$receiver}",nTime=0,key="瘴气",},</t>
  </si>
  <si>
    <t>{nClass=1,nIcon=2036,nFrame=5,szName="{$receiver}·驱散·瘴气",nTime=5,key="瘴气",},</t>
  </si>
  <si>
    <t>暴毙</t>
  </si>
  <si>
    <t>#DF3F3F</t>
  </si>
  <si>
    <t>{nClass=1,nIcon=4513,nFrame=5,szName="{$13377} ·DPS提前死亡",nTime=15,},</t>
  </si>
  <si>
    <t>{nClass=1,nIcon=293,nFrame=5,szName="旅行·云梦幽泽·祈梦台",nTime=20,key="雪雪·旅行",},</t>
  </si>
  <si>
    <t>{nClass=2,nIcon=293,nFrame=5,szName="可以去看看周围商铺",nTime=20,key="雪雪·旅行介绍1",},</t>
  </si>
  <si>
    <t>{nClass=2,nIcon=293,nFrame=5,szName="可以去祈梦台大树下许愿",nTime=20,key="雪雪·旅行介绍2",},</t>
  </si>
  <si>
    <t>{nClass=1,nIcon=293,nFrame=5,szName="旅行·稻香村·镜湖亭·敬师堂传送",nTime=20,key="雪雪·旅行",},</t>
  </si>
  <si>
    <t>{nClass=1,nIcon=293,nFrame=5,szName="旅行·九寨沟·出口·庄千山传送",nTime=20,key="雪雪·旅行",},</t>
  </si>
  <si>
    <t>烹饪·馄饨</t>
  </si>
  <si>
    <t>{nClass=1,nIcon=545,nFrame=6,szName="烹饪·馄饨·恢复精力5点",nTime=5,key="雪雪·学习烹饪",},</t>
  </si>
  <si>
    <t>{nClass=2,nIcon=545,nFrame=6,szName="雪雪·学习烹饪",nTime=0,key="雪雪·学习烹饪",},</t>
  </si>
  <si>
    <t>烹饪·肉馅团子</t>
  </si>
  <si>
    <t>{nClass=1,nIcon=7635,nFrame=6,szName="烹饪·肉馅团子·肉馅团子",nTime=5,key="雪雪·学习烹饪",},</t>
  </si>
  <si>
    <t>{nClass=2,nIcon=7635,nFrame=6,szName="雪雪·学习烹饪",nTime=0,key="雪雪·学习烹饪",},</t>
  </si>
  <si>
    <t>烹饪·冬瓜烧肉</t>
  </si>
  <si>
    <t>{nClass=1,nIcon=7622,nFrame=6,szName="烹饪·冬瓜烧肉·根骨",nTime=5,key="雪雪·学习烹饪",},</t>
  </si>
  <si>
    <t>{nClass=2,nIcon=7622,nFrame=6,szName="雪雪·学习烹饪",nTime=0,key="雪雪·学习烹饪",},</t>
  </si>
  <si>
    <t>烹饪·黄瓜烧肉</t>
  </si>
  <si>
    <t>{nClass=1,nIcon=7533,nFrame=6,szName="烹饪·黄瓜烧肉·力道",nTime=5,key="雪雪·学习烹饪",},</t>
  </si>
  <si>
    <t>{nClass=2,nIcon=7533,nFrame=6,szName="雪雪·学习烹饪",nTime=0,key="雪雪·学习烹饪",},</t>
  </si>
  <si>
    <t>烹饪·肉粥</t>
  </si>
  <si>
    <t>{nClass=1,nIcon=7659,nFrame=6,szName="烹饪·肉粥·元气",nTime=5,key="雪雪·学习烹饪",},</t>
  </si>
  <si>
    <t>{nClass=2,nIcon=7659,nFrame=6,szName="雪雪·学习烹饪",nTime=0,key="雪雪·学习烹饪",},</t>
  </si>
  <si>
    <t>烹饪·蘑菇炖肉</t>
  </si>
  <si>
    <t>{nClass=1,nIcon=7613,nFrame=6,szName="烹饪·蘑菇炖肉·身法",nTime=5,key="雪雪·学习烹饪",},</t>
  </si>
  <si>
    <t>{nClass=2,nIcon=7613,nFrame=6,szName="雪雪·学习烹饪",nTime=0,key="雪雪·学习烹饪",},</t>
  </si>
  <si>
    <t>烹饪·稻香饼</t>
  </si>
  <si>
    <t>{nClass=1,nIcon=100,nFrame=6,szName="烹饪·稻香饼·恢复气血2点",nTime=5,key="雪雪·学习烹饪",},</t>
  </si>
  <si>
    <t>{nClass=2,nIcon=100,nFrame=6,szName="雪雪·学习烹饪",nTime=0,key="雪雪·学习烹饪",},</t>
  </si>
  <si>
    <t>烹饪·鲜肉包子</t>
  </si>
  <si>
    <t>{nClass=1,nIcon=259,nFrame=6,szName="烹饪·鲜肉包子·恢复内力2点",nTime=5,key="雪雪·学习烹饪",},</t>
  </si>
  <si>
    <t>{nClass=2,nIcon=259,nFrame=6,szName="雪雪·学习烹饪",nTime=0,key="雪雪·学习烹饪",},</t>
  </si>
  <si>
    <t>交互</t>
  </si>
  <si>
    <t>{nClass=1,nIcon=2546,nFrame=4,szName="雪雪乘船CD",nTime=2,nRefresh=300,key="雪雪乘船CD",},</t>
  </si>
  <si>
    <t>雪国冬猎·叉鱼·沉鱼</t>
  </si>
  <si>
    <t>{nClass=2,nIcon=7645,nFrame=5,szName="雪国冬猎·叉鱼",nTime=0,key="雪国冬猎·叉鱼",},</t>
  </si>
  <si>
    <t>{nClass=1,nIcon=7645,nFrame=5,szName="雪国冬猎·叉鱼",nTime=10,key="雪国冬猎·叉鱼",},</t>
  </si>
  <si>
    <t>雪国冬猎</t>
  </si>
  <si>
    <t>{nClass=1,nIcon=293,nFrame=5,szName="旅行·九寨沟·出口·庄千山",nTime=20,key="雪雪·旅行",},</t>
  </si>
  <si>
    <t>{nClass=2,nIcon=293,nFrame=5,szName="可以直走·看小桥",nTime=20,key="雪雪·旅行介绍1",},</t>
  </si>
  <si>
    <t>{nClass=2,nIcon=293,nFrame=5,szName="可以去上方·看小亭子",nTime=20,key="雪雪·旅行介绍2",},</t>
  </si>
  <si>
    <t>{nClass=1,nIcon=11208,nFrame=7,szName="奇遇·秘宝图·封印·24小时",nTime=10,nRefresh=7200,key="奇遇·封印",},</t>
  </si>
  <si>
    <t>["SKILL#10533"]=true,</t>
  </si>
  <si>
    <t>雪山恩仇·蓬莱</t>
  </si>
  <si>
    <t>{nClass=1,nIcon=13706,nFrame=7,szName="雪山恩仇·蓬莱·方乾",nTime=60,key="雪山恩仇·提示0",},</t>
  </si>
  <si>
    <t>{nClass=2,nIcon=13706,nFrame=7,szName="雪山恩仇·提示0",nTime=0,key="雪山恩仇·提示0",},</t>
  </si>
  <si>
    <t>{nClass=1,nIcon=10762,nFrame=5,szName="饱食·蓬莱·方乾",nTime=2,nRefresh=3600,key="冬至·饱食·蓬莱",},</t>
  </si>
  <si>
    <t>["SKILL#10585"]=true,</t>
  </si>
  <si>
    <t>雪山恩仇·凌雪</t>
  </si>
  <si>
    <t>{nClass=1,nIcon=13707,nFrame=7,szName="雪山恩仇·凌雪·林白轩",nTime=60,key="雪山恩仇·提示0",},</t>
  </si>
  <si>
    <t>{nClass=2,nIcon=13707,nFrame=7,szName="雪山恩仇·提示0",nTime=0,key="雪山恩仇·提示0",},</t>
  </si>
  <si>
    <t>{nClass=1,nIcon=12110,nFrame=5,szName="饱食·凌雪·李俶",nTime=2,nRefresh=3600,key="冬至·饱食·凌雪",},</t>
  </si>
  <si>
    <t>明教门客cw</t>
  </si>
  <si>
    <t>天策门客cw</t>
  </si>
  <si>
    <t>纯阳门客cw</t>
  </si>
  <si>
    <t>五毒门客cw</t>
  </si>
  <si>
    <t>万花门客cw</t>
  </si>
  <si>
    <t>唐门门客cw</t>
  </si>
  <si>
    <t>七秀门客cw</t>
  </si>
  <si>
    <t>药宗门客cw</t>
  </si>
  <si>
    <t>少林门客cw</t>
  </si>
  <si>
    <t>凌雪门客cw</t>
  </si>
  <si>
    <t>刀宗门客cw</t>
  </si>
  <si>
    <t>长歌门客cw</t>
  </si>
  <si>
    <t>万灵门客cw</t>
  </si>
  <si>
    <t>苍云门客cw</t>
  </si>
  <si>
    <t>{nClass=1,nIcon=15096,nFrame=7,szName="奇遇·丹青记·封印·明日7时",nTime=10,nRefresh=7200,key="奇遇·封印",},</t>
  </si>
  <si>
    <t>["SKILL#10615"]=true,</t>
  </si>
  <si>
    <t>雪山恩仇·衍天</t>
  </si>
  <si>
    <t>{nClass=1,nIcon=15506,nFrame=7,szName="雪山恩仇·衍天·萧卿云",nTime=60,key="雪山恩仇·提示0",},</t>
  </si>
  <si>
    <t>{nClass=2,nIcon=15506,nFrame=7,szName="雪山恩仇·提示0",nTime=0,key="雪山恩仇·提示0",},</t>
  </si>
  <si>
    <t>{nClass=1,nIcon=14044,nFrame=5,szName="饱食·衍天·萧卿云",nTime=2,nRefresh=3600,key="冬至·饱食·衍天",},</t>
  </si>
  <si>
    <t>{nClass=1,nIcon=13694,nFrame=7,szName="请前往·万花门派·孙思邈",nTime=20,key="雪山恩仇·提示0",},</t>
  </si>
  <si>
    <t>{nClass=1,nIcon=13697,nFrame=7,szName="请前往·七秀门派·萧白胭",nTime=20,key="雪山恩仇·提示0",},</t>
  </si>
  <si>
    <t>{nClass=1,nIcon=13693,nFrame=7,szName="请前往·少林门派·玄正",nTime=20,key="雪山恩仇·提示0",},</t>
  </si>
  <si>
    <t>{nClass=1,nIcon=13698,nFrame=7,szName="请前往·藏剑山庄门派·叶晖",nTime=20,key="雪山恩仇·提示0",},</t>
  </si>
  <si>
    <t>["SKILL#10626"]=true,["SKILL#10627"]=true,</t>
  </si>
  <si>
    <t>雪山恩仇·药宗</t>
  </si>
  <si>
    <t>{nClass=1,nIcon=15594,nFrame=7,szName="雪山恩仇·药宗·陈月",nTime=60,key="雪山恩仇·提示0",},</t>
  </si>
  <si>
    <t>{nClass=2,nIcon=15594,nFrame=7,szName="雪山恩仇·提示0",nTime=0,key="雪山恩仇·提示0",},</t>
  </si>
  <si>
    <t>{nClass=1,nIcon=15718,nFrame=5,szName="饱食·药宗·陈月",nTime=2,nRefresh=3600,key="冬至·饱食·药宗",},</t>
  </si>
  <si>
    <t>寒 天原绝境寒冷降加速</t>
  </si>
  <si>
    <t>["SKILL#10698"]=true,</t>
  </si>
  <si>
    <t>雪山恩仇·刀宗</t>
  </si>
  <si>
    <t>{nClass=1,nIcon=17632,nFrame=7,szName="雪山恩仇·刀宗·谢云流",nTime=60,key="雪山恩仇·提示0",},</t>
  </si>
  <si>
    <t>{nClass=2,nIcon=17632,nFrame=7,szName="雪山恩仇·提示0",nTime=0,key="雪山恩仇·提示0",},</t>
  </si>
  <si>
    <t>{nClass=1,nIcon=17577,nFrame=5,szName="饱食·刀宗·谢云流",nTime=2,nRefresh=3600,key="冬至·饱食·刀宗",},</t>
  </si>
  <si>
    <t>{nClass=1,nIcon=976,nFrame=5,szName="任务·明日再来·封印·次日7时",nTime=10,nRefresh=7200,key="任务·封印",},</t>
  </si>
  <si>
    <t>{nClass=1,nIcon=3402,nFrame=5,szName="按111",nTime=1.5,key="QTE·按1",},</t>
  </si>
  <si>
    <t>{nClass=2,nIcon=3402,nFrame=5,szName="QTE·按1",nTime=0,key="QTE·按1",},</t>
  </si>
  <si>
    <t>{nClass=1,nIcon=3404,nFrame=5,szName="按222",nTime=1.5,key="QTE·按2",},</t>
  </si>
  <si>
    <t>{nClass=2,nIcon=3404,nFrame=5,szName="QTE·按2",nTime=0,key="QTE·按2",},</t>
  </si>
  <si>
    <t>乱红鸾</t>
  </si>
  <si>
    <t>{nClass=1,nIcon=18990,nFrame=6,szName="前·左·右（循环）",nTime=60,key="任务·提示1",},</t>
  </si>
  <si>
    <t>{nClass=2,nIcon=18990,nFrame=5,szName="任务·提示1",nTime=0,key="任务·提示1",},</t>
  </si>
  <si>
    <t>月嘉禾</t>
  </si>
  <si>
    <t>{nClass=1,nIcon=13547,nFrame=0,szName="拍卖分红·已获得",nTime=20,nRefresh=7200,key="拍卖分红",},</t>
  </si>
  <si>
    <t>雪山恩仇·万灵</t>
  </si>
  <si>
    <t>{nClass=1,nIcon=19664,nFrame=7,szName="雪山恩仇·万灵·颂少风",nTime=60,key="雪山恩仇·提示0",},</t>
  </si>
  <si>
    <t>{nClass=2,nIcon=19664,nFrame=7,szName="雪山恩仇·提示0",nTime=0,key="雪山恩仇·提示0",},</t>
  </si>
  <si>
    <t>{nClass=1,nIcon=20308,nFrame=5,szName="饱食·万灵·颂少风",nTime=2,nRefresh=3600,key="冬至·饱食·万灵",},</t>
  </si>
  <si>
    <t>{nClass=1,nIcon=4234,nFrame=5,szName="按222",nTime=2,key="李飞野·瞄准",},</t>
  </si>
  <si>
    <t>{nClass=1,nIcon=4236,nFrame=5,szName="按111",nTime=2,key="李飞野·瞄准",},</t>
  </si>
  <si>
    <t>破巧言</t>
  </si>
  <si>
    <t>战 死战免死</t>
  </si>
  <si>
    <t>#FF9800FF</t>
  </si>
  <si>
    <t>{nClass=1,nIcon=18566,nFrame=5,szName="不死·激活",nTime=5,key="死战",},</t>
  </si>
  <si>
    <t>{nClass=2,nIcon=18566,nFrame=5,szName="不死·未激活",nTime=2,key="死战",},</t>
  </si>
  <si>
    <t>{nClass=1,nIcon=18566,nFrame=5,szName="不死·暂未激活",nTime=20,key="死战",},</t>
  </si>
  <si>
    <t>怠 免死CD</t>
  </si>
  <si>
    <t>{nClass=1,nIcon=18448,nFrame=5,szName="已触发免死",nTime=60,key="死战",},</t>
  </si>
  <si>
    <t>{nClass=2,nIcon=18448,nFrame=5,szName="死战",nTime=0,key="死战",},</t>
  </si>
  <si>
    <t>{nClass=1,nIcon=18427,nFrame=5,szName="福星·生效",nTime=2,key="福星",},</t>
  </si>
  <si>
    <t>{nClass=2,nIcon=18427,nFrame=5,szName="",nTime=0,key="福星",},</t>
  </si>
  <si>
    <t>{nClass=1,nIcon=18567,nFrame=5,szName="福星·暂不生效",nTime=20,key="福星",},</t>
  </si>
  <si>
    <t>{nClass=2,nIcon=18567,nFrame=5,szName="",nTime=0,key="福星",},</t>
  </si>
  <si>
    <t>{nClass=1,nIcon=18534,nFrame=5,szName="纠缠·随机瞬移",nTime=60,key="纠缠",},</t>
  </si>
  <si>
    <t>{nClass=2,nIcon=18534,nFrame=5,szName="",nTime=0,key="纠缠",},</t>
  </si>
  <si>
    <t>{nClass=1,nIcon=18534,nFrame=5,szName="纠缠·随机瞬移",nTime=50,key="纠缠",},</t>
  </si>
  <si>
    <t>{nClass=1,nIcon=18534,nFrame=5,szName="纠缠·随机瞬移",nTime=45,key="纠缠",},</t>
  </si>
  <si>
    <t>{nClass=1,nIcon=18534,nFrame=5,szName="纠缠·随机瞬移",nTime=40,key="纠缠",},</t>
  </si>
  <si>
    <t>{nClass=1,nIcon=18534,nFrame=5,szName="纠缠·随机瞬移",nTime=35,key="纠缠",},</t>
  </si>
  <si>
    <t>{nClass=1,nIcon=18449,nFrame=5,szName="紊乱·降低伤害",nTime=20,key="紊乱",},</t>
  </si>
  <si>
    <t>{nClass=2,nIcon=18449,nFrame=5,szName="",nTime=0,key="紊乱",},</t>
  </si>
  <si>
    <t>{nClass=1,nIcon=3432,nFrame=5,szName="谙达·生成召唤物",nTime=9.2,key="谙达",},</t>
  </si>
  <si>
    <t>{nClass=2,nIcon=3432,nFrame=5,szName="",nTime=0,key="谙达",},</t>
  </si>
  <si>
    <t>{nClass=2,nIcon=18566,nFrame=5,szName="死战",nTime=0,key="死战",},</t>
  </si>
  <si>
    <t>招式释放.标记</t>
  </si>
  <si>
    <t>招式释放.语音报警</t>
  </si>
  <si>
    <t>招式释放.团队报警</t>
  </si>
  <si>
    <t>招式释放.密聊报警</t>
  </si>
  <si>
    <t>招式释放.中央报警</t>
  </si>
  <si>
    <t>招式运功.标记</t>
  </si>
  <si>
    <t>招式运功.语音报警</t>
  </si>
  <si>
    <t>招式运功.团队报警</t>
  </si>
  <si>
    <t>招式运功.密聊报警</t>
  </si>
  <si>
    <t>招式运功.中央报警</t>
  </si>
  <si>
    <t>招式运功.头顶警报</t>
  </si>
  <si>
    <t>return{CASTING={</t>
  </si>
  <si>
    <t>白日梦·躺下</t>
  </si>
  <si>
    <t>{nClass=9,nIcon=6119,nFrame=5,szName="白日梦·计时剩余",nTime=180.2,key="白日梦",},</t>
  </si>
  <si>
    <t>雪凤冰王笛读条引导技</t>
  </si>
  <si>
    <t>{nClass=9,nIcon=12492,nFrame=5,szName="凛冬踏雪曲",nTime=-2,key="凛冬踏雪曲",},</t>
  </si>
  <si>
    <t>{nClass=8,nIcon=12492,nFrame=7,szName="凛冬踏雪曲",nTime=12,key="凛冬踏雪曲",},</t>
  </si>
  <si>
    <t>{nClass=8,nIcon=12492,nFrame=6,szName="飞雪·7尺内一朵冰花爆炸",nTime=12.1,key="凛冬踏雪曲·提示1",},</t>
  </si>
  <si>
    <t>{nClass=8,nIcon=12492,nFrame=6,szName="冰葬·冰花全部为相同目标",nTime=12.1,key="凛冬踏雪曲·提示2",},</t>
  </si>
  <si>
    <t>{nClass=8,nIcon=3481,nFrame=5,szName="{$S7612}【{$receiver}】",nTime=10,key="套马",},</t>
  </si>
  <si>
    <t>{nClass=9,nIcon=3481,nFrame=5,szName="套马",nTime=0,key="套马",},</t>
  </si>
  <si>
    <t>{nClass=9,nIcon=1514,nFrame=5,szName="KEY·秋肃",nTime=0,key="KEY·秋肃",},</t>
  </si>
  <si>
    <t>{nClass=9,nIcon=1514,nFrame=0,szName="",nTime="37,{$receiver}·易伤+6%;38,{$receiver}·补秋肃,VO:ShiYongTeShuJiNeng;39,{$receiver}·补秋肃;40,{$receiver}·补秋肃",nRefresh=15,key="KEY·秋肃",},</t>
  </si>
  <si>
    <t>{nClass=8,nIcon=904,nFrame=5,szName="KEY·左旋右转",nTime=0,key="KEY·左旋右转",},</t>
  </si>
  <si>
    <t>{nClass=8,nIcon=904,nFrame=0,szName="",nTime="40,【{$sender}】·破招+4500;41,【{$sender}】·补左旋右转,VO:ShiYongTeShuJiNeng;42,【{$sender}】·补左旋右转;43,【{$sender}】·补左旋右转;64,【{$sender}】·补左旋右转",nRefresh=40,key="KEY·左旋右转",},</t>
  </si>
  <si>
    <t>["SKILL#10176"]=true,</t>
  </si>
  <si>
    <t>{nClass=9,nIcon=2744,nFrame=5,szName="KEY·蛊惑众生",nTime=0,key="KEY·蛊惑众生",},</t>
  </si>
  <si>
    <t>{nClass=9,nIcon=2744,nFrame=0,szName="",nTime="27,【{$receiver}】·蛊惑众生;28,【{$receiver}】·补蛊惑,VO:ShiYongTeShuJiNeng;29,【{$receiver}】·补蛊惑;30,【{$receiver}】·补蛊惑",nRefresh=20,key="KEY·蛊惑众生",},</t>
  </si>
  <si>
    <t>{nClass=9,nIcon=15421,nFrame=5,szName="KEY·飘黄",nTime=0,nRefresh=1,key="KEY·飘黄",},</t>
  </si>
  <si>
    <t>{nClass=9,nIcon=12492,nFrame=5,szName="凛冬踏雪曲",nTime=-1,key="凛冬踏雪曲",},</t>
  </si>
  <si>
    <t>["SKILL#10028"]=true,["SKILL#10080"]=true,["SKILL#10176"]=true,["SKILL#10626"]=true,</t>
  </si>
  <si>
    <t>{nClass=9,nIcon=904,nFrame=5,szName="KEY·左旋右转",nTime=0,key="KEY·左旋右转",},</t>
  </si>
  <si>
    <t>{nClass=9,nIcon=904,nFrame=-1,szName="",nTime=0.01,nRefresh=60,key="KEY·左旋右转",},</t>
  </si>
  <si>
    <t>{nClass=9,nIcon=904,nFrame=5,szName="KEY·左旋右转",nTime=-1,nRefresh=60,key="KEY·左旋右转",},</t>
  </si>
  <si>
    <t>{nClass=9,nIcon=15692,nFrame=5,szName="KEY·飘黄",nTime=0,key="KEY·飘黄",},</t>
  </si>
  <si>
    <t>{nClass=9,nIcon=15692,nFrame=-1,szName="",nTime=0.01,nRefresh=80,key="KEY·飘黄",},</t>
  </si>
  <si>
    <t>{nClass=9,nIcon=15692,nFrame=5,szName="KEY·飘黄",nTime=-1,nRefresh=80,key="KEY·飘黄",},</t>
  </si>
  <si>
    <t>{nClass=9,nIcon=403,nFrame=5,szName="KEY·秋肃",nTime=0,key="KEY·秋肃",},</t>
  </si>
  <si>
    <t>{nClass=-1,nIcon=17135,nFrame=5,szName="龙宫赴宴·靠近费大劲12尺",nTime=3,nRefresh=7200,key="龙宫赴宴",},</t>
  </si>
  <si>
    <t>不知为何叹</t>
  </si>
  <si>
    <t>不知为何叹22078</t>
  </si>
  <si>
    <t>{nClass=9,nIcon=13823,nFrame=5,szName="不知为何叹",nTime=1,key="不知为何叹",},</t>
  </si>
  <si>
    <t>冰荷花普通攻击技能</t>
  </si>
  <si>
    <t>冰荷花爆炸技能</t>
  </si>
  <si>
    <t>{nClass=9,nIcon=7487,nFrame=5,szName="冰荷花·爆炸",nTime=2,key="孤望飞霜满",},</t>
  </si>
  <si>
    <t>判定后续技能触发及释</t>
  </si>
  <si>
    <t>商阳指触发</t>
  </si>
  <si>
    <t>{nClass=9,nIcon=1444,nFrame=5,szName="寒泉",nTime=0,key="寒泉",},</t>
  </si>
  <si>
    <t>{nClass=9,nIcon=7445,nFrame=5,szName="商阳指·飞指抖霜",nTime=2,key="飞指抖霜",},</t>
  </si>
  <si>
    <t>乱洒青荷触发</t>
  </si>
  <si>
    <t>{nClass=9,nIcon=7453,nFrame=5,szName="乱洒清荷·雪凤舞连天",nTime=-2,key="雪凤舞连天",},</t>
  </si>
  <si>
    <t>{nClass=9,nIcon=7453,nFrame=5,szName="乱洒清荷·雪凤舞连天",nTime=2,key="雪凤舞连天",},</t>
  </si>
  <si>
    <t>真药苦中叹22077</t>
  </si>
  <si>
    <t>{nClass=9,nIcon=11826,nFrame=5,szName="握针·真药苦中叹",nTime=2,key="真药苦中叹",},</t>
  </si>
  <si>
    <t>冷月照独帆22048</t>
  </si>
  <si>
    <t>{nClass=9,nIcon=1520,nFrame=5,szName="星楼月影·冷月照独帆",nTime=2,key="冷月照独帆",},</t>
  </si>
  <si>
    <t>无花只有寒</t>
  </si>
  <si>
    <t>无花只有寒22076</t>
  </si>
  <si>
    <t>{nClass=9,nIcon=617,nFrame=5,szName="春泥护花·无花只有寒",nTime=2,key="无花只有寒",},</t>
  </si>
  <si>
    <t>碧水聚河川</t>
  </si>
  <si>
    <t>碧水聚河川22074</t>
  </si>
  <si>
    <t>{nClass=9,nIcon=3553,nFrame=5,szName="碧水滔天·碧水聚河川",nTime=2,key="碧水聚河川",},</t>
  </si>
  <si>
    <t>历音吹雪23403</t>
  </si>
  <si>
    <t>{nClass=9,nIcon=7367,nFrame=5,szName="听风吹雪·历音吹雪",nTime=2,key="历音吹雪",},</t>
  </si>
  <si>
    <t>{nClass=8,nIcon=332,nFrame=5,szName="{$S608}·清除dbm",nTime=15,nRefresh=1,key="自绝经脉·清除dbm",},</t>
  </si>
  <si>
    <t>{nClass=9,nIcon=332,nFrame=5,szName="【{$sender}】释放 {$S608}",nTime=1,nRefresh=2,key="自绝经脉·是谁",},</t>
  </si>
  <si>
    <t>{nClass=8,nIcon=332,nFrame=5,szName="套马杆",nTime=0,key="套马杆",},</t>
  </si>
  <si>
    <t>{nClass=8,nIcon=332,nFrame=5,szName="的卢",nTime=0,key="的卢",},</t>
  </si>
  <si>
    <t>{nClass=8,nIcon=332,nFrame=5,szName="攻防活动",nTime=0,key="攻防活动",},</t>
  </si>
  <si>
    <t>{nClass=9,nIcon=12249,nFrame=5,szName="后撤·公CD",nTime=2.5,key="后撤",},</t>
  </si>
  <si>
    <t>{nClass=8,nIcon=3004,nFrame=5,szName="【{$sender}】·利针·【{$receiver}】",nTime=1.2,nRefresh=1,key="玩家驱友技能",},</t>
  </si>
  <si>
    <t>{nClass=9,nIcon=3004,nFrame=5,szName="玩家驱友技能",nTime=-1,key="玩家驱友技能",},</t>
  </si>
  <si>
    <t>{nClass=9,nIcon=15422,nFrame=0,szName="【{$sender}】{$S27675}{$receiveer}",nTime=4,key="枯木苏息",},</t>
  </si>
  <si>
    <t>{nClass=9,nIcon=1514,nFrame=0,szName="",nTime="37,{$receiver}·易伤+6%;38,{$receiver}·补秋肃;39,{$receiver}·补秋肃;40,{$receiver}·补秋肃",nRefresh=15,key="KEY·秋肃",},</t>
  </si>
  <si>
    <t>{nClass=9,nIcon=2744,nFrame=0,szName="",nTime="27,【{$receiver}】·蛊惑众生;28,【{$receiver}】·补蛊惑;29,【{$receiver}】·补蛊惑;30,【{$receiver}】·补蛊惑",nRefresh=20,key="KEY·蛊惑众生",},</t>
  </si>
  <si>
    <t>{nClass=8,nIcon=904,nFrame=0,szName="",nTime="40,【{$sender}】·破招+4500;41,【{$sender}】·补左旋右转;42,【{$sender}】·补左旋右转;43,【{$sender}】·补左旋右转",nRefresh=40,key="KEY·左旋右转",},</t>
  </si>
  <si>
    <t>{nClass=8,nIcon=2111,nFrame=5,szName="传功【{$sender}】→【{$receiver}】",nTime=121,key="传功·{$sender}",},</t>
  </si>
  <si>
    <t>{nClass=9,nIcon=2111,nFrame=5,szName="完成传功【{$sender}】→【{$receiver}】",nTime=2,key="传功完成·{$sender}",},</t>
  </si>
  <si>
    <t>{nClass=9,nIcon=2747,nFrame=0,szName="【{$sender}】·仙王蛊鼎",nTime=25,nRefresh=1,key="仙王蛊鼎",},</t>
  </si>
  <si>
    <t>{nClass=8,nIcon=2747,nFrame=5,szName="仙王蛊鼎·{$sender}",nTime=0,key="仙王蛊鼎",},</t>
  </si>
  <si>
    <t>{nClass=8,nIcon=13,nFrame=6,szName="【{$sender}】正在切心法",nTime=15,key="切心法",},</t>
  </si>
  <si>
    <t>{nClass=8,nIcon=13,nFrame=6,szName="【{$sender}】正在切奇穴",nTime=3,key="切心法",},</t>
  </si>
  <si>
    <t>{$S2808}·打断</t>
  </si>
  <si>
    <t>31,255,31,</t>
  </si>
  <si>
    <t>false,false,false,false,false,true,false,false,false,false,</t>
  </si>
  <si>
    <t>{nClass=8,nIcon=13,nFrame=2,szName="再生·打断·剪刀",nTime=38,key="再生",},</t>
  </si>
  <si>
    <t>false,false,false,false,false,false,true,false,false,false,</t>
  </si>
  <si>
    <t>{nClass=9,nIcon=13,nFrame=5,szName="棒槌·下一条蛇·甩头",nTime=6.9,},</t>
  </si>
  <si>
    <t>{$S2807}·打断</t>
  </si>
  <si>
    <t>false,false,false,false,false,false,false,true,false,false,</t>
  </si>
  <si>
    <t>{nClass=8,nIcon=13,nFrame=7,szName="疯狂之怒·打断·如意",nTime=30,},</t>
  </si>
  <si>
    <t>{nClass=9,nIcon=1513,nFrame=5,szName="倒计时 ",nTime="1,【{$sender}】{$S183}·{$receiver};3,【{$sender}】{$S183}·{$receiver}",},</t>
  </si>
  <si>
    <t>{nClass=9,nIcon=8089,nFrame=5,szName="钓鱼",nTime=0,key="钓鱼",},</t>
  </si>
  <si>
    <t>{nClass=9,nIcon=13,nFrame=5,szName="一技能·恨贯肌骨·击倒",nTime=3,key="恨贯肌骨",},</t>
  </si>
  <si>
    <t>{nClass=8,nIcon=13,nFrame=5,szName="二技能·疾风怒羽·旋风",nTime=10,key="疾风怒羽",},</t>
  </si>
  <si>
    <t>{nClass=9,nIcon=13,nFrame=5,szName="二技能·疾风怒羽·旋风",nTime=1,key="疾风怒羽",},</t>
  </si>
  <si>
    <t>{nClass=8,nIcon=13,nFrame=5,szName="四技能·雪舞惧散·不受控",nTime=10,key="雪舞惧散",},</t>
  </si>
  <si>
    <t>{nClass=9,nIcon=13,nFrame=5,szName="四技能·雪舞惧散·不受控",nTime=1,key="雪舞惧散",},</t>
  </si>
  <si>
    <t>{nClass=9,nIcon=13,nFrame=5,szName="格挡反击·成功",nTime=0.2,nRefresh=4,key="摔跤·无敌",},</t>
  </si>
  <si>
    <t>{nClass=9,nIcon=2037,nFrame=5,szName="格挡·CD",nTime=5,nRefresh=1,key="摔跤·格挡",},</t>
  </si>
  <si>
    <t>{nClass=8,nIcon=13,nFrame=2,szName="震击·快打断",nTime=1.5,key="原野奇踪·打断",},</t>
  </si>
  <si>
    <t>{nClass=9,nIcon=13,nFrame=5,szName="原野奇踪·打断",nTime=0,key="原野奇踪·打断",},</t>
  </si>
  <si>
    <t>数量</t>
  </si>
  <si>
    <t>全部消失</t>
  </si>
  <si>
    <t>NPC进入.标记</t>
  </si>
  <si>
    <t>NPC进入.语音报警</t>
  </si>
  <si>
    <t>NPC进入.团队报警</t>
  </si>
  <si>
    <t>NPC进入.密聊报警</t>
  </si>
  <si>
    <t>NPC进入.中央报警</t>
  </si>
  <si>
    <t>NPC进入.头顶报警</t>
  </si>
  <si>
    <t>NPC离开.语音报警</t>
  </si>
  <si>
    <t>NPC离开.团队报警</t>
  </si>
  <si>
    <t>NPC离开.密聊报警</t>
  </si>
  <si>
    <t>NPC离开.中央报警</t>
  </si>
  <si>
    <t>焦点列表</t>
  </si>
  <si>
    <t>return{NPC={</t>
  </si>
  <si>
    <t>恶人谷伍长</t>
  </si>
  <si>
    <t>{dwMapID=-1,nMaxDistance=10,tRelation={bAll=false,bEnemy=false,bAlly=true,},tLife={bEnable=false,szOperator="&gt;",nValue=0,},},</t>
  </si>
  <si>
    <t>浩气盟伍长</t>
  </si>
  <si>
    <t>100,255,255,</t>
  </si>
  <si>
    <t>物资车</t>
  </si>
  <si>
    <t>{dwMapID=-1,nMaxDistance=0,tRelation={bAll=false,bEnemy=true,bAlly=false,},tLife={bEnable=false,szOperator="&gt;",nValue=0,},},{dwMapID=-1,nMaxDistance=30,tRelation={bAll=false,bEnemy=false,bAlly=true,},tLife={bEnable=true,szOperator="&lt;",nValue=100,},},{dwMapID=-1,nMaxDistance=10,tRelation={bAll=true,bEnemy=true,bAlly=true,},tLife={bEnable=true,szOperator="&gt;=",nValue=100,},},</t>
  </si>
  <si>
    <t>竞技地图的数据</t>
  </si>
  <si>
    <t>孔雀·模型</t>
  </si>
  <si>
    <t>{dwMapID=-1,nMaxDistance=30,tRelation={bAll=true,bEnemy=true,bAlly=true,},tLife={bEnable=true,szOperator="&lt;",nValue=100,},},</t>
  </si>
  <si>
    <t>{dwMapID=-1,nMaxDistance=199,tRelation={bAll=true,bEnemy=false,bAlly=false,},tLife={bEnable=false,szOperator="&gt;",nValue=0,},},</t>
  </si>
  <si>
    <t>{dwMapID=-1,nMaxDistance=6,tRelation={bAll=true,bEnemy=false,bAlly=false,},tLife={bEnable=false,szOperator="&gt;",nValue=0,},},</t>
  </si>
  <si>
    <t>{dwMapID=-1,nMaxDistance=30,tRelation={bAll=true,bEnemy=false,bAlly=false,},tLife={bEnable=false,szOperator="&gt;",nValue=0,},},</t>
  </si>
  <si>
    <t>{dwMapID=-1,nMaxDistance=0,tRelation={bAll=true,bEnemy=false,bAlly=false,},tLife={bEnable=false,szOperator="&gt;",nValue=0,},},</t>
  </si>
  <si>
    <t>{dwMapID=-1,nMaxDistance=8,tRelation={bAll=true,bEnemy=false,bAlly=false,},tLife={bEnable=false,szOperator="&gt;",nValue=0,},},</t>
  </si>
  <si>
    <t>{dwMapID=-1,nMaxDistance=25,tRelation={bAll=true,bEnemy=false,bAlly=false,},tLife={bEnable=false,szOperator="&gt;",nValue=0,},},</t>
  </si>
  <si>
    <t>白日梦·裴草</t>
  </si>
  <si>
    <t>{dwMapID=-1,nMaxDistance=10,tRelation={bAll=true,bEnemy=false,bAlly=false,},tLife={bEnable=false,szOperator="&gt;",nValue=0,},},</t>
  </si>
  <si>
    <t>{nClass=3,nIcon=17135,nFrame=6,szName="交互·裴草",nTime=-1,key="奇遇提示1",},</t>
  </si>
  <si>
    <t>名剑大会的数据</t>
  </si>
  <si>
    <t>阿甘贰型</t>
  </si>
  <si>
    <t>{dwMapID=-1,szDisplay="阿甘贰型",nMaxDistance=30,tRelation={bAll=true,bEnemy=false,bAlly=false,},tLife={bEnable=false,szOperator="&gt;",nValue=0,},},</t>
  </si>
  <si>
    <t>{dwMapID=-1,szDisplay="天绝地灭",nMaxDistance=10,tRelation={bAll=true,bEnemy=false,bAlly=false,},tLife={bEnable=false,szOperator="&gt;",nValue=0,},},</t>
  </si>
  <si>
    <t>长歌·本体</t>
  </si>
  <si>
    <t>{dwMapID=-1,szDisplay="长歌·本体",nMaxDistance=60,tRelation={bAll=false,bEnemy=true,bAlly=false,},tLife={bEnable=false,szOperator="&gt;",nValue=0,},},{dwMapID=-1,szDisplay="长歌·本体",nMaxDistance=30,tRelation={bAll=false,bEnemy=false,bAlly=true,},tLife={bEnable=false,szOperator="&gt;",nValue=0,},},</t>
  </si>
  <si>
    <t>万灵·本体</t>
  </si>
  <si>
    <t>{dwMapID=-1,szDisplay="万灵·本体",nMaxDistance=30,tRelation={bAll=true,bEnemy=false,bAlly=false,},tLife={bEnable=false,szOperator="&gt;",nValue=0,},},</t>
  </si>
  <si>
    <t>{dwMapID=-1,nMaxDistance=30,tRelation={bAll=false,bEnemy=true,bAlly=false,},tLife={bEnable=true,szOperator="&gt;",nValue=0,},},{dwMapID=-1,nMaxDistance=10,tRelation={bAll=false,bEnemy=false,bAlly=true,},tLife={bEnable=true,szOperator="&gt;",nValue=0,},},</t>
  </si>
  <si>
    <t>{dwMapID=-1,nMaxDistance=20,tRelation={bAll=false,bEnemy=true,bAlly=false,},tLife={bEnable=true,szOperator="&gt;",nValue=0,},},</t>
  </si>
  <si>
    <t>{$S28740}</t>
  </si>
  <si>
    <t>[旋生飞草]</t>
  </si>
  <si>
    <t>{dwMapID=-1,szDisplay="药宗·蒲公英",nMaxDistance=15.1,tRelation={bAll=false,bEnemy=true,bAlly=false,},tLife={bEnable=false,szOperator="&gt;",nValue=0,},},</t>
  </si>
  <si>
    <t>蝶池</t>
  </si>
  <si>
    <t>{dwMapID=-1,szDisplay="蝶池",nMaxDistance=30,tRelation={bAll=false,bEnemy=true,bAlly=false,},tLife={bEnable=false,szOperator="&gt;",nValue=0,},},{dwMapID=-1,szDisplay="蝶池",nMaxDistance=10,tRelation={bAll=false,bEnemy=false,bAlly=true,},tLife={bEnable=false,szOperator="&gt;",nValue=0,},},</t>
  </si>
  <si>
    <t>{dwMapID=-1,nMaxDistance=0,tRelation={bAll=false,bEnemy=true,bAlly=false,},tLife={bEnable=false,szOperator="&gt;",nValue=0,},},</t>
  </si>
  <si>
    <t>{dwMapID=-1,nMaxDistance=10,tRelation={bAll=false,bEnemy=true,bAlly=false,},tLife={bEnable=true,szOperator="&gt;",nValue=0,},},</t>
  </si>
  <si>
    <t>冰荷花</t>
  </si>
  <si>
    <t>{dwMapID=-1,szDisplay="冰荷花",nMaxDistance=30,tRelation={bAll=true,bEnemy=false,bAlly=false,},tLife={bEnable=false,szOperator="&gt;",nValue=0,},},</t>
  </si>
  <si>
    <t>{dwMapID=-1,nMaxDistance=60,tRelation={bAll=false,bEnemy=true,bAlly=false,},tLife={bEnable=false,szOperator="&gt;",nValue=0,},},{dwMapID=-1,nMaxDistance=30,tRelation={bAll=false,bEnemy=false,bAlly=true,},tLife={bEnable=true,szOperator="&lt;",nValue=100,},},</t>
  </si>
  <si>
    <t>陷阱·硝烟弥漫</t>
  </si>
  <si>
    <t>{dwMapID=-1,szDisplay="硝烟弥漫·绿林陷阱",nMaxDistance=0,tRelation={bAll=true,bEnemy=false,bAlly=false,},tLife={bEnable=false,szOperator="&gt;",nValue=0,},},</t>
  </si>
  <si>
    <t>陷阱·步履蹒跚</t>
  </si>
  <si>
    <t>{dwMapID=-1,szDisplay="步履蹒跚·绿林陷阱",nMaxDistance=0,tRelation={bAll=true,bEnemy=false,bAlly=false,},tLife={bEnable=false,szOperator="&gt;",nValue=0,},},</t>
  </si>
  <si>
    <t>飞鸿无迹·未完成</t>
  </si>
  <si>
    <t>陷阱·飞鸿无迹·未完</t>
  </si>
  <si>
    <t>{dwMapID=-1,szDisplay="飞鸿无迹·半成品",nMaxDistance=0,tRelation={bAll=true,bEnemy=false,bAlly=false,},tLife={bEnable=false,szOperator="&gt;",nValue=0,},},</t>
  </si>
  <si>
    <t>陷阱·飞鸿无迹</t>
  </si>
  <si>
    <t>陷阱·飞鸿无迹·已完</t>
  </si>
  <si>
    <t>{dwMapID=-1,szDisplay="飞鸿无迹·绿林陷阱",nMaxDistance=0,tRelation={bAll=true,bEnemy=false,bAlly=false,},tLife={bEnable=false,szOperator="&gt;",nValue=0,},},</t>
  </si>
  <si>
    <t>陷阱·动弹不得</t>
  </si>
  <si>
    <t>{dwMapID=-1,szDisplay="动弹不得·绿林陷阱",nMaxDistance=0,tRelation={bAll=true,bEnemy=false,bAlly=false,},tLife={bEnable=false,szOperator="&gt;",nValue=0,},},</t>
  </si>
  <si>
    <t>无影无踪·未完成</t>
  </si>
  <si>
    <t>{dwMapID=-1,szDisplay="无影无踪·半成品",nMaxDistance=0,tRelation={bAll=true,bEnemy=false,bAlly=false,},tLife={bEnable=false,szOperator="&gt;",nValue=0,},},</t>
  </si>
  <si>
    <t>陷阱·无影无踪</t>
  </si>
  <si>
    <t>陷阱·无影无踪·已完</t>
  </si>
  <si>
    <t>{dwMapID=-1,szDisplay="无影无踪·绿林陷阱",nMaxDistance=0,tRelation={bAll=true,bEnemy=false,bAlly=false,},tLife={bEnable=false,szOperator="&gt;",nValue=0,},},</t>
  </si>
  <si>
    <t>旅行的商人</t>
  </si>
  <si>
    <t>{dwMapID=-1,szDisplay="冷逍遥·旅行商人",nMaxDistance=0,tRelation={bAll=true,bEnemy=false,bAlly=false,},tLife={bEnable=false,szOperator="&gt;",nValue=0,},},</t>
  </si>
  <si>
    <t>true,false,false,false,false,false,false,false,false,false,</t>
  </si>
  <si>
    <t>{dwMapID=-1,nMaxDistance=120,tRelation={bAll=false,bEnemy=false,bAlly=true,},tLife={bEnable=false,szOperator="&gt;",nValue=0,},},</t>
  </si>
  <si>
    <t>{dwMapID=-1,szDisplay="万灵·本体",nMaxDistance=20,tRelation={bAll=false,bEnemy=true,bAlly=false,},tLife={bEnable=false,szOperator="&gt;",nValue=0,},},</t>
  </si>
  <si>
    <t>{dwMapID=-1,nMaxDistance=6,tRelation={bAll=false,bEnemy=true,bAlly=false,},tLife={bEnable=false,szOperator="&gt;",nValue=0,},},</t>
  </si>
  <si>
    <t>{dwMapID=-1,szDisplay="长歌·本体",nMaxDistance=10,tRelation={bAll=false,bEnemy=true,bAlly=false,},tLife={bEnable=false,szOperator="&gt;",nValue=0,},},</t>
  </si>
  <si>
    <t>长歌·影子</t>
  </si>
  <si>
    <t>{dwMapID=-1,szDisplay="长歌·影子",nMaxDistance=20,tRelation={bAll=false,bEnemy=false,bAlly=false,},tLife={bEnable=false,szOperator="&gt;",nValue=0,},},</t>
  </si>
  <si>
    <t>汇灵合契·乘黄</t>
  </si>
  <si>
    <t>{dwMapID=-1,szDisplay="汇灵合契·乘黄",nMaxDistance=10,tRelation={bAll=false,bEnemy=true,bAlly=false,},tLife={bEnable=false,szOperator="&gt;",nValue=0,},},</t>
  </si>
  <si>
    <t>紫叶花</t>
  </si>
  <si>
    <t>药宗·紫叶沉疴</t>
  </si>
  <si>
    <t>{dwMapID=-1,szDisplay="紫叶花",nMaxDistance=0,tRelation={bAll=false,bEnemy=false,bAlly=false,},tLife={bEnable=false,szOperator="&gt;",nValue=0,},},</t>
  </si>
  <si>
    <t>带ID的孔雀</t>
  </si>
  <si>
    <t>{dwMapID=-1,nMaxDistance=20,tRelation={bAll=false,bEnemy=false,bAlly=false,},tLife={bEnable=true,szOperator="&lt;",nValue=100,},},</t>
  </si>
  <si>
    <t>{dwMapID=-1,nMaxDistance=24,tRelation={bAll=false,bEnemy=true,bAlly=false,},tLife={bEnable=false,szOperator="&gt;",nValue=0,},},</t>
  </si>
  <si>
    <t>假孔雀·模型</t>
  </si>
  <si>
    <t>["SKILL#10002"]=true,["SKILL#10028"]=true,["SKILL#10062"]=true,["SKILL#10080"]=true,["SKILL#10175"]=true,["SKILL#10176"]=true,["SKILL#10243"]=true,["SKILL#10389"]=true,["SKILL#10448"]=true,["SKILL#10626"]=true,</t>
  </si>
  <si>
    <t>{dwMapID=-1,nMaxDistance=24,tRelation={bAll=false,bEnemy=false,bAlly=true,},tLife={bEnable=true,szOperator="&lt;",nValue=60,},},</t>
  </si>
  <si>
    <t>{dwMapID=-1,szDisplay="阿飞·江湖绿林",nMaxDistance=120,tRelation={bAll=true,bEnemy=false,bAlly=false,},tLife={bEnable=false,szOperator="&gt;",nValue=0,},},</t>
  </si>
  <si>
    <t>{dwMapID=-1,szDisplay="阿甘贰型",nMaxDistance=20,tRelation={bAll=true,bEnemy=false,bAlly=false,},tLife={bEnable=false,szOperator="&gt;",nValue=0,},},</t>
  </si>
  <si>
    <t>通用箭塔·龙门荒漠</t>
  </si>
  <si>
    <t>{dwMapID=-1,nMaxDistance=0,tRelation={bAll=false,bEnemy=true,bAlly=false,},tLife={bEnable=true,szOperator="&gt;=",nValue=10,},},</t>
  </si>
  <si>
    <t>通用箭塔·昆仑</t>
  </si>
  <si>
    <t>通用箭塔·瞿塘峡</t>
  </si>
  <si>
    <t>通用箭塔·无量山</t>
  </si>
  <si>
    <t>通用箭塔·苍山洱海</t>
  </si>
  <si>
    <t>通用箭塔·枫华谷·战乱</t>
  </si>
  <si>
    <t>通用箭塔·马嵬驿</t>
  </si>
  <si>
    <t>{dwMapID=-1,nMaxDistance=120,tRelation={bAll=true,bEnemy=false,bAlly=false,},tLife={bEnable=false,szOperator="&gt;",nValue=0,},},</t>
  </si>
  <si>
    <t>元宵节</t>
  </si>
  <si>
    <t>{nClass=3,nIcon=13,nFrame=4,szName="打完别忘结算花灯流火",nTime=599,key="花灯流火",},</t>
  </si>
  <si>
    <t>{nClass=4,nIcon=13,nFrame=5,szName="花灯流火",nTime=-1,key="花灯流火",},</t>
  </si>
  <si>
    <t>{nClass=4,nIcon=17382,nFrame=5,szName="年小熊·召回",nTime=2,nRefresh=2,key="侠客召请",},</t>
  </si>
  <si>
    <t>{nClass=4,nIcon=17381,nFrame=5,szName="年小鹿·召回",nTime=2,nRefresh=2,key="侠客召请",},</t>
  </si>
  <si>
    <t>{nClass=4,nIcon=17383,nFrame=5,szName="茸茸·召回",nTime=2,nRefresh=2,key="侠客召请",},</t>
  </si>
  <si>
    <t>{nClass=4,nIcon=17385,nFrame=5,szName="阮闲舟·召回",nTime=2,nRefresh=2,key="侠客召请",},</t>
  </si>
  <si>
    <t>{nClass=4,nIcon=17384,nFrame=5,szName="阮归云·召回",nTime=2,nRefresh=2,key="侠客召请",},</t>
  </si>
  <si>
    <t>{nClass=4,nIcon=5958,nFrame=5,szName="沈剑心·召回",nTime=2,nRefresh=2,key="侠客召请",},</t>
  </si>
  <si>
    <t>{nClass=4,nIcon=17388,nFrame=5,szName="温辞秋·召回",nTime=2,nRefresh=2,key="侠客召请",},</t>
  </si>
  <si>
    <t>{nClass=4,nIcon=17389,nFrame=5,szName="温折枝·召回",nTime=2,nRefresh=2,key="侠客召请",},</t>
  </si>
  <si>
    <t>{nClass=4,nIcon=17390,nFrame=5,szName="沐晴柔·召回",nTime=2,nRefresh=2,key="侠客召请",},</t>
  </si>
  <si>
    <t>{nClass=4,nIcon=17386,nFrame=5,szName="唐小珂·召回",nTime=2,nRefresh=2,key="侠客召请",},</t>
  </si>
  <si>
    <t>{nClass=4,nIcon=17380,nFrame=5,szName="康宴别·召回",nTime=2,nRefresh=2,key="侠客召请",},</t>
  </si>
  <si>
    <t>{nClass=4,nIcon=5958,nFrame=5,szName="刀马·召回",nTime=2,nRefresh=2,key="侠客召请",},</t>
  </si>
  <si>
    <t>{nClass=4,nIcon=5958,nFrame=5,szName="燕子娘·召回",nTime=2,nRefresh=2,key="侠客召请",},</t>
  </si>
  <si>
    <t>{nClass=4,nIcon=5958,nFrame=5,szName="李星云·召回",nTime=2,nRefresh=2,key="侠客召请",},</t>
  </si>
  <si>
    <t>月嘉禾18981</t>
  </si>
  <si>
    <t>{nClass=4,nIcon=5958,nFrame=5,szName="月嘉禾·召回",nTime=2,nRefresh=2,key="侠客召请",},</t>
  </si>
  <si>
    <t>{nClass=4,nIcon=5958,nFrame=5,szName="贺闲·召回",nTime=2,nRefresh=2,key="侠客召请",},</t>
  </si>
  <si>
    <t>{nClass=4,nIcon=5958,nFrame=5,szName="费大劲·召回",nTime=2,nRefresh=2,key="侠客召请",},</t>
  </si>
  <si>
    <t>{nClass=4,nIcon=5958,nFrame=5,szName="白鹊·召回",nTime=2,nRefresh=2,key="侠客召请",},</t>
  </si>
  <si>
    <t>{dwMapID=-1,nMaxDistance=24,tRelation={bAll=false,bEnemy=false,bAlly=true,},tLife={bEnable=false,szOperator="&lt;",nValue=100,},},</t>
  </si>
  <si>
    <t>{nClass=6,nIcon=2758,nFrame=5,szName="倒计时 {$N9999}",nTime="0.5,玉蟾·50%;0.3,玉蟾·30%;0.1,玉蟾·10%",key="玉蟾",},</t>
  </si>
  <si>
    <t>{nClass=12,nIcon=2758,nFrame=5,szName="玉蟾·重伤",nTime=2,key="宠物存在",},</t>
  </si>
  <si>
    <t>{dwMapID=-1,nMaxDistance=20,tRelation={bAll=true,bEnemy=false,bAlly=false,},tLife={bEnable=true,szOperator="&lt;",nValue=100,},},</t>
  </si>
  <si>
    <t>{dwMapID=-1,nMaxDistance=20,tRelation={bAll=false,bEnemy=false,bAlly=true,},tLife={bEnable=true,szOperator="&lt;",nValue=20,},},</t>
  </si>
  <si>
    <t>{nClass=6,nIcon=2759,nFrame=5,szName="倒计时 {$N9998}",nTime="0.3,灵蛇·30%;0.1,灵蛇·10%",key="灵蛇",},</t>
  </si>
  <si>
    <t>枯木苏息·叶子</t>
  </si>
  <si>
    <t>药宗·枯木苏息</t>
  </si>
  <si>
    <t>{dwMapID=-1,szDisplay="枯木苏息",nMaxDistance=0,tRelation={bAll=true,bEnemy=false,bAlly=false,},tLife={bEnable=false,szOperator="&gt;",nValue=0,},},</t>
  </si>
  <si>
    <t>秘境·限制心法距离</t>
  </si>
  <si>
    <t>{dwMapID=-1,szDisplay="蝶池",nMaxDistance=8,tRelation={bAll=true,bEnemy=false,bAlly=false,},tLife={bEnable=false,szOperator="&gt;",nValue=0,},},</t>
  </si>
  <si>
    <t>{dwMapID=-1,szDisplay="冰荷花",nMaxDistance=20,tRelation={bAll=true,bEnemy=false,bAlly=false,},tLife={bEnable=false,szOperator="&gt;",nValue=0,},},</t>
  </si>
  <si>
    <t>{dwMapID=-1,nMaxDistance=3,tRelation={bAll=true,bEnemy=false,bAlly=false,},tLife={bEnable=false,szOperator="&gt;",nValue=0,},},</t>
  </si>
  <si>
    <t>{dwMapID=-1,nMaxDistance=1,tRelation={bAll=true,bEnemy=false,bAlly=false,},tLife={bEnable=false,szOperator="&gt;",nValue=0,},},</t>
  </si>
  <si>
    <t>{dwMapID=-1,nMaxDistance=60,tRelation={bAll=true,bEnemy=false,bAlly=false,},tLife={bEnable=false,szOperator="&gt;",nValue=0,},},</t>
  </si>
  <si>
    <t>雪雪·相逢</t>
  </si>
  <si>
    <t>{dwMapID=-1,nMaxDistance=0,tRelation={bAll=false,bEnemy=false,bAlly=false,},tLife={bEnable=false,szOperator="&gt;",nValue=0,},},</t>
  </si>
  <si>
    <t>药宗·灵荆之种</t>
  </si>
  <si>
    <t>45,255,45,</t>
  </si>
  <si>
    <t>{dwMapID=-1,szDisplay="灵荆",nMaxDistance=20,tRelation={bAll=false,bEnemy=false,bAlly=true,},tLife={bEnable=false,szOperator="&gt;",nValue=0,},},</t>
  </si>
  <si>
    <t>{nClass=3,nIcon=15418,nFrame=6,szName="灵荆·剩余时间",nTime=15,key="灵荆·剩余时间",},</t>
  </si>
  <si>
    <t>{nClass=4,nIcon=15418,nFrame=5,szName="灵荆·剩余时间",nTime=0,key="灵荆·剩余时间",},</t>
  </si>
  <si>
    <t>刀宗·影子</t>
  </si>
  <si>
    <t>{dwMapID=-1,szDisplay="刀宗·影子",nMaxDistance=120,tRelation={bAll=true,bEnemy=false,bAlly=false,},tLife={bEnable=false,szOperator="&gt;",nValue=0,},},</t>
  </si>
  <si>
    <t>{dwMapID=-1,szDisplay="布娃娃·隐藏任务",nMaxDistance=10,tRelation={bAll=true,bEnemy=false,bAlly=false,},tLife={bEnable=false,szOperator="&gt;",nValue=0,},},</t>
  </si>
  <si>
    <t>隐藏任务·稻草人</t>
  </si>
  <si>
    <t>{dwMapID=-1,szDisplay="阮氏·隐藏任务",nMaxDistance=20,tRelation={bAll=true,bEnemy=false,bAlly=false,},tLife={bEnable=false,szOperator="&gt;",nValue=0,},},</t>
  </si>
  <si>
    <t>隐藏任务·同粥共济</t>
  </si>
  <si>
    <t>{dwMapID=-1,szDisplay="王大·隐藏任务",nMaxDistance=20,tRelation={bAll=true,bEnemy=false,bAlly=false,},tLife={bEnable=false,szOperator="&gt;",nValue=0,},},</t>
  </si>
  <si>
    <t>隐藏任务</t>
  </si>
  <si>
    <t>{dwMapID=-1,szDisplay="叶季良·隐藏任务",nMaxDistance=20,tRelation={bAll=true,bEnemy=false,bAlly=false,},tLife={bEnable=false,szOperator="&gt;",nValue=0,},},</t>
  </si>
  <si>
    <t>窈窕淑女君子逑</t>
  </si>
  <si>
    <t>{dwMapID=-1,szDisplay="织女·窈窕淑女君子逑",nMaxDistance=10,tRelation={bAll=true,bEnemy=false,bAlly=false,},tLife={bEnable=false,szOperator="&gt;",nValue=0,},},</t>
  </si>
  <si>
    <t>{dwMapID=-1,szDisplay="沈剑心·身无分文",nMaxDistance=20,tRelation={bAll=true,bEnemy=false,bAlly=false,},tLife={bEnable=false,szOperator="&gt;",nValue=0,},},</t>
  </si>
  <si>
    <t>{dwMapID=-1,szDisplay="余半仙·算命",nMaxDistance=10,tRelation={bAll=true,bEnemy=false,bAlly=false,},tLife={bEnable=false,szOperator="&gt;",nValue=0,},},</t>
  </si>
  <si>
    <t>{dwMapID=-1,szDisplay="鬼祟的村民·隐藏任务",nMaxDistance=20,tRelation={bAll=true,bEnemy=false,bAlly=false,},tLife={bEnable=false,szOperator="&gt;",nValue=0,},},</t>
  </si>
  <si>
    <t>{dwMapID=-1,szDisplay="宋明·隐藏任务",nMaxDistance=20,tRelation={bAll=true,bEnemy=false,bAlly=false,},tLife={bEnable=false,szOperator="&gt;",nValue=0,},},</t>
  </si>
  <si>
    <t>鱼腥草</t>
  </si>
  <si>
    <t>{dwMapID=-1,szDisplay="阿文·鱼腥草",nMaxDistance=8,tRelation={bAll=true,bEnemy=false,bAlly=false,},tLife={bEnable=false,szOperator="&gt;",nValue=0,},},</t>
  </si>
  <si>
    <t>{dwMapID=-1,szDisplay="阿武·鱼腥草",nMaxDistance=8,tRelation={bAll=true,bEnemy=false,bAlly=false,},tLife={bEnable=false,szOperator="&gt;",nValue=0,},},</t>
  </si>
  <si>
    <t>{dwMapID=-1,nMaxDistance=30,tRelation={bAll=false,bEnemy=true,bAlly=false,},tLife={bEnable=false,szOperator="&gt;",nValue=0,},},</t>
  </si>
  <si>
    <t>雪雪·旅行</t>
  </si>
  <si>
    <t>{dwMapID=-1,nMaxDistance=240,tRelation={bAll=true,bEnemy=false,bAlly=false,},tLife={bEnable=false,szOperator="&gt;",nValue=0,},},</t>
  </si>
  <si>
    <t>白日梦·凝血草阿大</t>
  </si>
  <si>
    <t>{nClass=3,nIcon=17135,nFrame=7,bHold=true,szName="按1·变成凝血草",nTime=600,key="奇遇提示2",},</t>
  </si>
  <si>
    <t>{nClass=3,nIcon=17135,nFrame=7,bHold=true,szName="依次交互·阿大·阿二·阿三",nTime=600,key="奇遇提示3",},</t>
  </si>
  <si>
    <t>{nClass=4,nIcon=17135,nFrame=6,bHold=true,szName="回到·家园集市·裴草",nTime=600,key="奇遇提示1",},</t>
  </si>
  <si>
    <t>{nClass=4,nIcon=17135,nFrame=7,szName="扬州·城南树林·茶馆",nTime=600,key="奇遇提示2",},</t>
  </si>
  <si>
    <t>{nClass=4,nIcon=17135,nFrame=7,szName="马商附近·使用·游梦仙枕",nTime=600,key="奇遇提示3",},</t>
  </si>
  <si>
    <t>白日梦·凝血草阿二</t>
  </si>
  <si>
    <t>白日梦·凝血草阿三</t>
  </si>
  <si>
    <t>{dwMapID=-1,szDisplay="花草·门派事件",nMaxDistance=10,tRelation={bAll=false,bEnemy=false,bAlly=true,},tLife={bEnable=false,szOperator="&gt;",nValue=0,},},</t>
  </si>
  <si>
    <t>{dwMapID=-1,szDisplay="常华聿·门派事件",nMaxDistance=10,tRelation={bAll=false,bEnemy=false,bAlly=true,},tLife={bEnable=false,szOperator="&gt;",nValue=0,},},</t>
  </si>
  <si>
    <t>{dwMapID=-1,szDisplay="元草芳·门派事件",nMaxDistance=10,tRelation={bAll=false,bEnemy=false,bAlly=true,},tLife={bEnable=false,szOperator="&gt;",nValue=0,},},</t>
  </si>
  <si>
    <t>{dwMapID=-1,szDisplay="剧毒王·门派事件",nMaxDistance=0,tRelation={bAll=false,bEnemy=true,bAlly=false,},tLife={bEnable=false,szOperator="&gt;",nValue=0,},},</t>
  </si>
  <si>
    <t>{dwMapID=-1,szDisplay="毒人·门派事件",nMaxDistance=20,tRelation={bAll=false,bEnemy=true,bAlly=false,},tLife={bEnable=false,szOperator="&gt;",nValue=0,},},</t>
  </si>
  <si>
    <t>{dwMapID=-1,nMaxDistance=4,tRelation={bAll=false,bEnemy=false,bAlly=true,},tLife={bEnable=false,szOperator="&gt;",nValue=0,},},</t>
  </si>
  <si>
    <t>{dwMapID=-1,szDisplay="令狐潮·门派事件",nMaxDistance=120,tRelation={bAll=false,bEnemy=true,bAlly=false,},tLife={bEnable=false,szOperator="&gt;",nValue=0,},},</t>
  </si>
  <si>
    <t>孩童书·赵小凯</t>
  </si>
  <si>
    <t>{dwMapID=-1,szDisplay="赵小凯·孩童书",nMaxDistance=60,tRelation={bAll=true,bEnemy=false,bAlly=false,},tLife={bEnable=false,szOperator="&gt;",nValue=0,},},</t>
  </si>
  <si>
    <t>孩童书·陈一</t>
  </si>
  <si>
    <t>{dwMapID=-1,szDisplay="陈一·孩童书",nMaxDistance=60,tRelation={bAll=true,bEnemy=false,bAlly=false,},tLife={bEnable=false,szOperator="&gt;",nValue=0,},},</t>
  </si>
  <si>
    <t>孩童书·徐书</t>
  </si>
  <si>
    <t>{dwMapID=-1,szDisplay="徐书·孩童书",nMaxDistance=90,tRelation={bAll=true,bEnemy=false,bAlly=false,},tLife={bEnable=false,szOperator="&gt;",nValue=0,},},</t>
  </si>
  <si>
    <t>孩童书·吴岱</t>
  </si>
  <si>
    <t>{dwMapID=-1,szDisplay="吴岱·孩童书",nMaxDistance=30,tRelation={bAll=true,bEnemy=false,bAlly=false,},tLife={bEnable=false,szOperator="&gt;",nValue=0,},},</t>
  </si>
  <si>
    <t>孩童书·葛晚星</t>
  </si>
  <si>
    <t>{dwMapID=-1,szDisplay="葛晚星·孩童书",nMaxDistance=0,tRelation={bAll=true,bEnemy=false,bAlly=false,},tLife={bEnable=false,szOperator="&gt;",nValue=0,},},</t>
  </si>
  <si>
    <t>孩童书·颜真卿</t>
  </si>
  <si>
    <t>{dwMapID=-1,szDisplay="颜真卿·孩童书",nMaxDistance=0,tRelation={bAll=true,bEnemy=false,bAlly=false,},tLife={bEnable=false,szOperator="&gt;",nValue=0,},},</t>
  </si>
  <si>
    <t>孩童书·偷书小兽</t>
  </si>
  <si>
    <t>{dwMapID=-1,szDisplay="偷书小兽·孩童书",nMaxDistance=0,tRelation={bAll=true,bEnemy=false,bAlly=false,},tLife={bEnable=false,szOperator="&gt;",nValue=0,},},</t>
  </si>
  <si>
    <t>{nClass=3,nIcon=17135,nFrame=7,szName="7.返回找葛晚星·返回找陈一",nTime=600,nRefresh=600,key="奇遇提示1",},</t>
  </si>
  <si>
    <t>{nClass=3,nIcon=17135,nFrame=7,szName="8.仙迹岩寻找·颜真卿",nTime=600,nRefresh=600,key="奇遇提示2",},</t>
  </si>
  <si>
    <t>{nClass=3,nIcon=17135,nFrame=7,szName="9.等待剧情后·返回找陈一",nTime=600,nRefresh=600,key="奇遇提示3",},</t>
  </si>
  <si>
    <t>{dwMapID=-1,nMaxDistance=20,tRelation={bAll=false,bEnemy=true,bAlly=false,},tLife={bEnable=false,szOperator="&gt;",nValue=0,},},</t>
  </si>
  <si>
    <t>{dwMapID=-1,szDisplay="道苦·门派事件",nMaxDistance=30,tRelation={bAll=true,bEnemy=false,bAlly=false,},tLife={bEnable=false,szOperator="&gt;",nValue=0,},},</t>
  </si>
  <si>
    <t>{dwMapID=-1,szDisplay="伙房弟子·门派事件",nMaxDistance=90,tRelation={bAll=true,bEnemy=false,bAlly=false,},tLife={bEnable=false,szOperator="&gt;",nValue=0,},},</t>
  </si>
  <si>
    <t>{dwMapID=-1,szDisplay="门派事件·六阳正气丹",nMaxDistance=20,tRelation={bAll=false,bEnemy=false,bAlly=true,},tLife={bEnable=false,szOperator="&gt;",nValue=0,},},</t>
  </si>
  <si>
    <t>{dwMapID=-1,szDisplay="隐藏任务·方士2级",nMaxDistance=60,tRelation={bAll=true,bEnemy=false,bAlly=false,},tLife={bEnable=false,szOperator="&gt;",nValue=0,},},</t>
  </si>
  <si>
    <t>新春有缘人·颜如烟</t>
  </si>
  <si>
    <t>{dwMapID=-1,szDisplay="土肥原次郎·除邪惩恶",nMaxDistance=90,tRelation={bAll=true,bEnemy=false,bAlly=false,},tLife={bEnable=false,szOperator="&gt;",nValue=0,},},</t>
  </si>
  <si>
    <t>{dwMapID=-1,szDisplay="吏部御史·科举奖励",nMaxDistance=5,tRelation={bAll=true,bEnemy=false,bAlly=false,},tLife={bEnable=false,szOperator="&gt;",nValue=0,},},</t>
  </si>
  <si>
    <t>{dwMapID=-1,szDisplay="张百炼·鸠雀记",nMaxDistance=10,tRelation={bAll=true,bEnemy=false,bAlly=false,},tLife={bEnable=false,szOperator="&gt;",nValue=0,},},</t>
  </si>
  <si>
    <t>公页少风·兽王佩</t>
  </si>
  <si>
    <t>{dwMapID=-1,szDisplay="公页少风·兽王佩",nMaxDistance=0,tRelation={bAll=true,bEnemy=false,bAlly=false,},tLife={bEnable=false,szOperator="&gt;",nValue=0,},},</t>
  </si>
  <si>
    <t>{dwMapID=-1,nMaxDistance=100,tRelation={bAll=true,bEnemy=false,bAlly=false,},tLife={bEnable=false,szOperator="&gt;",nValue=0,},},</t>
  </si>
  <si>
    <t>白日梦·赤兔</t>
  </si>
  <si>
    <t>白日梦·不羁</t>
  </si>
  <si>
    <t>白日梦·绿螭骢</t>
  </si>
  <si>
    <t>{nClass=3,nIcon=17135,nFrame=7,bHold=true,szName="按1·变成浮云马",nTime=600,key="奇遇提示2",},</t>
  </si>
  <si>
    <t>{nClass=3,nIcon=17135,nFrame=7,bHold=true,szName="依次交互·绿螭骢·不羁·赤兔",nTime=600,key="奇遇提示3",},</t>
  </si>
  <si>
    <t>{nClass=4,nIcon=17135,nFrame=7,bHold=true,szName="成都·广都镇·木桩区",nTime=600,key="奇遇提示2",},</t>
  </si>
  <si>
    <t>{nClass=4,nIcon=17135,nFrame=7,bHold=true,szName="极境木桩·使用·游梦仙枕",nTime=600,key="奇遇提示3",},</t>
  </si>
  <si>
    <t>{dwMapID=-1,szDisplay="平安锁·门派事件",nMaxDistance=20,tRelation={bAll=true,bEnemy=false,bAlly=false,},tLife={bEnable=false,szOperator="&gt;",nValue=0,},},</t>
  </si>
  <si>
    <t>{dwMapID=-1,szDisplay="千秋子·门派事件",nMaxDistance=0,tRelation={bAll=true,bEnemy=false,bAlly=false,},tLife={bEnable=false,szOperator="&gt;",nValue=0,},},</t>
  </si>
  <si>
    <t>{dwMapID=-1,szDisplay="玉衡剑·门派事件",nMaxDistance=10,tRelation={bAll=true,bEnemy=false,bAlly=false,},tLife={bEnable=false,szOperator="&gt;",nValue=0,},},</t>
  </si>
  <si>
    <t>{dwMapID=-1,szDisplay="天玑剑·门派事件",nMaxDistance=10,tRelation={bAll=true,bEnemy=false,bAlly=false,},tLife={bEnable=false,szOperator="&gt;",nValue=0,},},</t>
  </si>
  <si>
    <t>{dwMapID=-1,szDisplay="摇光剑·门派事件",nMaxDistance=10,tRelation={bAll=true,bEnemy=false,bAlly=false,},tLife={bEnable=false,szOperator="&gt;",nValue=0,},},</t>
  </si>
  <si>
    <t>雪雪·剧情</t>
  </si>
  <si>
    <t>{dwMapID=-1,szDisplay="雪雪·剧情",nMaxDistance=0,tRelation={bAll=true,bEnemy=false,bAlly=false,},tLife={bEnable=false,szOperator="&gt;",nValue=0,},},</t>
  </si>
  <si>
    <t>白雪忆·步虚尘</t>
  </si>
  <si>
    <t>{dwMapID=-1,szDisplay="步虚尘·白雪忆",nMaxDistance=60,tRelation={bAll=true,bEnemy=false,bAlly=false,},tLife={bEnable=false,szOperator="&gt;",nValue=0,},},</t>
  </si>
  <si>
    <t>白雪忆·苏卿若</t>
  </si>
  <si>
    <t>{dwMapID=-1,szDisplay="苏卿若·白雪忆",nMaxDistance=0,tRelation={bAll=true,bEnemy=false,bAlly=false,},tLife={bEnable=false,szOperator="&gt;",nValue=0,},},</t>
  </si>
  <si>
    <t>{dwMapID=-1,szDisplay="宋笑声·除邪惩恶",nMaxDistance=90,tRelation={bAll=true,bEnemy=false,bAlly=false,},tLife={bEnable=false,szOperator="&gt;",nValue=0,},},</t>
  </si>
  <si>
    <t>新春有缘人·楚小妹</t>
  </si>
  <si>
    <t>{dwMapID=-1,szDisplay="穿缝补好的军服",nMaxDistance=10,tRelation={bAll=false,bEnemy=true,bAlly=false,},tLife={bEnable=false,szOperator="&gt;",nValue=0,},},</t>
  </si>
  <si>
    <t>尘网中·红师农</t>
  </si>
  <si>
    <t>{dwMapID=-1,szDisplay="红师农·尘网中",nMaxDistance=60,tRelation={bAll=true,bEnemy=false,bAlly=false,},tLife={bEnable=false,szOperator="&gt;",nValue=0,},},</t>
  </si>
  <si>
    <t>尘网中·小猪崽·崽崽</t>
  </si>
  <si>
    <t>{dwMapID=-1,szDisplay="小猪崽·崽崽·尘网中",nMaxDistance=60,tRelation={bAll=true,bEnemy=false,bAlly=false,},tLife={bEnable=false,szOperator="&gt;",nValue=0,},},</t>
  </si>
  <si>
    <t>红衣歌·老不知</t>
  </si>
  <si>
    <t>{dwMapID=-1,szDisplay="老不知·红衣歌",nMaxDistance=30,tRelation={bAll=true,bEnemy=false,bAlly=false,},tLife={bEnable=false,szOperator="&gt;",nValue=0,},},</t>
  </si>
  <si>
    <t>红衣歌·莫清尘</t>
  </si>
  <si>
    <t>{dwMapID=-1,szDisplay="莫清尘·红衣歌",nMaxDistance=60,tRelation={bAll=true,bEnemy=false,bAlly=false,},tLife={bEnable=false,szOperator="&gt;",nValue=0,},},</t>
  </si>
  <si>
    <t>红衣歌·墨漓</t>
  </si>
  <si>
    <t>{dwMapID=-1,szDisplay="墨漓·红衣歌",nMaxDistance=60,tRelation={bAll=true,bEnemy=false,bAlly=false,},tLife={bEnable=false,szOperator="&gt;",nValue=0,},},</t>
  </si>
  <si>
    <t>大旗·红莲岗</t>
  </si>
  <si>
    <t>{dwMapID=-1,szDisplay="大旗·红莲岗",nMaxDistance=3,tRelation={bAll=true,bEnemy=false,bAlly=false,},tLife={bEnable=false,szOperator="&gt;",nValue=0,},},</t>
  </si>
  <si>
    <t>大旗·秋雨堡</t>
  </si>
  <si>
    <t>{dwMapID=-1,szDisplay="大旗·秋雨堡",nMaxDistance=3,tRelation={bAll=true,bEnemy=false,bAlly=false,},tLife={bEnable=false,szOperator="&gt;",nValue=0,},},</t>
  </si>
  <si>
    <t>破晓鸣·猫猫</t>
  </si>
  <si>
    <t>{dwMapID=-1,szDisplay="猫猫·破晓鸣",nMaxDistance=30,tRelation={bAll=true,bEnemy=false,bAlly=false,},tLife={bEnable=false,szOperator="&gt;",nValue=0,},},</t>
  </si>
  <si>
    <t>破晓鸣·秦邑</t>
  </si>
  <si>
    <t>{dwMapID=-1,szDisplay="秦邑·破晓鸣",nMaxDistance=20,tRelation={bAll=true,bEnemy=false,bAlly=false,},tLife={bEnable=false,szOperator="&gt;",nValue=0,},},</t>
  </si>
  <si>
    <t>破晓鸣·韩惜辰</t>
  </si>
  <si>
    <t>{dwMapID=-1,szDisplay="韩惜辰·破晓鸣",nMaxDistance=60,tRelation={bAll=true,bEnemy=false,bAlly=false,},tLife={bEnable=false,szOperator="&gt;",nValue=0,},},</t>
  </si>
  <si>
    <t>破晓鸣·一只灰尘扑扑</t>
  </si>
  <si>
    <t>{dwMapID=-1,szDisplay="一只灰尘扑扑的公鸡·破晓鸣",nMaxDistance=20,tRelation={bAll=true,bEnemy=false,bAlly=false,},tLife={bEnable=false,szOperator="&gt;",nValue=0,},},</t>
  </si>
  <si>
    <t>破晓鸣·一个晕倒的人</t>
  </si>
  <si>
    <t>{dwMapID=-1,szDisplay="一个晕倒的人·破晓鸣",nMaxDistance=90,tRelation={bAll=true,bEnemy=false,bAlly=false,},tLife={bEnable=false,szOperator="&gt;",nValue=0,},},</t>
  </si>
  <si>
    <t>破晓鸣·顾释</t>
  </si>
  <si>
    <t>{dwMapID=-1,szDisplay="顾释·破晓鸣",nMaxDistance=30,tRelation={bAll=true,bEnemy=false,bAlly=false,},tLife={bEnable=false,szOperator="&gt;",nValue=0,},},</t>
  </si>
  <si>
    <t>{nClass=4,nIcon=17135,nFrame=0,szName="奇遇提示0",nTime=0,key="奇遇提示0",},</t>
  </si>
  <si>
    <t>{nClass=3,nIcon=17135,nFrame=7,szName="对话·顾释",nTime=60,key="奇遇提示1",},</t>
  </si>
  <si>
    <t>{nClass=4,nIcon=17135,nFrame=7,szName="完成奇遇·破晓鸣·黄袍大统领",nTime=10,key="奇遇提示1",},</t>
  </si>
  <si>
    <t>{nClass=4,nIcon=17135,nFrame=7,szName="奇遇提示2",nTime=0,key="奇遇提示2",},</t>
  </si>
  <si>
    <t>{nClass=4,nIcon=17135,nFrame=7,szName="奇遇提示3",nTime=0,key="奇遇提示3",},</t>
  </si>
  <si>
    <t>2,255,0,</t>
  </si>
  <si>
    <t>{dwMapID=-1,szDisplay="上官勇·隐藏任务",nMaxDistance=5,tRelation={bAll=true,bEnemy=false,bAlly=false,},tLife={bEnable=false,szOperator="&gt;",nValue=0,},},</t>
  </si>
  <si>
    <t>{dwMapID=-1,szDisplay="七嫂·鸠雀记",nMaxDistance=10,tRelation={bAll=true,bEnemy=false,bAlly=false,},tLife={bEnable=false,szOperator="&gt;",nValue=0,},},</t>
  </si>
  <si>
    <t>{dwMapID=-1,szDisplay="龙文武·鸠雀记",nMaxDistance=10,tRelation={bAll=true,bEnemy=false,bAlly=false,},tLife={bEnable=false,szOperator="&gt;",nValue=0,},},</t>
  </si>
  <si>
    <t>{dwMapID=-1,szDisplay="邝桃宝·鸠雀记",nMaxDistance=30,tRelation={bAll=true,bEnemy=false,bAlly=false,},tLife={bEnable=false,szOperator="&gt;",nValue=0,},},</t>
  </si>
  <si>
    <t>{dwMapID=-1,szDisplay="老乞丐·鸠雀记",nMaxDistance=10,tRelation={bAll=true,bEnemy=false,bAlly=false,},tLife={bEnable=false,szOperator="&gt;",nValue=0,},},</t>
  </si>
  <si>
    <t>{dwMapID=-1,szDisplay="古二婶·鸠雀记",nMaxDistance=8,tRelation={bAll=true,bEnemy=false,bAlly=false,},tLife={bEnable=false,szOperator="&gt;",nValue=0,},},</t>
  </si>
  <si>
    <t>{dwMapID=-1,szDisplay="伯炅·鸠雀记",nMaxDistance=8,tRelation={bAll=true,bEnemy=false,bAlly=false,},tLife={bEnable=false,szOperator="&gt;",nValue=0,},},</t>
  </si>
  <si>
    <t>{dwMapID=-1,szDisplay="元宝儿·鸠雀记",nMaxDistance=8,tRelation={bAll=true,bEnemy=false,bAlly=false,},tLife={bEnable=false,szOperator="&gt;",nValue=0,},},</t>
  </si>
  <si>
    <t>{dwMapID=-1,szDisplay="鸠雀记",nMaxDistance=10,tRelation={bAll=true,bEnemy=false,bAlly=false,},tLife={bEnable=false,szOperator="&gt;",nValue=0,},},</t>
  </si>
  <si>
    <t>{dwMapID=-1,nMaxDistance=20,tRelation={bAll=false,bEnemy=false,bAlly=true,},tLife={bEnable=false,szOperator="&gt;",nValue=0,},},</t>
  </si>
  <si>
    <t>大旗·金门关</t>
  </si>
  <si>
    <t>{dwMapID=-1,szDisplay="大旗·金门关",nMaxDistance=3,tRelation={bAll=true,bEnemy=false,bAlly=false,},tLife={bEnable=false,szOperator="&gt;",nValue=0,},},</t>
  </si>
  <si>
    <t>大旗·青云坞</t>
  </si>
  <si>
    <t>{dwMapID=-1,szDisplay="大旗·青云坞",nMaxDistance=3,tRelation={bAll=true,bEnemy=false,bAlly=false,},tLife={bEnable=false,szOperator="&gt;",nValue=0,},},</t>
  </si>
  <si>
    <t>{dwMapID=-1,szDisplay="白萍·除邪惩恶",nMaxDistance=0,tRelation={bAll=true,bEnemy=false,bAlly=false,},tLife={bEnable=false,szOperator="&gt;",nValue=0,},},</t>
  </si>
  <si>
    <t>新春有缘人·杜甫</t>
  </si>
  <si>
    <t>{dwMapID=-1,szDisplay="夏年·门派事件",nMaxDistance=60,tRelation={bAll=false,bEnemy=false,bAlly=true,},tLife={bEnable=false,szOperator="&gt;",nValue=0,},},</t>
  </si>
  <si>
    <t>{dwMapID=-1,szDisplay="佟雅辰·门派事件",nMaxDistance=60,tRelation={bAll=false,bEnemy=false,bAlly=true,},tLife={bEnable=false,szOperator="&gt;",nValue=0,},},</t>
  </si>
  <si>
    <t>{dwMapID=-1,szDisplay="慕容晚·门派事件",nMaxDistance=60,tRelation={bAll=false,bEnemy=false,bAlly=true,},tLife={bEnable=false,szOperator="&gt;",nValue=0,},},</t>
  </si>
  <si>
    <t>{dwMapID=-1,szDisplay="剑舞弟子·萝莉",nMaxDistance=30,tRelation={bAll=false,bEnemy=false,bAlly=true,},tLife={bEnable=false,szOperator="&gt;",nValue=0,},},</t>
  </si>
  <si>
    <t>{dwMapID=-1,szDisplay="剑舞弟子·成女",nMaxDistance=30,tRelation={bAll=false,bEnemy=false,bAlly=true,},tLife={bEnable=false,szOperator="&gt;",nValue=0,},},</t>
  </si>
  <si>
    <t>{dwMapID=-1,szDisplay="照萤·门派事件",nMaxDistance=10,tRelation={bAll=true,bEnemy=false,bAlly=false,},tLife={bEnable=false,szOperator="&gt;",nValue=0,},},</t>
  </si>
  <si>
    <t>{dwMapID=-1,szDisplay="夏年·门派事件",nMaxDistance=60,tRelation={bAll=true,bEnemy=false,bAlly=false,},tLife={bEnable=false,szOperator="&gt;",nValue=0,},},</t>
  </si>
  <si>
    <t>{dwMapID=-1,szDisplay="佟雅辰·门派事件",nMaxDistance=60,tRelation={bAll=true,bEnemy=false,bAlly=false,},tLife={bEnable=false,szOperator="&gt;",nValue=0,},},</t>
  </si>
  <si>
    <t>慕容晚</t>
  </si>
  <si>
    <t>{dwMapID=-1,szDisplay="慕容晚·门派事件",nMaxDistance=60,tRelation={bAll=true,bEnemy=false,bAlly=false,},tLife={bEnable=false,szOperator="&gt;",nValue=0,},},</t>
  </si>
  <si>
    <t>{dwMapID=-1,szDisplay="白璃予·门派事件",nMaxDistance=60,tRelation={bAll=false,bEnemy=true,bAlly=false,},tLife={bEnable=false,szOperator="&gt;",nValue=0,},},</t>
  </si>
  <si>
    <t>{dwMapID=-1,szDisplay="白璃予·分身",nMaxDistance=30,tRelation={bAll=false,bEnemy=true,bAlly=false,},tLife={bEnable=true,szOperator="&lt;",nValue=100,},},</t>
  </si>
  <si>
    <t>烟花戏·秋·卢蓉</t>
  </si>
  <si>
    <t>{dwMapID=-1,szDisplay="卢蓉·烟花戏·秋",nMaxDistance=60,tRelation={bAll=true,bEnemy=false,bAlly=false,},tLife={bEnable=false,szOperator="&gt;",nValue=0,},},</t>
  </si>
  <si>
    <t>捉妖记·陶九翁</t>
  </si>
  <si>
    <t>{dwMapID=-1,szDisplay="陶九翁·捉妖记",nMaxDistance=30,tRelation={bAll=true,bEnemy=false,bAlly=false,},tLife={bEnable=false,szOperator="&gt;",nValue=0,},},</t>
  </si>
  <si>
    <t>捉妖记·陶蛋儿</t>
  </si>
  <si>
    <t>{dwMapID=-1,szDisplay="陶蛋儿·捉妖记",nMaxDistance=60,tRelation={bAll=true,bEnemy=false,bAlly=false,},tLife={bEnable=false,szOperator="&gt;",nValue=0,},},</t>
  </si>
  <si>
    <t>捉妖记·陶小方</t>
  </si>
  <si>
    <t>{dwMapID=-1,szDisplay="陶小方·捉妖记",nMaxDistance=30,tRelation={bAll=true,bEnemy=false,bAlly=false,},tLife={bEnable=false,szOperator="&gt;",nValue=0,},},</t>
  </si>
  <si>
    <t>捉妖记·陶虎子</t>
  </si>
  <si>
    <t>{dwMapID=-1,szDisplay="陶虎子·捉妖记",nMaxDistance=60,tRelation={bAll=true,bEnemy=false,bAlly=false,},tLife={bEnable=false,szOperator="&gt;",nValue=0,},},</t>
  </si>
  <si>
    <t>捉妖记·会动的酒坛子</t>
  </si>
  <si>
    <t>{dwMapID=-1,szDisplay="会动的酒坛子·捉妖记",nMaxDistance=90,tRelation={bAll=true,bEnemy=false,bAlly=false,},tLife={bEnable=false,szOperator="&gt;",nValue=0,},},</t>
  </si>
  <si>
    <t>江湖侠客·唐小柯任务</t>
  </si>
  <si>
    <t>{dwMapID=-1,szDisplay="机关小猪·小花猪",nMaxDistance=10,tRelation={bAll=true,bEnemy=false,bAlly=false,},tLife={bEnable=false,szOperator="&gt;",nValue=0,},},</t>
  </si>
  <si>
    <t>白雪忆·说书人</t>
  </si>
  <si>
    <t>{dwMapID=-1,szDisplay="说书人·白雪忆",nMaxDistance=50,tRelation={bAll=true,bEnemy=false,bAlly=false,},tLife={bEnable=false,szOperator="&gt;",nValue=0,},},</t>
  </si>
  <si>
    <t>白雪忆·季妍华</t>
  </si>
  <si>
    <t>{dwMapID=-1,szDisplay="季妍华·白雪忆",nMaxDistance=50,tRelation={bAll=true,bEnemy=false,bAlly=false,},tLife={bEnable=false,szOperator="&gt;",nValue=0,},},</t>
  </si>
  <si>
    <t>白雪忆·叶颢轩</t>
  </si>
  <si>
    <t>{dwMapID=-1,szDisplay="叶颢轩·白雪忆",nMaxDistance=0,tRelation={bAll=true,bEnemy=false,bAlly=false,},tLife={bEnable=false,szOperator="&gt;",nValue=0,},},</t>
  </si>
  <si>
    <t>白雪忆·颜谷芝</t>
  </si>
  <si>
    <t>{dwMapID=-1,szDisplay="颜谷芝·白雪忆",nMaxDistance=10,tRelation={bAll=true,bEnemy=false,bAlly=false,},tLife={bEnable=false,szOperator="&gt;",nValue=0,},},</t>
  </si>
  <si>
    <t>大旗·盘龙坞</t>
  </si>
  <si>
    <t>{dwMapID=-1,szDisplay="大旗·盘龙坞",nMaxDistance=3,tRelation={bAll=true,bEnemy=false,bAlly=false,},tLife={bEnable=false,szOperator="&gt;",nValue=0,},},</t>
  </si>
  <si>
    <t>大旗·逐鹿坪</t>
  </si>
  <si>
    <t>{dwMapID=-1,szDisplay="大旗·逐鹿坪",nMaxDistance=3,tRelation={bAll=true,bEnemy=false,bAlly=false,},tLife={bEnable=false,szOperator="&gt;",nValue=0,},},</t>
  </si>
  <si>
    <t>左破天</t>
  </si>
  <si>
    <t>{dwMapID=-1,szDisplay="左破天·阵营前置",nMaxDistance=0,tRelation={bAll=true,bEnemy=false,bAlly=false,},tLife={bEnable=false,szOperator="&gt;",nValue=0,},},</t>
  </si>
  <si>
    <t>{nClass=12,nIcon=13,nFrame=4,szName="左破天·刷新剩余",nTime=10.1,},</t>
  </si>
  <si>
    <t>郭海宾</t>
  </si>
  <si>
    <t>{dwMapID=-1,szDisplay="郭海宾·阵营前置",nMaxDistance=0,tRelation={bAll=true,bEnemy=false,bAlly=false,},tLife={bEnable=false,szOperator="&gt;",nValue=0,},},</t>
  </si>
  <si>
    <t>{nClass=12,nIcon=13,nFrame=4,szName="郭海宾·刷新剩余",nTime=10.1,},</t>
  </si>
  <si>
    <t>赵新宇</t>
  </si>
  <si>
    <t>{dwMapID=-1,szDisplay="赵新宇·阵营前置",nMaxDistance=0,tRelation={bAll=true,bEnemy=false,bAlly=false,},tLife={bEnable=false,szOperator="&gt;",nValue=0,},},</t>
  </si>
  <si>
    <t>方超</t>
  </si>
  <si>
    <t>{dwMapID=-1,szDisplay="方超··阵营前置",nMaxDistance=0,tRelation={bAll=true,bEnemy=false,bAlly=false,},tLife={bEnable=false,szOperator="&gt;",nValue=0,},},</t>
  </si>
  <si>
    <t>何非笑·阵营前置</t>
  </si>
  <si>
    <t>{dwMapID=-1,szDisplay="何非笑·阵营前置",nMaxDistance=0,tRelation={bAll=false,bEnemy=false,bAlly=true,},tLife={bEnable=false,szOperator="&gt;",nValue=0,},},</t>
  </si>
  <si>
    <t>王洵·阵营前置</t>
  </si>
  <si>
    <t>{dwMapID=-1,szDisplay="王洵·阵营前置",nMaxDistance=20,tRelation={bAll=false,bEnemy=false,bAlly=true,},tLife={bEnable=false,szOperator="&gt;",nValue=0,},},</t>
  </si>
  <si>
    <t>浩气牛车</t>
  </si>
  <si>
    <t>{dwMapID=-1,szDisplay="浩气牛车·粮草先行",nMaxDistance=0,tRelation={bAll=true,bEnemy=false,bAlly=false,},tLife={bEnable=false,szOperator="&gt;",nValue=0,},},</t>
  </si>
  <si>
    <t>恶人牛车</t>
  </si>
  <si>
    <t>{dwMapID=-1,szDisplay="恶人牛车·粮草先行",nMaxDistance=0,tRelation={bAll=true,bEnemy=false,bAlly=false,},tLife={bEnable=false,szOperator="&gt;",nValue=0,},},</t>
  </si>
  <si>
    <t>管良沧·粮草先行</t>
  </si>
  <si>
    <t>{dwMapID=-1,szDisplay="管良沧·粮草先行",nMaxDistance=60,tRelation={bAll=false,bEnemy=false,bAlly=true,},tLife={bEnable=false,szOperator="&gt;",nValue=0,},},</t>
  </si>
  <si>
    <t>苏才寥·粮草先行</t>
  </si>
  <si>
    <t>{dwMapID=-1,szDisplay="苏才寥·粮草先行",nMaxDistance=60,tRelation={bAll=false,bEnemy=false,bAlly=true,},tLife={bEnable=false,szOperator="&gt;",nValue=0,},},</t>
  </si>
  <si>
    <t>赵新宇·阵营前置</t>
  </si>
  <si>
    <t>方超·阵营前置</t>
  </si>
  <si>
    <t>{dwMapID=-1,szDisplay="方超·阵营前置",nMaxDistance=0,tRelation={bAll=true,bEnemy=false,bAlly=false,},tLife={bEnable=false,szOperator="&gt;",nValue=0,},},</t>
  </si>
  <si>
    <t>大旗·武王城</t>
  </si>
  <si>
    <t>{dwMapID=-1,szDisplay="大旗·武王城",nMaxDistance=3,tRelation={bAll=true,bEnemy=false,bAlly=false,},tLife={bEnable=false,szOperator="&gt;",nValue=0,},},</t>
  </si>
  <si>
    <t>{dwMapID=-1,szDisplay="飞石·锁定焦点",nMaxDistance=60,tRelation={bAll=true,bEnemy=false,bAlly=false,},tLife={bEnable=false,szOperator="&gt;",nValue=0,},},</t>
  </si>
  <si>
    <t>{nClass=3,nIcon=17135,nFrame=5,szName="可右键锁定飞石焦点踩踏",nTime=10,nRefresh=7200,key="龙门飞剑·飞石",},</t>
  </si>
  <si>
    <t>锋芒展·田语夕</t>
  </si>
  <si>
    <t>{dwMapID=-1,szDisplay="田语夕·锋芒展",nMaxDistance=30,tRelation={bAll=true,bEnemy=false,bAlly=false,},tLife={bEnable=false,szOperator="&gt;",nValue=0,},},</t>
  </si>
  <si>
    <t>锋芒展·金香玉</t>
  </si>
  <si>
    <t>{dwMapID=-1,szDisplay="金香玉·锋芒展",nMaxDistance=10,tRelation={bAll=true,bEnemy=false,bAlly=false,},tLife={bEnable=false,szOperator="&gt;",nValue=0,},},</t>
  </si>
  <si>
    <t>锋芒展·张壮壮</t>
  </si>
  <si>
    <t>{dwMapID=-1,szDisplay="张壮壮·锋芒展",nMaxDistance=60,tRelation={bAll=true,bEnemy=false,bAlly=false,},tLife={bEnable=false,szOperator="&gt;",nValue=0,},},</t>
  </si>
  <si>
    <t>锋芒展·阿布拉</t>
  </si>
  <si>
    <t>{dwMapID=-1,szDisplay="阿布拉·锋芒展",nMaxDistance=90,tRelation={bAll=true,bEnemy=false,bAlly=false,},tLife={bEnable=false,szOperator="&gt;",nValue=0,},},</t>
  </si>
  <si>
    <t>锋芒展·田启晔</t>
  </si>
  <si>
    <t>{dwMapID=-1,szDisplay="田启晔·锋芒展",nMaxDistance=90,tRelation={bAll=true,bEnemy=false,bAlly=false,},tLife={bEnable=false,szOperator="&gt;",nValue=0,},},</t>
  </si>
  <si>
    <t>锋芒展·查瑞</t>
  </si>
  <si>
    <t>{dwMapID=-1,szDisplay="查瑞·锋芒展",nMaxDistance=60,tRelation={bAll=true,bEnemy=false,bAlly=false,},tLife={bEnable=false,szOperator="&gt;",nValue=0,},},</t>
  </si>
  <si>
    <t>大旗·龙门镇</t>
  </si>
  <si>
    <t>{dwMapID=-1,szDisplay="大旗·龙门镇",nMaxDistance=3,tRelation={bAll=true,bEnemy=false,bAlly=false,},tLife={bEnable=false,szOperator="&gt;",nValue=0,},},</t>
  </si>
  <si>
    <t>大旗·飞沙关</t>
  </si>
  <si>
    <t>{dwMapID=-1,szDisplay="大旗·飞沙关",nMaxDistance=3,tRelation={bAll=true,bEnemy=false,bAlly=false,},tLife={bEnable=false,szOperator="&gt;",nValue=0,},},</t>
  </si>
  <si>
    <t>于成仇</t>
  </si>
  <si>
    <t>{nClass=12,nIcon=13,nFrame=4,szName="于成仇·刷新剩余",nTime=10.1,},</t>
  </si>
  <si>
    <t>阎世通</t>
  </si>
  <si>
    <t>{nClass=12,nIcon=13,nFrame=4,szName="阎世通·刷新剩余",nTime=10.1,},</t>
  </si>
  <si>
    <t>霸图·阵营前置</t>
  </si>
  <si>
    <t>{dwMapID=-1,szDisplay="霸图·阵营前置",nMaxDistance=0,tRelation={bAll=true,bEnemy=false,bAlly=false,},tLife={bEnable=false,szOperator="&gt;",nValue=0,},},</t>
  </si>
  <si>
    <t>孙永恒·阵营前置</t>
  </si>
  <si>
    <t>{dwMapID=-1,szDisplay="孙永恒·阵营前置",nMaxDistance=0,tRelation={bAll=true,bEnemy=false,bAlly=false,},tLife={bEnable=false,szOperator="&gt;",nValue=0,},},</t>
  </si>
  <si>
    <t>休憩的商人</t>
  </si>
  <si>
    <t>{dwMapID=-1,nMaxDistance=10,tRelation={bAll=false,bEnemy=false,bAlly=true,},tLife={bEnable=true,szOperator="==",nValue=100,},},</t>
  </si>
  <si>
    <t>被虏的江湖人士</t>
  </si>
  <si>
    <t>{dwMapID=-1,nMaxDistance=3,tRelation={bAll=false,bEnemy=false,bAlly=true,},tLife={bEnable=false,szOperator="&gt;",nValue=0,},},</t>
  </si>
  <si>
    <t>凌燕丘</t>
  </si>
  <si>
    <t>铁铸刚</t>
  </si>
  <si>
    <t>{dwMapID=-1,nMaxDistance=60,tRelation={bAll=true,bEnemy=false,bAlly=false,},tLife={bEnable=true,szOperator="&gt;",nValue=98,},},</t>
  </si>
  <si>
    <t>{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t>
  </si>
  <si>
    <t>王洵</t>
  </si>
  <si>
    <t>{dwMapID=-1,szDisplay="王洵·阵营前置",nMaxDistance=10,tRelation={bAll=false,bEnemy=false,bAlly=true,},tLife={bEnable=false,szOperator="&gt;",nValue=0,},},</t>
  </si>
  <si>
    <t>顾延恶</t>
  </si>
  <si>
    <t>烟</t>
  </si>
  <si>
    <t>王遗风</t>
  </si>
  <si>
    <t>小七</t>
  </si>
  <si>
    <t>何非笑周日7604</t>
  </si>
  <si>
    <t>{dwMapID=-1,szDisplay="何非笑·阵营前置",nMaxDistance=10,tRelation={bAll=false,bEnemy=false,bAlly=true,},tLife={bEnable=false,szOperator="&gt;",nValue=0,},},</t>
  </si>
  <si>
    <t>何非笑</t>
  </si>
  <si>
    <t>{dwMapID=-1,szDisplay="何非笑·阵营前置",nMaxDistance=60,tRelation={bAll=false,bEnemy=false,bAlly=true,},tLife={bEnable=false,szOperator="&gt;",nValue=0,},},</t>
  </si>
  <si>
    <t>{dwMapID=-1,szDisplay="王洵·阵营前置",nMaxDistance=60,tRelation={bAll=false,bEnemy=false,bAlly=true,},tLife={bEnable=false,szOperator="&gt;",nValue=0,},},</t>
  </si>
  <si>
    <t>长乐坊村民</t>
  </si>
  <si>
    <t>{dwMapID=-1,nMaxDistance=35,tRelation={bAll=false,bEnemy=false,bAlly=true,},tLife={bEnable=true,szOperator="==",nValue=100,},},</t>
  </si>
  <si>
    <t>大旗·凛风堡</t>
  </si>
  <si>
    <t>{dwMapID=-1,szDisplay="大旗·凛风堡",nMaxDistance=3,tRelation={bAll=true,bEnemy=false,bAlly=false,},tLife={bEnable=false,szOperator="&gt;",nValue=0,},},</t>
  </si>
  <si>
    <t>叛军头目藏异宝</t>
  </si>
  <si>
    <t>{dwMapID=-1,szDisplay="苍深·金丝马球",nMaxDistance=90,tRelation={bAll=true,bEnemy=false,bAlly=false,},tLife={bEnable=false,szOperator="&gt;",nValue=0,},},</t>
  </si>
  <si>
    <t>{dwMapID=-1,szDisplay="冷馨兰·采仙草",nMaxDistance=60,tRelation={bAll=true,bEnemy=false,bAlly=false,},tLife={bEnable=false,szOperator="&gt;",nValue=0,},},</t>
  </si>
  <si>
    <t>{dwMapID=-1,szDisplay="花灯·采仙草",nMaxDistance=30,tRelation={bAll=true,bEnemy=false,bAlly=false,},tLife={bEnable=false,szOperator="&gt;",nValue=0,},},</t>
  </si>
  <si>
    <t>{dwMapID=-1,szDisplay="水灵珠·寻龙勘脉",nMaxDistance=0,tRelation={bAll=true,bEnemy=false,bAlly=false,},tLife={bEnable=false,szOperator="&gt;",nValue=0,},},</t>
  </si>
  <si>
    <t>{dwMapID=-1,szDisplay="食业朱猿·寻龙勘脉",nMaxDistance=40,tRelation={bAll=true,bEnemy=false,bAlly=false,},tLife={bEnable=false,szOperator="&gt;",nValue=0,},},</t>
  </si>
  <si>
    <t>{dwMapID=-1,szDisplay="丁老三·美人图",nMaxDistance=30,tRelation={bAll=true,bEnemy=false,bAlly=false,},tLife={bEnable=false,szOperator="&gt;",nValue=0,},},</t>
  </si>
  <si>
    <t>{dwMapID=-1,szDisplay="孟庄元·美人图",nMaxDistance=10,tRelation={bAll=true,bEnemy=false,bAlly=false,},tLife={bEnable=false,szOperator="&gt;",nValue=0,},},</t>
  </si>
  <si>
    <t>{dwMapID=-1,szDisplay="小二哥·美人图",nMaxDistance=30,tRelation={bAll=true,bEnemy=false,bAlly=false,},tLife={bEnable=false,szOperator="&gt;",nValue=0,},},</t>
  </si>
  <si>
    <t>{dwMapID=-1,szDisplay="贾一陀·美人图",nMaxDistance=30,tRelation={bAll=true,bEnemy=false,bAlly=false,},tLife={bEnable=false,szOperator="&gt;",nValue=0,},},</t>
  </si>
  <si>
    <t>{dwMapID=-1,szDisplay="裘大嘴·美人图",nMaxDistance=30,tRelation={bAll=true,bEnemy=false,bAlly=false,},tLife={bEnable=false,szOperator="&gt;",nValue=0,},},</t>
  </si>
  <si>
    <t>{dwMapID=-1,szDisplay="宫威·美人图",nMaxDistance=30,tRelation={bAll=true,bEnemy=false,bAlly=false,},tLife={bEnable=false,szOperator="&gt;",nValue=0,},},</t>
  </si>
  <si>
    <t>{dwMapID=-1,szDisplay="小梦子·美人图",nMaxDistance=30,tRelation={bAll=true,bEnemy=false,bAlly=false,},tLife={bEnable=false,szOperator="&gt;",nValue=0,},},</t>
  </si>
  <si>
    <t>{dwMapID=-1,szDisplay="孟家爷爷·美人图",nMaxDistance=30,tRelation={bAll=true,bEnemy=false,bAlly=false,},tLife={bEnable=false,szOperator="&gt;",nValue=0,},},</t>
  </si>
  <si>
    <t>{dwMapID=-1,szDisplay="宫大肥·美人图",nMaxDistance=30,tRelation={bAll=true,bEnemy=false,bAlly=false,},tLife={bEnable=false,szOperator="&gt;",nValue=0,},},</t>
  </si>
  <si>
    <t>{dwMapID=-1,szDisplay="张山石·美人图",nMaxDistance=30,tRelation={bAll=true,bEnemy=false,bAlly=false,},tLife={bEnable=false,szOperator="&gt;",nValue=0,},},</t>
  </si>
  <si>
    <t>{dwMapID=-1,szDisplay="宫晴·美人图",nMaxDistance=20,tRelation={bAll=true,bEnemy=false,bAlly=false,},tLife={bEnable=false,szOperator="&gt;",nValue=0,},},</t>
  </si>
  <si>
    <t>{dwMapID=-1,szDisplay="宇文画·毒手催画",nMaxDistance=0,tRelation={bAll=true,bEnemy=false,bAlly=false,},tLife={bEnable=false,szOperator="&gt;",nValue=0,},},</t>
  </si>
  <si>
    <t>{dwMapID=-1,szDisplay="牛车·美人图",nMaxDistance=60,tRelation={bAll=false,bEnemy=true,bAlly=false,},tLife={bEnable=false,szOperator="&gt;",nValue=0,},},</t>
  </si>
  <si>
    <t>大旗·激流坞</t>
  </si>
  <si>
    <t>{dwMapID=-1,szDisplay="大旗·激流坞",nMaxDistance=3,tRelation={bAll=true,bEnemy=false,bAlly=false,},tLife={bEnable=false,szOperator="&gt;",nValue=0,},},</t>
  </si>
  <si>
    <t>大旗·不空关</t>
  </si>
  <si>
    <t>{dwMapID=-1,szDisplay="大旗·不空关",nMaxDistance=3,tRelation={bAll=true,bEnemy=false,bAlly=false,},tLife={bEnable=false,szOperator="&gt;",nValue=0,},},</t>
  </si>
  <si>
    <t>0,128,255,</t>
  </si>
  <si>
    <t>false,false,false,false,false,false,false,false,false,true,</t>
  </si>
  <si>
    <t>{dwMapID=-1,szDisplay="剧情",nMaxDistance=10,tRelation={bAll=false,bEnemy=false,bAlly=true,},tLife={bEnable=false,szOperator="&gt;",nValue=0,},},</t>
  </si>
  <si>
    <t>{nClass=3,nIcon=13,nFrame=6,szName="对话·李复·选项3·开启快速",nTime=30,key="剧情·提示1",},</t>
  </si>
  <si>
    <t>{nClass=4,nIcon=13,nFrame=5,szName="剧情·提示1",nTime=0,key="剧情·提示1",},</t>
  </si>
  <si>
    <t>{dwMapID=-1,nMaxDistance=6,tRelation={bAll=false,bEnemy=false,bAlly=true,},tLife={bEnable=false,szOperator="&gt;",nValue=0,},},</t>
  </si>
  <si>
    <t>烟花戏·卿重</t>
  </si>
  <si>
    <t>{dwMapID=-1,szDisplay="卿重·烟花戏",nMaxDistance=40,tRelation={bAll=true,bEnemy=false,bAlly=false,},tLife={bEnable=false,szOperator="&gt;",nValue=0,},},</t>
  </si>
  <si>
    <t>{dwMapID=-1,szDisplay="道海·剧情",nMaxDistance=10,tRelation={bAll=false,bEnemy=false,bAlly=true,},tLife={bEnable=false,szOperator="&gt;",nValue=0,},},</t>
  </si>
  <si>
    <t>{dwMapID=-1,nMaxDistance=90,tRelation={bAll=true,bEnemy=false,bAlly=false,},tLife={bEnable=false,szOperator="&gt;",nValue=0,},},</t>
  </si>
  <si>
    <t>{dwMapID=-1,szDisplay="猪九戒·菜园保卫战",nMaxDistance=0,tRelation={bAll=true,bEnemy=false,bAlly=false,},tLife={bEnable=false,szOperator="&gt;",nValue=0,},},</t>
  </si>
  <si>
    <t>大旗·日月崖</t>
  </si>
  <si>
    <t>{dwMapID=-1,szDisplay="大旗·日月崖",nMaxDistance=3,tRelation={bAll=true,bEnemy=false,bAlly=false,},tLife={bEnable=false,szOperator="&gt;",nValue=0,},},</t>
  </si>
  <si>
    <t>大旗·卧龙坡</t>
  </si>
  <si>
    <t>{dwMapID=-1,szDisplay="大旗·卧龙坡",nMaxDistance=3,tRelation={bAll=true,bEnemy=false,bAlly=false,},tLife={bEnable=false,szOperator="&gt;",nValue=0,},},</t>
  </si>
  <si>
    <t>{dwMapID=-1,szDisplay="螃蟹·青蟹",nMaxDistance=10,tRelation={bAll=false,bEnemy=true,bAlly=false,},tLife={bEnable=false,szOperator="&gt;",nValue=0,},},</t>
  </si>
  <si>
    <t>{dwMapID=-1,nMaxDistance=20,tRelation={bAll=true,bEnemy=false,bAlly=false,},tLife={bEnable=false,szOperator="&gt;",nValue=0,},},</t>
  </si>
  <si>
    <t>竹儿</t>
  </si>
  <si>
    <t>{dwMapID=-1,szDisplay="竹儿·孔雀湖",nMaxDistance=6,tRelation={bAll=true,bEnemy=false,bAlly=false,},tLife={bEnable=false,szOperator="&gt;",nValue=0,},},</t>
  </si>
  <si>
    <t>孔雀</t>
  </si>
  <si>
    <t>{dwMapID=-1,szDisplay="孔雀·乌蒙后山",nMaxDistance=50,tRelation={bAll=true,bEnemy=false,bAlly=false,},tLife={bEnable=false,szOperator="&gt;",nValue=0,},},</t>
  </si>
  <si>
    <t>花月马·赛马比赛</t>
  </si>
  <si>
    <t>{dwMapID=-1,szDisplay="花月马·赛马比赛",nMaxDistance=20,tRelation={bAll=true,bEnemy=false,bAlly=false,},tLife={bEnable=false,szOperator="&gt;",nValue=0,},},</t>
  </si>
  <si>
    <t>竹马情·沈笑颜</t>
  </si>
  <si>
    <t>{dwMapID=-1,szDisplay="沈笑颜·竹马情",nMaxDistance=60,tRelation={bAll=true,bEnemy=false,bAlly=false,},tLife={bEnable=false,szOperator="&gt;",nValue=0,},},</t>
  </si>
  <si>
    <t>竹马情·万福</t>
  </si>
  <si>
    <t>{dwMapID=-1,szDisplay="万福·竹马情",nMaxDistance=60,tRelation={bAll=true,bEnemy=false,bAlly=false,},tLife={bEnable=false,szOperator="&gt;",nValue=0,},},</t>
  </si>
  <si>
    <t>竹马情·向万景</t>
  </si>
  <si>
    <t>{dwMapID=-1,szDisplay="向万景·竹马情",nMaxDistance=120,tRelation={bAll=true,bEnemy=false,bAlly=false,},tLife={bEnable=false,szOperator="&gt;",nValue=0,},},</t>
  </si>
  <si>
    <t>{dwMapID=-1,szDisplay="向万景·竹马情",nMaxDistance=90,tRelation={bAll=true,bEnemy=false,bAlly=false,},tLife={bEnable=false,szOperator="&gt;",nValue=0,},},</t>
  </si>
  <si>
    <t>大旗·霜戈堡</t>
  </si>
  <si>
    <t>{dwMapID=-1,szDisplay="大旗·霜戈堡",nMaxDistance=3,tRelation={bAll=true,bEnemy=false,bAlly=false,},tLife={bEnable=false,szOperator="&gt;",nValue=0,},},</t>
  </si>
  <si>
    <t>大旗·澜沧城</t>
  </si>
  <si>
    <t>{dwMapID=-1,szDisplay="大旗·澜沧城",nMaxDistance=3,tRelation={bAll=true,bEnemy=false,bAlly=false,},tLife={bEnable=false,szOperator="&gt;",nValue=0,},},</t>
  </si>
  <si>
    <t>{dwMapID=-1,szDisplay="玛索·门派事件",nMaxDistance=20,tRelation={bAll=true,bEnemy=false,bAlly=false,},tLife={bEnable=false,szOperator="&gt;",nValue=0,},},</t>
  </si>
  <si>
    <t>{dwMapID=-1,szDisplay="公治菱·门派事件",nMaxDistance=120,tRelation={bAll=false,bEnemy=true,bAlly=false,},tLife={bEnable=false,szOperator="&gt;",nValue=0,},},</t>
  </si>
  <si>
    <t>{dwMapID=-1,szDisplay="植尸将·门派事件",nMaxDistance=120,tRelation={bAll=false,bEnemy=true,bAlly=false,},tLife={bEnable=false,szOperator="&gt;",nValue=0,},},</t>
  </si>
  <si>
    <t>{dwMapID=-1,szDisplay="血魂巨蚊·门派事件",nMaxDistance=30,tRelation={bAll=false,bEnemy=true,bAlly=false,},tLife={bEnable=false,szOperator="&gt;",nValue=0,},},</t>
  </si>
  <si>
    <t>{dwMapID=-1,szDisplay="噬魂金虎·门派事件",nMaxDistance=120,tRelation={bAll=false,bEnemy=true,bAlly=false,},tLife={bEnable=false,szOperator="&gt;",nValue=0,},},</t>
  </si>
  <si>
    <t>滇南行·乌苏</t>
  </si>
  <si>
    <t>{dwMapID=-1,szDisplay="乌苏·滇南行",nMaxDistance=60,tRelation={bAll=true,bEnemy=false,bAlly=false,},tLife={bEnable=false,szOperator="&gt;",nValue=0,},},</t>
  </si>
  <si>
    <t>苗淼尔·滇南行</t>
  </si>
  <si>
    <t>{dwMapID=-1,szDisplay="苗淼尔·滇南行",nMaxDistance=60,tRelation={bAll=true,bEnemy=false,bAlly=false,},tLife={bEnable=false,szOperator="&gt;",nValue=0,},},</t>
  </si>
  <si>
    <t>大旗·神池岭</t>
  </si>
  <si>
    <t>{dwMapID=-1,szDisplay="大旗·神池岭",nMaxDistance=3,tRelation={bAll=true,bEnemy=false,bAlly=false,},tLife={bEnable=false,szOperator="&gt;",nValue=0,},},</t>
  </si>
  <si>
    <t>大旗·烈日岗</t>
  </si>
  <si>
    <t>{dwMapID=-1,szDisplay="大旗·烈日岗",nMaxDistance=3,tRelation={bAll=true,bEnemy=false,bAlly=false,},tLife={bEnable=false,szOperator="&gt;",nValue=0,},},</t>
  </si>
  <si>
    <t>{dwMapID=-1,nMaxDistance=20,tRelation={bAll=false,bEnemy=true,bAlly=false,},tLife={bEnable=true,szOperator="&lt;",nValue=100,},},</t>
  </si>
  <si>
    <t>{dwMapID=-1,nMaxDistance=30,tRelation={bAll=false,bEnemy=true,bAlly=false,},tLife={bEnable=false,szOperator="&lt;",nValue=100,},},</t>
  </si>
  <si>
    <t>大旗·凤鸣堡</t>
  </si>
  <si>
    <t>{dwMapID=-1,szDisplay="大旗·凤鸣堡",nMaxDistance=3,tRelation={bAll=true,bEnemy=false,bAlly=false,},tLife={bEnable=false,szOperator="&gt;",nValue=0,},},</t>
  </si>
  <si>
    <t>大旗·惊虬谷</t>
  </si>
  <si>
    <t>{dwMapID=-1,szDisplay="大旗·惊虬谷",nMaxDistance=3,tRelation={bAll=true,bEnemy=false,bAlly=false,},tLife={bEnable=false,szOperator="&gt;",nValue=0,},},</t>
  </si>
  <si>
    <t>{nClass=3,nIcon=17135,nFrame=5,szName="治疗心法记得切输出",nTime=10,nRefresh=3600,},</t>
  </si>
  <si>
    <t>略施援手</t>
  </si>
  <si>
    <t>大旗·大理山城</t>
  </si>
  <si>
    <t>{dwMapID=-1,szDisplay="大旗·大理山城",nMaxDistance=3,tRelation={bAll=true,bEnemy=false,bAlly=false,},tLife={bEnable=false,szOperator="&gt;",nValue=0,},},</t>
  </si>
  <si>
    <t>大旗·千岩关</t>
  </si>
  <si>
    <t>{dwMapID=-1,szDisplay="大旗·千岩关",nMaxDistance=3,tRelation={bAll=true,bEnemy=false,bAlly=false,},tLife={bEnable=false,szOperator="&gt;",nValue=0,},},</t>
  </si>
  <si>
    <t>{dwMapID=-1,szDisplay="传送人",nMaxDistance=30,tRelation={bAll=true,bEnemy=false,bAlly=false,},tLife={bEnable=false,szOperator="&gt;",nValue=0,},},</t>
  </si>
  <si>
    <t>{dwMapID=-1,szDisplay="巫蛊丘祭祀·除邪惩恶",nMaxDistance=90,tRelation={bAll=true,bEnemy=false,bAlly=false,},tLife={bEnable=false,szOperator="&gt;",nValue=0,},},</t>
  </si>
  <si>
    <t>吴为有·石敢当</t>
  </si>
  <si>
    <t>{dwMapID=-1,szDisplay="吴为有·石敢当",nMaxDistance=0,tRelation={bAll=true,bEnemy=false,bAlly=false,},tLife={bEnable=false,szOperator="&gt;",nValue=0,},},</t>
  </si>
  <si>
    <t>{dwMapID=-1,nMaxDistance=60,tRelation={bAll=false,bEnemy=true,bAlly=false,},tLife={bEnable=false,szOperator="&gt;",nValue=0,},},</t>
  </si>
  <si>
    <t>白日梦·木桩</t>
  </si>
  <si>
    <t>{nClass=3,nIcon=17135,nFrame=7,bHold=true,szName="按1·变成木桩",nTime=600,key="奇遇提示2",},</t>
  </si>
  <si>
    <t>{nClass=3,nIcon=17135,nFrame=7,bHold=true,szName="交互·木桩",nTime=600,key="奇遇提示3",},</t>
  </si>
  <si>
    <t>{nClass=4,nIcon=17135,nFrame=7,bHold=true,szName="对话·斐草·完成奇遇",nTime=600,key="奇遇提示2",},</t>
  </si>
  <si>
    <t>{nClass=4,nIcon=17135,nFrame=7,bHold=true,szName="奇遇提示3",nTime=-1,key="奇遇提示3",},</t>
  </si>
  <si>
    <t>false,false,false,false,true,false,false,false,false,false,</t>
  </si>
  <si>
    <t>{nClass=3,nIcon=13,nFrame=6,szName="阴阳咒符·红鼓",nTime=30.8,},</t>
  </si>
  <si>
    <t>true,true,true,true,false,false,false,false,false,false,</t>
  </si>
  <si>
    <t>{nClass=7,nIcon=13,nFrame=5,szName="再生·注意打断·剪刀",nTime=36.4,key="再生",},</t>
  </si>
  <si>
    <t>熊猫·重阳节</t>
  </si>
  <si>
    <t>{dwMapID=-1,szDisplay="唐无寻·门派事件",nMaxDistance=10,tRelation={bAll=false,bEnemy=false,bAlly=true,},tLife={bEnable=false,szOperator="&gt;",nValue=0,},},</t>
  </si>
  <si>
    <t>{dwMapID=-1,szDisplay="唐无寻·阵营",nMaxDistance=10,tRelation={bAll=false,bEnemy=false,bAlly=true,},tLife={bEnable=false,szOperator="&gt;",nValue=0,},},</t>
  </si>
  <si>
    <t>{dwMapID=-1,szDisplay="唐无乐·门派事件",nMaxDistance=10,tRelation={bAll=false,bEnemy=false,bAlly=true,},tLife={bEnable=false,szOperator="&gt;",nValue=0,},},</t>
  </si>
  <si>
    <t>{dwMapID=-1,szDisplay="唐无乐·阵营",nMaxDistance=10,tRelation={bAll=false,bEnemy=false,bAlly=true,},tLife={bEnable=false,szOperator="&gt;",nValue=0,},},</t>
  </si>
  <si>
    <t>{dwMapID=-1,szDisplay="地字玖陆伍·快速",nMaxDistance=50,tRelation={bAll=true,bEnemy=false,bAlly=false,},tLife={bEnable=false,szOperator="&gt;",nValue=0,},},</t>
  </si>
  <si>
    <t>{dwMapID=-1,szDisplay="杨宁·剧情",nMaxDistance=50,tRelation={bAll=true,bEnemy=false,bAlly=false,},tLife={bEnable=false,szOperator="&gt;",nValue=0,},},</t>
  </si>
  <si>
    <t>{dwMapID=-1,szDisplay="天蛛暗杀者·吸蓝",nMaxDistance=0,tRelation={bAll=true,bEnemy=false,bAlly=false,},tLife={bEnable=false,szOperator="&gt;",nValue=0,},},</t>
  </si>
  <si>
    <t>{dwMapID=-1,szDisplay="剧情",nMaxDistance=20,tRelation={bAll=false,bEnemy=false,bAlly=true,},tLife={bEnable=false,szOperator="&gt;",nValue=0,},},</t>
  </si>
  <si>
    <t>{nClass=3,nIcon=13,nFrame=6,szName="对话·月弄痕·选项3·开启快速",nTime=30,key="剧情·提示1",},</t>
  </si>
  <si>
    <t>{nClass=4,nIcon=13,nFrame=5,szName="任务·提示1",nTime=0,key="剧情·提示1",},</t>
  </si>
  <si>
    <t>{dwMapID=-1,szDisplay="剧情",nMaxDistance=20,tRelation={bAll=true,bEnemy=false,bAlly=false,},tLife={bEnable=false,szOperator="&gt;",nValue=0,},},</t>
  </si>
  <si>
    <t>大旗·枫湖寨</t>
  </si>
  <si>
    <t>{dwMapID=-1,szDisplay="大旗·枫湖寨",nMaxDistance=3,tRelation={bAll=true,bEnemy=false,bAlly=false,},tLife={bEnable=false,szOperator="&gt;",nValue=0,},},</t>
  </si>
  <si>
    <t>大旗·啖杏林</t>
  </si>
  <si>
    <t>{dwMapID=-1,szDisplay="大旗·啖杏林",nMaxDistance=3,tRelation={bAll=true,bEnemy=false,bAlly=false,},tLife={bEnable=false,szOperator="&gt;",nValue=0,},},</t>
  </si>
  <si>
    <t>{dwMapID=-1,szDisplay="庄正·传送",nMaxDistance=30,tRelation={bAll=true,bEnemy=false,bAlly=false,},tLife={bEnable=false,szOperator="&gt;",nValue=0,},},</t>
  </si>
  <si>
    <t>{dwMapID=-1,nMaxDistance=5,tRelation={bAll=false,bEnemy=false,bAlly=true,},tLife={bEnable=false,szOperator="&gt;",nValue=0,},},</t>
  </si>
  <si>
    <t>{nClass=12,nIcon=17135,nFrame=0,szName="需要选中红衣邪火浇灭才可结算",nTime=20,key="门派事件1",},</t>
  </si>
  <si>
    <t>{dwMapID=-1,nMaxDistance=3,tRelation={bAll=true,bEnemy=false,bAlly=false,},tLife={bEnable=false,szOperator="&lt;",nValue=100,},},</t>
  </si>
  <si>
    <t>{dwMapID=-1,nMaxDistance=30,tRelation={bAll=true,bEnemy=true,bAlly=false,},tLife={bEnable=false,szOperator="&gt;",nValue=0,},},</t>
  </si>
  <si>
    <t>段方西·阿里</t>
  </si>
  <si>
    <t>{dwMapID=-1,szDisplay="段方西·阿里",nMaxDistance=0,tRelation={bAll=true,bEnemy=false,bAlly=false,},tLife={bEnable=false,szOperator="&gt;",nValue=0,},},</t>
  </si>
  <si>
    <t>{dwMapID=-1,szDisplay="李复·故园风雨",nMaxDistance=120,tRelation={bAll=true,bEnemy=false,bAlly=false,},tLife={bEnable=false,szOperator="&gt;",nValue=0,},},</t>
  </si>
  <si>
    <t>{dwMapID=-1,szDisplay="胖子·茶馆悬赏",nMaxDistance=0,tRelation={bAll=true,bEnemy=false,bAlly=false,},tLife={bEnable=false,szOperator="&gt;",nValue=0,},},</t>
  </si>
  <si>
    <t>{dwMapID=-1,szDisplay="物资车·护卫除追兵",nMaxDistance=60,tRelation={bAll=true,bEnemy=false,bAlly=false,},tLife={bEnable=false,szOperator="&gt;",nValue=0,},},</t>
  </si>
  <si>
    <t>{dwMapID=-1,szDisplay="曹炎烈·公共事件",nMaxDistance=0,tRelation={bAll=true,bEnemy=false,bAlly=false,},tLife={bEnable=false,szOperator="&gt;",nValue=0,},},</t>
  </si>
  <si>
    <t>{dwMapID=-1,szDisplay="求助的流民·心慈手软",nMaxDistance=0,tRelation={bAll=true,bEnemy=false,bAlly=false,},tLife={bEnable=false,szOperator="&gt;",nValue=0,},},</t>
  </si>
  <si>
    <t>隐藏任务·遗愿清单</t>
  </si>
  <si>
    <t>{dwMapID=-1,szDisplay="隐藏任务·遗愿清单",nMaxDistance=40,tRelation={bAll=true,bEnemy=false,bAlly=false,},tLife={bEnable=false,szOperator="&gt;",nValue=0,},},</t>
  </si>
  <si>
    <t>{dwMapID=-1,szDisplay="小乞丐·忠仆的牵挂",nMaxDistance=40,tRelation={bAll=true,bEnemy=false,bAlly=false,},tLife={bEnable=false,szOperator="&gt;",nValue=0,},},</t>
  </si>
  <si>
    <t>隐藏任务·善意的谎言</t>
  </si>
  <si>
    <t>{dwMapID=-1,szDisplay="隐藏任务·善意的谎言",nMaxDistance=30,tRelation={bAll=true,bEnemy=false,bAlly=false,},tLife={bEnable=false,szOperator="&gt;",nValue=0,},},</t>
  </si>
  <si>
    <t>苏恨林</t>
  </si>
  <si>
    <t>{nClass=3,nIcon=17135,nFrame=0,szName="苏恨林·快速交互3次",nTime=30,key="任务提示1",},</t>
  </si>
  <si>
    <t>[善意的谎言]</t>
  </si>
  <si>
    <t>{dwMapID=-1,szDisplay="张巡·善意的谎言",nMaxDistance=60,tRelation={bAll=true,bEnemy=false,bAlly=false,},tLife={bEnable=false,szOperator="&gt;",nValue=0,},},</t>
  </si>
  <si>
    <t>永安行·声望·叶紫琼</t>
  </si>
  <si>
    <t>{dwMapID=-1,szDisplay="永安行·九邬碧玉",nMaxDistance=30,tRelation={bAll=true,bEnemy=false,bAlly=false,},tLife={bEnable=false,szOperator="&gt;",nValue=0,},},</t>
  </si>
  <si>
    <t>屠狼令：东都之难！</t>
  </si>
  <si>
    <t>兔江湖</t>
  </si>
  <si>
    <t>{dwMapID=-1,szDisplay="神秘人·兔江湖",nMaxDistance=10,tRelation={bAll=true,bEnemy=false,bAlly=false,},tLife={bEnable=false,szOperator="&gt;",nValue=0,},},</t>
  </si>
  <si>
    <t>{dwMapID=-1,szDisplay="阎规·兔江湖",nMaxDistance=0,tRelation={bAll=true,bEnemy=false,bAlly=false,},tLife={bEnable=false,szOperator="&gt;",nValue=0,},},</t>
  </si>
  <si>
    <t>{dwMapID=-1,szDisplay="鲁小兔·兔江湖",nMaxDistance=0,tRelation={bAll=true,bEnemy=false,bAlly=false,},tLife={bEnable=false,szOperator="&gt;",nValue=0,},},</t>
  </si>
  <si>
    <t>陆烟儿·隐藏任务</t>
  </si>
  <si>
    <t>{dwMapID=-1,szDisplay="陆烟儿·隐藏任务",nMaxDistance=10,tRelation={bAll=true,bEnemy=false,bAlly=false,},tLife={bEnable=false,szOperator="&gt;",nValue=0,},},</t>
  </si>
  <si>
    <t>大旗·扶风郡</t>
  </si>
  <si>
    <t>{dwMapID=-1,szDisplay="大旗·扶风郡",nMaxDistance=3,tRelation={bAll=true,bEnemy=false,bAlly=false,},tLife={bEnable=false,szOperator="&gt;",nValue=0,},},</t>
  </si>
  <si>
    <t>大旗·世外坡</t>
  </si>
  <si>
    <t>{dwMapID=-1,szDisplay="大旗·世外坡",nMaxDistance=3,tRelation={bAll=true,bEnemy=false,bAlly=false,},tLife={bEnable=false,szOperator="&gt;",nValue=0,},},</t>
  </si>
  <si>
    <t>0,255,225,</t>
  </si>
  <si>
    <t>{dwMapID=-1,szDisplay="隐藏任务",nMaxDistance=10,tRelation={bAll=true,bEnemy=false,bAlly=false,},tLife={bEnable=false,szOperator="&gt;",nValue=0,},},</t>
  </si>
  <si>
    <t>{dwMapID=-1,szDisplay="小姨",nMaxDistance=6,tRelation={bAll=true,bEnemy=false,bAlly=false,},tLife={bEnable=false,szOperator="&gt;",nValue=0,},},</t>
  </si>
  <si>
    <t>{dwMapID=-1,szDisplay="隐藏任务·方士5级",nMaxDistance=0,tRelation={bAll=true,bEnemy=false,bAlly=false,},tLife={bEnable=false,szOperator="&gt;",nValue=0,},},</t>
  </si>
  <si>
    <t>{dwMapID=-1,nMaxDistance=0,tRelation={bAll=false,bEnemy=false,bAlly=true,},tLife={bEnable=false,szOperator="&gt;",nValue=0,},},</t>
  </si>
  <si>
    <t>{dwMapID=-1,nMaxDistance=20,tRelation={bAll=false,bEnemy=true,bAlly=false,},tLife={bEnable=true,szOperator="&gt;",nValue=1,},},</t>
  </si>
  <si>
    <t>{dwMapID=-1,nMaxDistance=30,tRelation={bAll=false,bEnemy=false,bAlly=true,},tLife={bEnable=false,szOperator="&gt;",nValue=0,},},</t>
  </si>
  <si>
    <t>{dwMapID=-1,nMaxDistance=10,tRelation={bAll=false,bEnemy=true,bAlly=false,},tLife={bEnable=false,szOperator="&gt;",nValue=0,},},</t>
  </si>
  <si>
    <t>门派事件·丐帮</t>
  </si>
  <si>
    <t>{dwMapID=-1,nMaxDistance=60,tRelation={bAll=false,bEnemy=false,bAlly=true,},tLife={bEnable=false,szOperator="&gt;",nValue=0,},},</t>
  </si>
  <si>
    <t>门派事件·君山烈岩龟</t>
  </si>
  <si>
    <t>{dwMapID=-1,szDisplay="丐帮弟子·剧情",nMaxDistance=20,tRelation={bAll=true,bEnemy=false,bAlly=false,},tLife={bEnable=false,szOperator="&gt;",nValue=0,},},</t>
  </si>
  <si>
    <t>{dwMapID=-1,szDisplay="张翼勋·剧情",nMaxDistance=60,tRelation={bAll=true,bEnemy=false,bAlly=false,},tLife={bEnable=false,szOperator="&gt;",nValue=0,},},</t>
  </si>
  <si>
    <t>{dwMapID=-1,szDisplay="孟可儿·剧情",nMaxDistance=60,tRelation={bAll=true,bEnemy=false,bAlly=false,},tLife={bEnable=false,szOperator="&gt;",nValue=0,},},</t>
  </si>
  <si>
    <t>{dwMapID=-1,szDisplay="尹放·剧情",nMaxDistance=0,tRelation={bAll=true,bEnemy=false,bAlly=false,},tLife={bEnable=false,szOperator="&gt;",nValue=0,},},</t>
  </si>
  <si>
    <t>{dwMapID=-1,szDisplay="侍女·故园风雨",nMaxDistance=20,tRelation={bAll=true,bEnemy=false,bAlly=false,},tLife={bEnable=false,szOperator="&gt;",nValue=0,},},</t>
  </si>
  <si>
    <t>{dwMapID=-1,szDisplay="老仆人·故园风雨",nMaxDistance=40,tRelation={bAll=true,bEnemy=false,bAlly=false,},tLife={bEnable=false,szOperator="&gt;",nValue=0,},},</t>
  </si>
  <si>
    <t>寻宝鼠·洞穴</t>
  </si>
  <si>
    <t>{dwMapID=-1,szDisplay="寻宝鼠·洞穴",nMaxDistance=20,tRelation={bAll=true,bEnemy=false,bAlly=false,},tLife={bEnable=false,szOperator="&gt;",nValue=0,},},</t>
  </si>
  <si>
    <t>{dwMapID=-1,szDisplay="受伤的女子·故园风雨",nMaxDistance=60,tRelation={bAll=true,bEnemy=false,bAlly=false,},tLife={bEnable=false,szOperator="&gt;",nValue=0,},},</t>
  </si>
  <si>
    <t>{dwMapID=-1,szDisplay="地牢守卫精锐·故园风雨",nMaxDistance=15,tRelation={bAll=true,bEnemy=false,bAlly=false,},tLife={bEnable=false,szOperator="&gt;",nValue=0,},},</t>
  </si>
  <si>
    <t>{dwMapID=-1,szDisplay="秋叶青·故园风雨",nMaxDistance=20,tRelation={bAll=true,bEnemy=false,bAlly=false,},tLife={bEnable=false,szOperator="&gt;",nValue=0,},},</t>
  </si>
  <si>
    <t>{dwMapID=-1,nMaxDistance=21,tRelation={bAll=true,bEnemy=false,bAlly=false,},tLife={bEnable=false,szOperator="&gt;",nValue=0,},},</t>
  </si>
  <si>
    <t>{dwMapID=-1,szDisplay="那岚·服装5:15",nMaxDistance=3,tRelation={bAll=true,bEnemy=false,bAlly=false,},tLife={bEnable=false,szOperator="&gt;",nValue=0,},},</t>
  </si>
  <si>
    <t>{dwMapID=-1,szDisplay="马台·兵器20:40",nMaxDistance=3,tRelation={bAll=true,bEnemy=false,bAlly=false,},tLife={bEnable=false,szOperator="&gt;",nValue=0,},},</t>
  </si>
  <si>
    <t>{dwMapID=-1,szDisplay="上官武·兵器20:40",nMaxDistance=3,tRelation={bAll=true,bEnemy=false,bAlly=false,},tLife={bEnable=false,szOperator="&gt;",nValue=0,},},</t>
  </si>
  <si>
    <t>{dwMapID=-1,szDisplay="上官城·防具20:40",nMaxDistance=3,tRelation={bAll=true,bEnemy=false,bAlly=false,},tLife={bEnable=false,szOperator="&gt;",nValue=0,},},</t>
  </si>
  <si>
    <t>{dwMapID=-1,szDisplay="纪天和·茶叶4:16",nMaxDistance=3,tRelation={bAll=true,bEnemy=false,bAlly=false,},tLife={bEnable=false,szOperator="&gt;",nValue=0,},},</t>
  </si>
  <si>
    <t>{dwMapID=-1,szDisplay="孙正祥·水果1:8",nMaxDistance=3,tRelation={bAll=true,bEnemy=false,bAlly=false,},tLife={bEnable=false,szOperator="&gt;",nValue=0,},},</t>
  </si>
  <si>
    <t>{dwMapID=-1,szDisplay="路华容·小吃1:8",nMaxDistance=3,tRelation={bAll=true,bEnemy=false,bAlly=false,},tLife={bEnable=false,szOperator="&gt;",nValue=0,},},</t>
  </si>
  <si>
    <t>{dwMapID=-1,szDisplay="严曲·瓜子1:8",nMaxDistance=3,tRelation={bAll=true,bEnemy=false,bAlly=false,},tLife={bEnable=false,szOperator="&gt;",nValue=0,},},</t>
  </si>
  <si>
    <t>{dwMapID=-1,szDisplay="陈颜·水果1:8",nMaxDistance=3,tRelation={bAll=true,bEnemy=false,bAlly=false,},tLife={bEnable=false,szOperator="&gt;",nValue=0,},},</t>
  </si>
  <si>
    <t>{dwMapID=-1,szDisplay="石青·药材2:10",nMaxDistance=3,tRelation={bAll=true,bEnemy=false,bAlly=false,},tLife={bEnable=false,szOperator="&gt;",nValue=0,},},</t>
  </si>
  <si>
    <t>{dwMapID=-1,szDisplay="春香·稀粥0:1",nMaxDistance=3,tRelation={bAll=true,bEnemy=false,bAlly=false,},tLife={bEnable=false,szOperator="&gt;",nValue=0,},},</t>
  </si>
  <si>
    <t>{dwMapID=-1,szDisplay="龙兴昌·兵器20:40",nMaxDistance=3,tRelation={bAll=true,bEnemy=false,bAlly=false,},tLife={bEnable=false,szOperator="&gt;",nValue=0,},},</t>
  </si>
  <si>
    <t>{dwMapID=-1,szDisplay="马安然·盔甲20:40",nMaxDistance=3,tRelation={bAll=true,bEnemy=false,bAlly=false,},tLife={bEnable=false,szOperator="&gt;",nValue=0,},},</t>
  </si>
  <si>
    <t>{dwMapID=-1,szDisplay="张老汉·调料5:15",nMaxDistance=3,tRelation={bAll=true,bEnemy=false,bAlly=false,},tLife={bEnable=false,szOperator="&gt;",nValue=0,},},</t>
  </si>
  <si>
    <t>{dwMapID=-1,szDisplay="勾才·胡饼5:15",nMaxDistance=3,tRelation={bAll=true,bEnemy=false,bAlly=false,},tLife={bEnable=false,szOperator="&gt;",nValue=0,},},</t>
  </si>
  <si>
    <t>{dwMapID=-1,szDisplay="红姗姗·稀粥0:1",nMaxDistance=3,tRelation={bAll=true,bEnemy=false,bAlly=false,},tLife={bEnable=false,szOperator="&gt;",nValue=0,},},</t>
  </si>
  <si>
    <t>{dwMapID=-1,szDisplay="贾子·药材2:10",nMaxDistance=3,tRelation={bAll=true,bEnemy=false,bAlly=false,},tLife={bEnable=false,szOperator="&gt;",nValue=0,},},</t>
  </si>
  <si>
    <t>{dwMapID=-1,szDisplay="东居先生·药材2:10",nMaxDistance=3,tRelation={bAll=true,bEnemy=false,bAlly=false,},tLife={bEnable=false,szOperator="&gt;",nValue=0,},},</t>
  </si>
  <si>
    <t>{dwMapID=-1,szDisplay="蔡瑾·胡饼5:15",nMaxDistance=3,tRelation={bAll=true,bEnemy=false,bAlly=false,},tLife={bEnable=false,szOperator="&gt;",nValue=0,},},</t>
  </si>
  <si>
    <t>{dwMapID=-1,nMaxDistance=5,tRelation={bAll=true,bEnemy=false,bAlly=false,},tLife={bEnable=false,szOperator="&gt;",nValue=0,},},</t>
  </si>
  <si>
    <t>{dwMapID=-1,szDisplay="崔玲·服装5:15",nMaxDistance=10,tRelation={bAll=true,bEnemy=false,bAlly=false,},tLife={bEnable=false,szOperator="&gt;",nValue=0,},},</t>
  </si>
  <si>
    <t>{dwMapID=-1,szDisplay="袁木兰·服装5:15",nMaxDistance=3,tRelation={bAll=true,bEnemy=false,bAlly=false,},tLife={bEnable=false,szOperator="&gt;",nValue=0,},},</t>
  </si>
  <si>
    <t>{nClass=3,nIcon=57,nFrame=5,szName="技能三·坐困愁城·愁城冰柱",nTime=8,key="坐困愁城",},</t>
  </si>
  <si>
    <t>{nClass=11,nIcon=57,nFrame=5,szName="技能三·坐困愁城·愁城冰柱",nTime=0,key="坐困愁城",},</t>
  </si>
  <si>
    <t>false,false,false,true,false,false,false,false,false,false,</t>
  </si>
  <si>
    <t>{nClass=3,nIcon=7368,nFrame=3,szName="",nTime="60,十二相·申酉戌亥;100,下一次·子丑寅卯;",nRefresh=0,key="P2",},</t>
  </si>
  <si>
    <t>{nClass=3,nIcon=47,nFrame=5,szName="技能六·傲物苍生·召唤",nTime=5,key="傲物苍生",},</t>
  </si>
  <si>
    <t>{nClass=3,nIcon=7342,nFrame=3,szName="",nTime="60,十二相·辰巳午未;100,下一次·申酉戌亥;",nRefresh=0,key="P2",},</t>
  </si>
  <si>
    <t>{nClass=3,nIcon=7277,nFrame=3,szName="",nTime="60,十二相·子丑寅卯;100,下一次·辰巳午未;",nRefresh=0,key="P2",},</t>
  </si>
  <si>
    <t>true,true,true,true,true,true,true,true,true,true,</t>
  </si>
  <si>
    <t>{nClass=3,nIcon=47,nFrame=5,szName="技能七·欲彰邪影·邪影",nTime=5,key="欲彰邪影",},</t>
  </si>
  <si>
    <t>{dwMapID=-1,szDisplay="传送·入口",nMaxDistance=30,tRelation={bAll=true,bEnemy=false,bAlly=false,},tLife={bEnable=false,szOperator="&gt;",nValue=0,},},</t>
  </si>
  <si>
    <t>董不白·故园风雨</t>
  </si>
  <si>
    <t>{dwMapID=-1,szDisplay="董不白·故园风雨",nMaxDistance=60,tRelation={bAll=true,bEnemy=false,bAlly=false,},tLife={bEnable=false,szOperator="&gt;",nValue=0,},},</t>
  </si>
  <si>
    <t>{dwMapID=-1,szDisplay="燕安·门派事件",nMaxDistance=0,tRelation={bAll=true,bEnemy=false,bAlly=false,},tLife={bEnable=false,szOperator="&gt;",nValue=0,},},</t>
  </si>
  <si>
    <t>{dwMapID=-1,szDisplay="燕甲·门派事件",nMaxDistance=20,tRelation={bAll=true,bEnemy=false,bAlly=false,},tLife={bEnable=false,szOperator="&gt;",nValue=0,},},</t>
  </si>
  <si>
    <t>{dwMapID=-1,szDisplay="燕苍·门派事件",nMaxDistance=5,tRelation={bAll=true,bEnemy=false,bAlly=false,},tLife={bEnable=false,szOperator="&gt;",nValue=0,},},</t>
  </si>
  <si>
    <t>高分球+8</t>
  </si>
  <si>
    <t>{dwMapID=-1,szDisplay="高分球",nMaxDistance=30,tRelation={bAll=true,bEnemy=false,bAlly=false,},tLife={bEnable=false,szOperator="&gt;",nValue=0,},},</t>
  </si>
  <si>
    <t>{dwMapID=-1,szDisplay="燕玄·门派事件",nMaxDistance=20,tRelation={bAll=true,bEnemy=false,bAlly=false,},tLife={bEnable=false,szOperator="&gt;",nValue=0,},},</t>
  </si>
  <si>
    <t>{dwMapID=-1,szDisplay="燕云·门派事件",nMaxDistance=30,tRelation={bAll=true,bEnemy=false,bAlly=false,},tLife={bEnable=false,szOperator="&gt;",nValue=0,},},</t>
  </si>
  <si>
    <t>{dwMapID=-1,szDisplay="燕军·门派事件",nMaxDistance=40,tRelation={bAll=true,bEnemy=false,bAlly=false,},tLife={bEnable=false,szOperator="&gt;",nValue=0,},},</t>
  </si>
  <si>
    <t>{dwMapID=-1,szDisplay="燕盛·门派事件",nMaxDistance=19,tRelation={bAll=true,bEnemy=false,bAlly=false,},tLife={bEnable=false,szOperator="&gt;",nValue=0,},},</t>
  </si>
  <si>
    <t>{dwMapID=-1,szDisplay="燕宁·门派事件",nMaxDistance=0,tRelation={bAll=true,bEnemy=false,bAlly=false,},tLife={bEnable=false,szOperator="&gt;",nValue=0,},},</t>
  </si>
  <si>
    <t>{dwMapID=-1,szDisplay="偷矿贼人·门派事件",nMaxDistance=20,tRelation={bAll=false,bEnemy=true,bAlly=false,},tLife={bEnable=false,szOperator="&gt;",nValue=0,},},</t>
  </si>
  <si>
    <t>{dwMapID=-1,szDisplay="穿山甲·门派事件",nMaxDistance=20,tRelation={bAll=false,bEnemy=true,bAlly=false,},tLife={bEnable=false,szOperator="&gt;",nValue=0,},},</t>
  </si>
  <si>
    <t>{dwMapID=-1,szDisplay="食矿之虫·门派事件",nMaxDistance=20,tRelation={bAll=false,bEnemy=true,bAlly=false,},tLife={bEnable=false,szOperator="&gt;",nValue=0,},},</t>
  </si>
  <si>
    <t>{dwMapID=-1,szDisplay="萨楚日·门派事件",nMaxDistance=0,tRelation={bAll=true,bEnemy=false,bAlly=false,},tLife={bEnable=false,szOperator="&gt;",nValue=0,},},</t>
  </si>
  <si>
    <t>{dwMapID=-1,szDisplay="塔拉·门派事件",nMaxDistance=0,tRelation={bAll=true,bEnemy=false,bAlly=false,},tLife={bEnable=false,szOperator="&gt;",nValue=0,},},</t>
  </si>
  <si>
    <t>{dwMapID=-1,szDisplay="奚人炮车·门派事件",nMaxDistance=25,tRelation={bAll=true,bEnemy=false,bAlly=false,},tLife={bEnable=false,szOperator="&gt;",nValue=0,},},</t>
  </si>
  <si>
    <t>{dwMapID=-1,szDisplay="唐和斯·门派事件",nMaxDistance=0,tRelation={bAll=true,bEnemy=false,bAlly=false,},tLife={bEnable=false,szOperator="&gt;",nValue=0,},},</t>
  </si>
  <si>
    <t>申屠远·门派事件</t>
  </si>
  <si>
    <t>{dwMapID=-1,szDisplay="锡喇·门派事件",nMaxDistance=0,tRelation={bAll=true,bEnemy=false,bAlly=false,},tLife={bEnable=false,szOperator="&gt;",nValue=0,},},</t>
  </si>
  <si>
    <t>{dwMapID=-1,szDisplay="锡尔哈·门派事件",nMaxDistance=0,tRelation={bAll=true,bEnemy=false,bAlly=false,},tLife={bEnable=false,szOperator="&gt;",nValue=0,},},</t>
  </si>
  <si>
    <t>{dwMapID=-1,szDisplay="库莫·门派事件",nMaxDistance=0,tRelation={bAll=true,bEnemy=false,bAlly=false,},tLife={bEnable=false,szOperator="&gt;",nValue=0,},},</t>
  </si>
  <si>
    <t>长孙忘情·门派事件</t>
  </si>
  <si>
    <t>{dwMapID=-1,szDisplay="褚禾·阴山商路",nMaxDistance=30,tRelation={bAll=true,bEnemy=false,bAlly=false,},tLife={bEnable=false,szOperator="&gt;",nValue=0,},},</t>
  </si>
  <si>
    <t>{nClass=3,nIcon=3872,nFrame=5,szName="{$N45043}·记得切心法",nTime=10,},</t>
  </si>
  <si>
    <t>{dwMapID=-1,szDisplay="盔甲·4次",nMaxDistance=30,tRelation={bAll=true,bEnemy=false,bAlly=false,},tLife={bEnable=false,szOperator="&gt;",nValue=0,},},</t>
  </si>
  <si>
    <t>{dwMapID=-1,szDisplay="木材·盔甲·4次",nMaxDistance=10,tRelation={bAll=true,bEnemy=false,bAlly=false,},tLife={bEnable=false,szOperator="&gt;",nValue=0,},},</t>
  </si>
  <si>
    <t>{dwMapID=-1,szDisplay="杉木·盔甲",nMaxDistance=6,tRelation={bAll=true,bEnemy=false,bAlly=false,},tLife={bEnable=false,szOperator="&gt;",nValue=0,},},</t>
  </si>
  <si>
    <t>{nClass=3,nIcon=13,nFrame=5,szName="石萧翼·已刷新",nTime=5,key="公共事件1",},</t>
  </si>
  <si>
    <t>汾桥·王菲菲</t>
  </si>
  <si>
    <t>{dwMapID=-1,szDisplay="王菲菲·50分",nMaxDistance=30,tRelation={bAll=true,bEnemy=false,bAlly=false,},tLife={bEnable=false,szOperator="&gt;",nValue=0,},},</t>
  </si>
  <si>
    <t>{dwMapID=-1,szDisplay="郜孝严·60分",nMaxDistance=0,tRelation={bAll=true,bEnemy=false,bAlly=false,},tLife={bEnable=false,szOperator="&gt;",nValue=0,},},</t>
  </si>
  <si>
    <t>牛延阶营寨·尤肖杰</t>
  </si>
  <si>
    <t>{dwMapID=-1,szDisplay="尤肖杰·60分",nMaxDistance=0,tRelation={bAll=true,bEnemy=false,bAlly=false,},tLife={bEnable=false,szOperator="&gt;",nValue=0,},},</t>
  </si>
  <si>
    <t>蔡希德营寨·德霄财</t>
  </si>
  <si>
    <t>{dwMapID=-1,szDisplay="德霄财·60分",nMaxDistance=0,tRelation={bAll=true,bEnemy=false,bAlly=false,},tLife={bEnable=false,szOperator="&gt;",nValue=0,},},</t>
  </si>
  <si>
    <t>{dwMapID=-1,szDisplay="神机雷",nMaxDistance=10,tRelation={bAll=true,bEnemy=false,bAlly=false,},tLife={bEnable=false,szOperator="&gt;",nValue=0,},},</t>
  </si>
  <si>
    <t>阴山商路</t>
  </si>
  <si>
    <t>{dwMapID=-1,szDisplay="木博·阴山商路补货",nMaxDistance=20,tRelation={bAll=true,bEnemy=false,bAlly=false,},tLife={bEnable=false,szOperator="&gt;",nValue=0,},},</t>
  </si>
  <si>
    <t>无遮会·声望</t>
  </si>
  <si>
    <t>{dwMapID=-1,szDisplay="无遮会·九邬碧玉",nMaxDistance=50,tRelation={bAll=true,bEnemy=false,bAlly=false,},tLife={bEnable=false,szOperator="&gt;",nValue=0,},},</t>
  </si>
  <si>
    <t>{dwMapID=-1,szDisplay="无神·运势",nMaxDistance=10,tRelation={bAll=true,bEnemy=false,bAlly=false,},tLife={bEnable=false,szOperator="&gt;",nValue=0,},},</t>
  </si>
  <si>
    <t>{dwMapID=-1,szDisplay="僧人·移速",nMaxDistance=20,tRelation={bAll=true,bEnemy=false,bAlly=false,},tLife={bEnable=false,szOperator="&gt;",nValue=0,},},</t>
  </si>
  <si>
    <t>{dwMapID=-1,szDisplay="僧人·调息",nMaxDistance=20,tRelation={bAll=true,bEnemy=false,bAlly=false,},tLife={bEnable=false,szOperator="&gt;",nValue=0,},},</t>
  </si>
  <si>
    <t>{dwMapID=-1,szDisplay="移速",nMaxDistance=6,tRelation={bAll=true,bEnemy=false,bAlly=false,},tLife={bEnable=false,szOperator="&gt;",nValue=0,},},</t>
  </si>
  <si>
    <t>{dwMapID=-1,szDisplay="调息",nMaxDistance=6,tRelation={bAll=true,bEnemy=false,bAlly=false,},tLife={bEnable=false,szOperator="&gt;",nValue=0,},},</t>
  </si>
  <si>
    <t>千岛湖·温泉战倭</t>
  </si>
  <si>
    <t>{dwMapID=-1,szDisplay="上交毛巾·25个",nMaxDistance=40,tRelation={bAll=true,bEnemy=false,bAlly=false,},tLife={bEnable=false,szOperator="&gt;",nValue=0,},},</t>
  </si>
  <si>
    <t>{dwMapID=-1,szDisplay="小野次郎·80分",nMaxDistance=0,tRelation={bAll=false,bEnemy=true,bAlly=false,},tLife={bEnable=false,szOperator="&gt;",nValue=0,},},</t>
  </si>
  <si>
    <t>沉甸甸的箱子·石敢当</t>
  </si>
  <si>
    <t>{dwMapID=-1,szDisplay="沉甸甸的箱子·石敢当",nMaxDistance=20,tRelation={bAll=true,bEnemy=false,bAlly=false,},tLife={bEnable=false,szOperator="&gt;",nValue=0,},},</t>
  </si>
  <si>
    <t>胜负局·航小婷</t>
  </si>
  <si>
    <t>{dwMapID=-1,szDisplay="航小婷·胜负局",nMaxDistance=30,tRelation={bAll=true,bEnemy=false,bAlly=false,},tLife={bEnable=false,szOperator="&gt;",nValue=0,},},</t>
  </si>
  <si>
    <t>胜负局·封博安</t>
  </si>
  <si>
    <t>{dwMapID=-1,szDisplay="封博安·胜负局",nMaxDistance=60,tRelation={bAll=true,bEnemy=false,bAlly=false,},tLife={bEnable=false,szOperator="&gt;",nValue=0,},},</t>
  </si>
  <si>
    <t>胜负局·棋局</t>
  </si>
  <si>
    <t>{dwMapID=-1,szDisplay="棋局·胜负局",nMaxDistance=6,tRelation={bAll=true,bEnemy=false,bAlly=false,},tLife={bEnable=false,szOperator="&gt;",nValue=0,},},</t>
  </si>
  <si>
    <t>胜负局·邢簿征</t>
  </si>
  <si>
    <t>{dwMapID=-1,szDisplay="邢簿征·胜负局",nMaxDistance=10,tRelation={bAll=true,bEnemy=false,bAlly=false,},tLife={bEnable=false,szOperator="&gt;",nValue=0,},},</t>
  </si>
  <si>
    <t>胜负局·云定风</t>
  </si>
  <si>
    <t>{dwMapID=-1,szDisplay="云定风·胜负局",nMaxDistance=60,tRelation={bAll=true,bEnemy=false,bAlly=false,},tLife={bEnable=false,szOperator="&gt;",nValue=0,},},</t>
  </si>
  <si>
    <t>石林马场·捐马</t>
  </si>
  <si>
    <t>{dwMapID=-1,szDisplay="石林马场·捐马",nMaxDistance=20,tRelation={bAll=true,bEnemy=false,bAlly=false,},tLife={bEnable=false,szOperator="&gt;",nValue=0,},},</t>
  </si>
  <si>
    <t>{dwMapID=-1,szDisplay="交金刀·面纱",nMaxDistance=40,tRelation={bAll=true,bEnemy=false,bAlly=false,},tLife={bEnable=false,szOperator="&gt;",nValue=0,},},</t>
  </si>
  <si>
    <t>10分</t>
  </si>
  <si>
    <t>{dwMapID=-1,szDisplay="交烤羊腿",nMaxDistance=40,tRelation={bAll=true,bEnemy=false,bAlly=false,},tLife={bEnable=false,szOperator="&gt;",nValue=0,},},</t>
  </si>
  <si>
    <t>阴山大草原放牧·小小</t>
  </si>
  <si>
    <t>{dwMapID=-1,szDisplay="小小·放牧",nMaxDistance=10,tRelation={bAll=true,bEnemy=false,bAlly=false,},tLife={bEnable=false,szOperator="&gt;",nValue=0,},},</t>
  </si>
  <si>
    <t>大旗·云台营</t>
  </si>
  <si>
    <t>{dwMapID=-1,szDisplay="大旗·云台营",nMaxDistance=20,tRelation={bAll=true,bEnemy=false,bAlly=false,},tLife={bEnable=false,szOperator="&gt;",nValue=0,},},</t>
  </si>
  <si>
    <t>大旗·高阳营</t>
  </si>
  <si>
    <t>{dwMapID=-1,szDisplay="大旗·高阳营",nMaxDistance=20,tRelation={bAll=true,bEnemy=false,bAlly=false,},tLife={bEnable=false,szOperator="&gt;",nValue=0,},},</t>
  </si>
  <si>
    <t>烽烟再起·蒋征南</t>
  </si>
  <si>
    <t>{dwMapID=-1,szDisplay="蒋征南·烽烟再起",nMaxDistance=10,tRelation={bAll=false,bEnemy=false,bAlly=true,},tLife={bEnable=false,szOperator="&gt;",nValue=0,},},</t>
  </si>
  <si>
    <t>烽烟再起·郭戈</t>
  </si>
  <si>
    <t>{dwMapID=-1,szDisplay="郭戈·烽烟再起",nMaxDistance=10,tRelation={bAll=false,bEnemy=false,bAlly=true,},tLife={bEnable=false,szOperator="&gt;",nValue=0,},},</t>
  </si>
  <si>
    <t>{dwMapID=-1,szDisplay="夏洛特·阴山商路补货",nMaxDistance=20,tRelation={bAll=true,bEnemy=false,bAlly=false,},tLife={bEnable=false,szOperator="&gt;",nValue=0,},},</t>
  </si>
  <si>
    <t>{dwMapID=-1,nMaxDistance=40,tRelation={bAll=true,bEnemy=false,bAlly=false,},tLife={bEnable=false,szOperator="&gt;",nValue=0,},},</t>
  </si>
  <si>
    <t>恶人谷大将</t>
  </si>
  <si>
    <t>浩气盟大将</t>
  </si>
  <si>
    <t>小珍</t>
  </si>
  <si>
    <t>{dwMapID=-1,szDisplay="分线·传送",nMaxDistance=6,tRelation={bAll=false,bEnemy=false,bAlly=true,},tLife={bEnable=false,szOperator="&gt;",nValue=0,},},</t>
  </si>
  <si>
    <t>小曾</t>
  </si>
  <si>
    <t>黑水城·九邬碧玉</t>
  </si>
  <si>
    <t>{dwMapID=-1,szDisplay="黑水城·九邬碧玉",nMaxDistance=60,tRelation={bAll=true,bEnemy=false,bAlly=false,},tLife={bEnable=false,szOperator="&gt;",nValue=0,},},</t>
  </si>
  <si>
    <t>草堆46997{$N46997}</t>
  </si>
  <si>
    <t>{dwMapID=-1,szDisplay="草堆",nMaxDistance=20,tRelation={bAll=true,bEnemy=false,bAlly=false,},tLife={bEnable=false,szOperator="&gt;",nValue=0,},},</t>
  </si>
  <si>
    <t>草堆46995{$N46995}</t>
  </si>
  <si>
    <t>大唐军马场·捐马</t>
  </si>
  <si>
    <t>{dwMapID=-1,szDisplay="大唐军马场·捐马",nMaxDistance=20,tRelation={bAll=true,bEnemy=false,bAlly=false,},tLife={bEnable=false,szOperator="&gt;",nValue=0,},},</t>
  </si>
  <si>
    <t>黑戈壁放牧·李戈</t>
  </si>
  <si>
    <t>{dwMapID=-1,szDisplay="李戈·放牧",nMaxDistance=10,tRelation={bAll=true,bEnemy=false,bAlly=false,},tLife={bEnable=false,szOperator="&gt;",nValue=0,},},</t>
  </si>
  <si>
    <t>谷艾</t>
  </si>
  <si>
    <t>{dwMapID=-1,szDisplay="谷艾·阴山商路主簿",nMaxDistance=20,tRelation={bAll=false,bEnemy=false,bAlly=true,},tLife={bEnable=false,szOperator="&gt;",nValue=0,},},</t>
  </si>
  <si>
    <t>宋涛</t>
  </si>
  <si>
    <t>{dwMapID=-1,szDisplay="宋涛·阴山商路主簿",nMaxDistance=20,tRelation={bAll=false,bEnemy=false,bAlly=true,},tLife={bEnable=false,szOperator="&gt;",nValue=0,},},</t>
  </si>
  <si>
    <t>精金阁·神都玉佩</t>
  </si>
  <si>
    <t>{dwMapID=-1,szDisplay="精金阁·神都玉佩",nMaxDistance=60,tRelation={bAll=true,bEnemy=false,bAlly=false,},tLife={bEnable=false,szOperator="&gt;",nValue=0,},},</t>
  </si>
  <si>
    <t>郭子仪部·靖武</t>
  </si>
  <si>
    <t>{dwMapID=-1,szDisplay="郭子仪部·靖武·神都玉佩",nMaxDistance=60,tRelation={bAll=true,bEnemy=false,bAlly=false,},tLife={bEnable=false,szOperator="&gt;",nValue=0,},},</t>
  </si>
  <si>
    <t>狼牙军服·5:1</t>
  </si>
  <si>
    <t>{dwMapID=-1,szDisplay="瑶瑶·狼牙军服·20件",nMaxDistance=30,tRelation={bAll=true,bEnemy=false,bAlly=false,},tLife={bEnable=false,szOperator="&gt;",nValue=0,},},</t>
  </si>
  <si>
    <t>洛阳神兵暗角逐</t>
  </si>
  <si>
    <t>{nClass=12,nIcon=17135,nFrame=5,szName="门派事件·{$N55356}",nTime=0,key="门派事件·{$N55356}",},</t>
  </si>
  <si>
    <t>{nClass=11,nIcon=17135,nFrame=5,szName="门派事件·{$N55356}",nTime=0,key="门派事件·{$N55356}",},</t>
  </si>
  <si>
    <t>{dwMapID=-1,szDisplay="柳辰苇·门派事件",nMaxDistance=20,tRelation={bAll=true,bEnemy=false,bAlly=false,},tLife={bEnable=false,szOperator="&gt;",nValue=0,},},</t>
  </si>
  <si>
    <t>{dwMapID=-1,szDisplay="柳辰芦·门派事件",nMaxDistance=20,tRelation={bAll=true,bEnemy=false,bAlly=false,},tLife={bEnable=false,szOperator="&gt;",nValue=0,},},</t>
  </si>
  <si>
    <t>{dwMapID=-1,szDisplay="唐花·门派事件",nMaxDistance=0,tRelation={bAll=true,bEnemy=false,bAlly=false,},tLife={bEnable=false,szOperator="&gt;",nValue=0,},},</t>
  </si>
  <si>
    <t>{dwMapID=-1,szDisplay="重楼子·门派事件",nMaxDistance=0,tRelation={bAll=true,bEnemy=false,bAlly=false,},tLife={bEnable=false,szOperator="&gt;",nValue=0,},},</t>
  </si>
  <si>
    <t>{dwMapID=-1,szDisplay="李承恩·剧情",nMaxDistance=90,tRelation={bAll=true,bEnemy=false,bAlly=false,},tLife={bEnable=false,szOperator="&gt;",nValue=0,},},</t>
  </si>
  <si>
    <t>{dwMapID=-1,szDisplay="李斩鸿·剧情",nMaxDistance=0,tRelation={bAll=true,bEnemy=false,bAlly=false,},tLife={bEnable=false,szOperator="&gt;",nValue=0,},},</t>
  </si>
  <si>
    <t>{dwMapID=302,nMaxDistance=-1,tRelation={bAll=false,bEnemy=false,bAlly=true,},tLife={bEnable=true,szOperator="&lt;",nValue=100,},},</t>
  </si>
  <si>
    <t>{nClass=3,nIcon=1259,nFrame=5,szName="雪雪学会后逢年过节会送",nTime=10,nRefresh=3600,key="做菜提示N",},</t>
  </si>
  <si>
    <t>{nClass=3,nIcon=100,nFrame=5,szName="稻 香 饼 ·恢复气血2点",nTime=10,nRefresh=3600,key="做菜提示·稻香饼N",},</t>
  </si>
  <si>
    <t>{nClass=3,nIcon=259,nFrame=5,szName="鲜肉包子·恢复内力2点",nTime=10,nRefresh=3600,key="做菜提示·鲜肉包子N",},</t>
  </si>
  <si>
    <t>{nClass=3,nIcon=545,nFrame=5,szName=" 混 　沌 ·恢复精力5点",nTime=10,nRefresh=3600,key="做菜提示·混沌N",},</t>
  </si>
  <si>
    <t>{nClass=3,nIcon=7635,nFrame=5,szName="肉馅团子·体质",nTime=10,nRefresh=3600,key="做菜提示·肉馅团子N",},</t>
  </si>
  <si>
    <t>{nClass=3,nIcon=7622,nFrame=5,szName="冬瓜烧肉·根骨",nTime=10,nRefresh=3600,key="做菜提示·冬瓜烧肉N",},</t>
  </si>
  <si>
    <t>{nClass=3,nIcon=7533,nFrame=5,szName="黄瓜烧肉·力道",nTime=10,nRefresh=3600,key="做菜提示·黄瓜烧肉N",},</t>
  </si>
  <si>
    <t>{nClass=3,nIcon=7659,nFrame=5,szName=" 肉 　粥 ·元气",nTime=10,nRefresh=3600,key="做菜提示·肉粥N",},</t>
  </si>
  <si>
    <t>{nClass=3,nIcon=7613,nFrame=5,szName="蘑菇炖肉·身法",nTime=10,nRefresh=3600,key="做菜提示·蘑菇炖肉N",},</t>
  </si>
  <si>
    <t>雪雪·剧情3</t>
  </si>
  <si>
    <t>洞天福地·守卫泥兰</t>
  </si>
  <si>
    <t>康氏泥兰园·声望</t>
  </si>
  <si>
    <t>0,225,0,</t>
  </si>
  <si>
    <t>{dwMapID=-1,szDisplay="康氏泥兰园·沧海珠贝",nMaxDistance=10,tRelation={bAll=true,bEnemy=false,bAlly=false,},tLife={bEnable=false,szOperator="&gt;",nValue=0,},},</t>
  </si>
  <si>
    <t>{dwMapID=-1,nMaxDistance=60,tRelation={bAll=false,bEnemy=false,bAlly=true,},tLife={bEnable=true,szOperator="&lt;",nValue=99,},},{dwMapID=-1,nMaxDistance=6,tRelation={bAll=false,bEnemy=false,bAlly=true,},tLife={bEnable=false,szOperator="&gt;",nValue=0,},},</t>
  </si>
  <si>
    <t>雪国冬猎·贺多多</t>
  </si>
  <si>
    <t>{dwMapID=-1,szDisplay="贺多多·雪国冬猎",nMaxDistance=20,tRelation={bAll=true,bEnemy=false,bAlly=false,},tLife={bEnable=false,szOperator="&gt;",nValue=0,},},</t>
  </si>
  <si>
    <t>雪国冬猎·贺沛福</t>
  </si>
  <si>
    <t>{dwMapID=-1,szDisplay="贺沛福·雪国冬猎",nMaxDistance=20,tRelation={bAll=true,bEnemy=false,bAlly=false,},tLife={bEnable=false,szOperator="&gt;",nValue=0,},},</t>
  </si>
  <si>
    <t>{dwMapID=-1,szDisplay="雪原鹿·10分",nMaxDistance=30,tRelation={bAll=true,bEnemy=false,bAlly=false,},tLife={bEnable=false,szOperator="&gt;",nValue=0,},},</t>
  </si>
  <si>
    <t>{dwMapID=-1,szDisplay="雪原兔·6分",nMaxDistance=30,tRelation={bAll=true,bEnemy=false,bAlly=false,},tLife={bEnable=false,szOperator="&gt;",nValue=0,},},</t>
  </si>
  <si>
    <t>{dwMapID=-1,szDisplay="雪原貂·2.5分",nMaxDistance=20,tRelation={bAll=true,bEnemy=false,bAlly=false,},tLife={bEnable=false,szOperator="&gt;",nValue=0,},},</t>
  </si>
  <si>
    <t>鱼·1.5分</t>
  </si>
  <si>
    <t>{dwMapID=-1,szDisplay="鱼·1.5分",nMaxDistance=10,tRelation={bAll=true,bEnemy=false,bAlly=false,},tLife={bEnable=false,szOperator="&gt;",nValue=0,},},</t>
  </si>
  <si>
    <t>鱼叉</t>
  </si>
  <si>
    <t>雪国冬猎·鱼叉</t>
  </si>
  <si>
    <t>贺氏商会·贺全学</t>
  </si>
  <si>
    <t>{dwMapID=-1,szDisplay="贺氏商会·沧海珠贝",nMaxDistance=10,tRelation={bAll=true,bEnemy=false,bAlly=false,},tLife={bEnable=false,szOperator="&gt;",nValue=0,},},</t>
  </si>
  <si>
    <t>侠客岛·姜氏·云霞</t>
  </si>
  <si>
    <t>{dwMapID=-1,szDisplay="侠客岛姜氏·沧海珠贝",nMaxDistance=10,tRelation={bAll=true,bEnemy=false,bAlly=false,},tLife={bEnable=false,szOperator="&gt;",nValue=0,},},</t>
  </si>
  <si>
    <t>{dwMapID=-1,szDisplay="东海丐帮分舵·沧海珠贝",nMaxDistance=3,tRelation={bAll=true,bEnemy=false,bAlly=false,},tLife={bEnable=false,szOperator="&gt;",nValue=0,},},</t>
  </si>
  <si>
    <t>{dwMapID=-1,nMaxDistance=30,tRelation={bAll=false,bEnemy=true,bAlly=false,},tLife={bEnable=false,szOperator="&gt;",nValue=0,},},{dwMapID=-1,nMaxDistance=15,tRelation={bAll=true,bEnemy=false,bAlly=false,},tLife={bEnable=false,szOperator="&gt;",nValue=0,},},</t>
  </si>
  <si>
    <t>越海珠贝·海中巨鲨</t>
  </si>
  <si>
    <t>false,true,false,false,false,false,false,false,false,false,</t>
  </si>
  <si>
    <t>{nClass=3,nIcon=17135,nFrame=6,szName="击退·巡逻恶鲨·刷新巨鲨",nTime=5,key="越海珠贝·海中巨鲨",},</t>
  </si>
  <si>
    <t>{nClass=12,nIcon=17135,nFrame=6,szName="海中巨鲨·即将刷新",nTime=10,key="越海珠贝·海中巨鲨",},</t>
  </si>
  <si>
    <t>{nClass=12,nIcon=17135,nFrame=4,szName="巨鲨·刷新剩余",nTime="330,巨鲨·刷新剩余;340,击退·巡逻恶鲨·刷新巨鲨",nRefresh=330,key="越海珠贝·海中巨鲨",},</t>
  </si>
  <si>
    <t>{nClass=3,nIcon=17135,nFrame=6,szName="越海珠贝·海中巨鲨",nTime=0,key="越海珠贝·海中巨鲨",},</t>
  </si>
  <si>
    <t>{nClass=3,nIcon=17135,nFrame=6,szName="海中巨鲨·已刷新",nTime=5,key="越海珠贝·海中巨鲨",},</t>
  </si>
  <si>
    <t>{dwMapID=-1,szDisplay="救我狗命",nMaxDistance=30,tRelation={bAll=true,bEnemy=false,bAlly=false,},tLife={bEnable=false,szOperator="&gt;",nValue=0,},},</t>
  </si>
  <si>
    <t>{dwMapID=-1,nMaxDistance=50,tRelation={bAll=true,bEnemy=false,bAlly=false,},tLife={bEnable=false,szOperator="&gt;",nValue=0,},},</t>
  </si>
  <si>
    <t>霸王马场·捐马</t>
  </si>
  <si>
    <t>{dwMapID=-1,szDisplay="霸王马场·捐马",nMaxDistance=10,tRelation={bAll=true,bEnemy=false,bAlly=false,},tLife={bEnable=false,szOperator="&gt;",nValue=0,},},</t>
  </si>
  <si>
    <t>鲲鹏岛放牧·方依</t>
  </si>
  <si>
    <t>{dwMapID=-1,szDisplay="方依·放牧",nMaxDistance=10,tRelation={bAll=true,bEnemy=false,bAlly=false,},tLife={bEnable=false,szOperator="&gt;",nValue=0,},},</t>
  </si>
  <si>
    <t>{dwMapID=-1,szDisplay="齐芍·剧情",nMaxDistance=0,tRelation={bAll=true,bEnemy=false,bAlly=false,},tLife={bEnable=false,szOperator="&gt;",nValue=0,},},</t>
  </si>
  <si>
    <t>{dwMapID=-1,nMaxDistance=60,tRelation={bAll=false,bEnemy=true,bAlly=false,},tLife={bEnable=true,szOperator="&gt;",nValue=0,},},</t>
  </si>
  <si>
    <t>{dwMapID=-1,nMaxDistance=0,tRelation={bAll=false,bEnemy=true,bAlly=false,},tLife={bEnable=true,szOperator="&gt;",nValue=0,},},</t>
  </si>
  <si>
    <t>池生萤灯草</t>
  </si>
  <si>
    <t>{dwMapID=-1,szDisplay="池生萤灯草",nMaxDistance=6,tRelation={bAll=true,bEnemy=false,bAlly=false,},tLife={bEnable=false,szOperator="&gt;",nValue=0,},},</t>
  </si>
  <si>
    <t>野蕈晴雨盖·染</t>
  </si>
  <si>
    <t>{dwMapID=-1,szDisplay="野蕈晴雨盖·染",nMaxDistance=6,tRelation={bAll=true,bEnemy=false,bAlly=false,},tLife={bEnable=false,szOperator="&gt;",nValue=0,},},</t>
  </si>
  <si>
    <t>南瓜</t>
  </si>
  <si>
    <t>{dwMapID=-1,szDisplay="南瓜",nMaxDistance=10,tRelation={bAll=true,bEnemy=false,bAlly=false,},tLife={bEnable=false,szOperator="&gt;",nValue=0,},},</t>
  </si>
  <si>
    <t>西瓜</t>
  </si>
  <si>
    <t>{dwMapID=-1,szDisplay="西瓜",nMaxDistance=10,tRelation={bAll=true,bEnemy=false,bAlly=false,},tLife={bEnable=false,szOperator="&gt;",nValue=0,},},</t>
  </si>
  <si>
    <t>荧彩菌</t>
  </si>
  <si>
    <t>{dwMapID=-1,szDisplay="荧彩菌",nMaxDistance=10,tRelation={bAll=true,bEnemy=false,bAlly=false,},tLife={bEnable=false,szOperator="&gt;",nValue=0,},},</t>
  </si>
  <si>
    <t>侠义</t>
  </si>
  <si>
    <t>{dwMapID=-1,szDisplay="侠义！刀宗",nMaxDistance=120,tRelation={bAll=false,bEnemy=true,bAlly=false,},tLife={bEnable=false,szOperator="&gt;",nValue=0,},},</t>
  </si>
  <si>
    <t>{dwMapID=-1,szDisplay="晒太阳·寓天涯",nMaxDistance=60,tRelation={bAll=true,bEnemy=false,bAlly=false,},tLife={bEnable=false,szOperator="&gt;",nValue=0,},},</t>
  </si>
  <si>
    <t>寓天涯·老书生</t>
  </si>
  <si>
    <t>{dwMapID=-1,szDisplay="老书生·寓天涯",nMaxDistance=60,tRelation={bAll=true,bEnemy=false,bAlly=false,},tLife={bEnable=false,szOperator="&gt;",nValue=0,},},</t>
  </si>
  <si>
    <t>寓天涯·阿玉</t>
  </si>
  <si>
    <t>{dwMapID=-1,szDisplay="阿玉·寓天涯",nMaxDistance=90,tRelation={bAll=true,bEnemy=false,bAlly=false,},tLife={bEnable=false,szOperator="&gt;",nValue=0,},},</t>
  </si>
  <si>
    <t>寓天涯·卢芦</t>
  </si>
  <si>
    <t>{dwMapID=-1,szDisplay="卢芦·寓天涯",nMaxDistance=50,tRelation={bAll=true,bEnemy=false,bAlly=false,},tLife={bEnable=false,szOperator="&gt;",nValue=0,},},</t>
  </si>
  <si>
    <t>乱红鸾·礼礼</t>
  </si>
  <si>
    <t>{dwMapID=-1,szDisplay="礼礼·乱红鸾",nMaxDistance=60,tRelation={bAll=true,bEnemy=false,bAlly=false,},tLife={bEnable=false,szOperator="&gt;",nValue=0,},},</t>
  </si>
  <si>
    <t>乱红鸾·小牛</t>
  </si>
  <si>
    <t>{dwMapID=-1,szDisplay="乱红鸾·小牛",nMaxDistance=0,tRelation={bAll=true,bEnemy=false,bAlly=false,},tLife={bEnable=false,szOperator="&gt;",nValue=0,},},</t>
  </si>
  <si>
    <t>{dwMapID=-1,szDisplay="受伤的工人",nMaxDistance=3,tRelation={bAll=true,bEnemy=false,bAlly=false,},tLife={bEnable=false,szOperator="&gt;",nValue=0,},},</t>
  </si>
  <si>
    <t>夜哀鸣·逗逗</t>
  </si>
  <si>
    <t>{dwMapID=-1,szDisplay="逗逗·夜哀鸣",nMaxDistance=60,tRelation={bAll=true,bEnemy=false,bAlly=false,},tLife={bEnable=false,szOperator="&gt;",nValue=0,},},</t>
  </si>
  <si>
    <t>夜哀鸣·晚霖</t>
  </si>
  <si>
    <t>{dwMapID=-1,szDisplay="晚霖·夜哀鸣",nMaxDistance=60,tRelation={bAll=true,bEnemy=false,bAlly=false,},tLife={bEnable=false,szOperator="&gt;",nValue=0,},},</t>
  </si>
  <si>
    <t>夜哀鸣·？？？</t>
  </si>
  <si>
    <t>{dwMapID=-1,szDisplay="？？？·夜哀鸣",nMaxDistance=30,tRelation={bAll=true,bEnemy=false,bAlly=false,},tLife={bEnable=false,szOperator="&gt;",nValue=0,},},</t>
  </si>
  <si>
    <t>夜哀鸣·段方北</t>
  </si>
  <si>
    <t>{dwMapID=-1,szDisplay="段方北·夜哀鸣",nMaxDistance=0,tRelation={bAll=true,bEnemy=false,bAlly=false,},tLife={bEnable=false,szOperator="&gt;",nValue=0,},},</t>
  </si>
  <si>
    <t>夜哀鸣·受伤的小猴</t>
  </si>
  <si>
    <t>{dwMapID=-1,szDisplay="受伤的小猴·夜哀鸣",nMaxDistance=30,tRelation={bAll=true,bEnemy=false,bAlly=false,},tLife={bEnable=false,szOperator="&gt;",nValue=0,},},</t>
  </si>
  <si>
    <t>夜哀鸣·和光</t>
  </si>
  <si>
    <t>{dwMapID=-1,szDisplay="和光·夜哀鸣",nMaxDistance=0,tRelation={bAll=true,bEnemy=false,bAlly=false,},tLife={bEnable=false,szOperator="&gt;",nValue=0,},},</t>
  </si>
  <si>
    <t>夜哀鸣·领狐猴</t>
  </si>
  <si>
    <t>{dwMapID=-1,szDisplay="领狐猴·夜哀鸣",nMaxDistance=30,tRelation={bAll=true,bEnemy=false,bAlly=false,},tLife={bEnable=false,szOperator="&gt;",nValue=0,},},</t>
  </si>
  <si>
    <t>{dwMapID=-1,nMaxDistance=30,tRelation={bAll=true,bEnemy=true,bAlly=true,},tLife={bEnable=false,szOperator="&gt;",nValue=0,},},</t>
  </si>
  <si>
    <t>{nClass=3,nIcon=7518,nFrame=5,szName="治疗心法记得切换输出心法",nTime=10,key="茶馆·成就",},</t>
  </si>
  <si>
    <t>{nClass=7,nIcon=7518,nFrame=5,szName="攻击肉·倒计时60s",nTime=60,key="茶馆·成就",},</t>
  </si>
  <si>
    <t>{nClass=12,nIcon=7518,nFrame=5,szName="茶馆·成就",nTime=0,key="茶馆·成就",},</t>
  </si>
  <si>
    <t>{nClass=4,nIcon=7518,nFrame=5,szName="茶馆·成就",nTime=0,key="茶馆·成就",},</t>
  </si>
  <si>
    <t>{dwMapID=-1,nMaxDistance=20,tRelation={bAll=true,bEnemy=false,bAlly=false,},tLife={bEnable=true,szOperator="&lt;",nValue=99,},},{dwMapID=-1,nMaxDistance=3,tRelation={bAll=true,bEnemy=false,bAlly=false,},tLife={bEnable=false,szOperator="&gt;",nValue=0,},},</t>
  </si>
  <si>
    <t>{dwMapID=-1,nMaxDistance=20,tRelation={bAll=false,bEnemy=true,bAlly=false,},tLife={bEnable=true,szOperator="&lt;",nValue=100,},},{dwMapID=-1,nMaxDistance=10,tRelation={bAll=false,bEnemy=true,bAlly=false,},tLife={bEnable=false,szOperator="&gt;",nValue=0,},},</t>
  </si>
  <si>
    <t>{dwMapID=-1,nMaxDistance=20,tRelation={bAll=false,bEnemy=true,bAlly=false,},tLife={bEnable=false,szOperator="&gt;",nValue=0,},},{dwMapID=-1,nMaxDistance=10,tRelation={bAll=false,bEnemy=true,bAlly=false,},tLife={bEnable=false,szOperator="&gt;",nValue=0,},},</t>
  </si>
  <si>
    <t>月嘉禾·2心</t>
  </si>
  <si>
    <t>侠者成歌·封演</t>
  </si>
  <si>
    <t>{dwMapID=-1,szDisplay="封演·侠者成歌",nMaxDistance=60,tRelation={bAll=true,bEnemy=false,bAlly=false,},tLife={bEnable=false,szOperator="&gt;",nValue=0,},},</t>
  </si>
  <si>
    <t>侠者成歌·纪小橙</t>
  </si>
  <si>
    <t>{dwMapID=-1,szDisplay="纪小橙·侠者成歌",nMaxDistance=30,tRelation={bAll=true,bEnemy=false,bAlly=false,},tLife={bEnable=false,szOperator="&gt;",nValue=0,},},</t>
  </si>
  <si>
    <t>侠者成歌·司空淮</t>
  </si>
  <si>
    <t>{dwMapID=-1,szDisplay="司空淮·侠者成歌",nMaxDistance=90,tRelation={bAll=true,bEnemy=false,bAlly=false,},tLife={bEnable=false,szOperator="&gt;",nValue=0,},},</t>
  </si>
  <si>
    <t>侠者成歌·苏舒</t>
  </si>
  <si>
    <t>{dwMapID=-1,szDisplay="苏舒·侠者成歌",nMaxDistance=30,tRelation={bAll=true,bEnemy=false,bAlly=false,},tLife={bEnable=false,szOperator="&gt;",nValue=0,},},</t>
  </si>
  <si>
    <t>故岁辞·槲生</t>
  </si>
  <si>
    <t>{dwMapID=-1,szDisplay="槲生·故岁辞",nMaxDistance=60,tRelation={bAll=true,bEnemy=false,bAlly=false,},tLife={bEnable=false,szOperator="&gt;",nValue=0,},},</t>
  </si>
  <si>
    <t>故岁辞·赵永</t>
  </si>
  <si>
    <t>{dwMapID=-1,szDisplay="赵永·故岁辞",nMaxDistance=70,tRelation={bAll=true,bEnemy=false,bAlly=false,},tLife={bEnable=false,szOperator="&gt;",nValue=0,},},</t>
  </si>
  <si>
    <t>故岁辞·姚田</t>
  </si>
  <si>
    <t>{dwMapID=-1,szDisplay="姚田·故岁辞",nMaxDistance=60,tRelation={bAll=true,bEnemy=false,bAlly=false,},tLife={bEnable=false,szOperator="&gt;",nValue=0,},},</t>
  </si>
  <si>
    <t>故岁辞·潘春</t>
  </si>
  <si>
    <t>{dwMapID=-1,szDisplay="潘春·故岁辞",nMaxDistance=20,tRelation={bAll=true,bEnemy=false,bAlly=false,},tLife={bEnable=false,szOperator="&gt;",nValue=0,},},</t>
  </si>
  <si>
    <t>故岁辞·何实</t>
  </si>
  <si>
    <t>{dwMapID=-1,szDisplay="何实·故岁辞",nMaxDistance=50,tRelation={bAll=true,bEnemy=false,bAlly=false,},tLife={bEnable=false,szOperator="&gt;",nValue=0,},},</t>
  </si>
  <si>
    <t>故岁辞·龙俊华</t>
  </si>
  <si>
    <t>{dwMapID=-1,szDisplay="龙俊华·故岁辞",nMaxDistance=30,tRelation={bAll=true,bEnemy=false,bAlly=false,},tLife={bEnable=false,szOperator="&gt;",nValue=0,},},</t>
  </si>
  <si>
    <t>{dwMapID=-1,szDisplay="谢阿蛮·剧情",nMaxDistance=20,tRelation={bAll=true,bEnemy=false,bAlly=false,},tLife={bEnable=false,szOperator="&gt;",nValue=0,},},</t>
  </si>
  <si>
    <t>{dwMapID=-1,szDisplay="守卫·剧情",nMaxDistance=40,tRelation={bAll=true,bEnemy=false,bAlly=false,},tLife={bEnable=false,szOperator="&gt;",nValue=0,},},</t>
  </si>
  <si>
    <t>{dwMapID=-1,szDisplay="传送",nMaxDistance=6,tRelation={bAll=true,bEnemy=false,bAlly=false,},tLife={bEnable=false,szOperator="&gt;",nValue=0,},},</t>
  </si>
  <si>
    <t>狼牙·隐樵关</t>
  </si>
  <si>
    <t>狼牙·天生关</t>
  </si>
  <si>
    <t>狼牙·赤岩关</t>
  </si>
  <si>
    <t>浩气·隐樵关</t>
  </si>
  <si>
    <t>浩气·天生关</t>
  </si>
  <si>
    <t>浩气·赤岩关</t>
  </si>
  <si>
    <t>恶人·隐樵关</t>
  </si>
  <si>
    <t>恶人·天生关</t>
  </si>
  <si>
    <t>恶人·赤岩关</t>
  </si>
  <si>
    <t>恶人谷恣桀先锋队正</t>
  </si>
  <si>
    <t>{dwMapID=-1,nMaxDistance=60,tRelation={bAll=false,bEnemy=true,bAlly=false,},tLife={bEnable=false,szOperator="&gt;",nValue=0,},},{dwMapID=-1,nMaxDistance=30,tRelation={bAll=false,bEnemy=false,bAlly=true,},tLife={bEnable=true,szOperator="&lt;",nValue=99,},},{dwMapID=-1,nMaxDistance=10,tRelation={bAll=true,bEnemy=false,bAlly=false,},tLife={bEnable=true,szOperator="&gt;=",nValue=99,},},</t>
  </si>
  <si>
    <t>恶人谷恣桀先锋副官</t>
  </si>
  <si>
    <t>{dwMapID=-1,nMaxDistance=60,tRelation={bAll=false,bEnemy=true,bAlly=false,},tLife={bEnable=false,szOperator="&gt;",nValue=0,},},{dwMapID=-1,nMaxDistance=90,tRelation={bAll=false,bEnemy=false,bAlly=true,},tLife={bEnable=true,szOperator="&lt;",nValue=99,},},{dwMapID=-1,nMaxDistance=10,tRelation={bAll=true,bEnemy=false,bAlly=false,},tLife={bEnable=true,szOperator="&gt;=",nValue=99,},},</t>
  </si>
  <si>
    <t>浩气盟和正先锋队正</t>
  </si>
  <si>
    <t>浩气盟和正先锋副官</t>
  </si>
  <si>
    <t>浩气出车</t>
  </si>
  <si>
    <t>恶人出车</t>
  </si>
  <si>
    <t>侠义！万灵山庄</t>
  </si>
  <si>
    <t>{dwMapID=-1,szDisplay="侠义！万灵山庄",nMaxDistance=60,tRelation={bAll=false,bEnemy=true,bAlly=false,},tLife={bEnable=false,szOperator="&gt;",nValue=0,},},</t>
  </si>
  <si>
    <t>泛天河</t>
  </si>
  <si>
    <t>{dwMapID=-1,szDisplay="颂端云·泛天河",nMaxDistance=60,tRelation={bAll=true,bEnemy=false,bAlly=false,},tLife={bEnable=false,szOperator="&gt;",nValue=0,},},</t>
  </si>
  <si>
    <t>{dwMapID=-1,szDisplay="齐云狸·泛天河",nMaxDistance=10,tRelation={bAll=true,bEnemy=false,bAlly=false,},tLife={bEnable=false,szOperator="&gt;",nValue=0,},},</t>
  </si>
  <si>
    <t>{nClass=7,nIcon=17135,nFrame=5,szName="引导面向·避免击中郭珠",nTime=115,key="罗道山",},</t>
  </si>
  <si>
    <t>{nClass=4,nIcon=17135,nFrame=5,szName="罗道山",nTime=0,key="罗道山",},</t>
  </si>
  <si>
    <t>{nClass=12,nIcon=17135,nFrame=5,szName="罗道山",nTime=0,key="罗道山",},</t>
  </si>
  <si>
    <t>{nClass=11,nIcon=17135,nFrame=5,szName="罗道山",nTime=0,key="罗道山",},</t>
  </si>
  <si>
    <t>云从券·叁</t>
  </si>
  <si>
    <t>{dwMapID=-1,szDisplay="李焕迷·云从券·叁",nMaxDistance=60,tRelation={bAll=true,bEnemy=false,bAlly=false,},tLife={bEnable=false,szOperator="&gt;",nValue=0,},},</t>
  </si>
  <si>
    <t>{dwMapID=-1,nMaxDistance=20,tRelation={bAll=true,bEnemy=true,bAlly=true,},tLife={bEnable=true,szOperator="&lt;",nValue=100,},},</t>
  </si>
  <si>
    <t>{dwMapID=-1,szDisplay="李熹延·解锁周常",nMaxDistance=10,tRelation={bAll=true,bEnemy=false,bAlly=false,},tLife={bEnable=false,szOperator="&gt;",nValue=0,},},</t>
  </si>
  <si>
    <t>{dwMapID=-1,szDisplay="收乌龟·初九",nMaxDistance=30,tRelation={bAll=true,bEnemy=false,bAlly=false,},tLife={bEnable=false,szOperator="&gt;",nValue=0,},},</t>
  </si>
  <si>
    <t>{nClass=12,nIcon=17135,nFrame=5,szName="银霜口·野猪王",nTime=0,key="银霜口·野猪王",},</t>
  </si>
  <si>
    <t>{nClass=4,nIcon=17135,nFrame=5,szName="银霜口·野猪王",nTime=0,key="银霜口·野猪王",},</t>
  </si>
  <si>
    <t>云从券·贰</t>
  </si>
  <si>
    <t>{dwMapID=-1,szDisplay="齐飞荡·云从券·贰",nMaxDistance=60,tRelation={bAll=true,bEnemy=false,bAlly=false,},tLife={bEnable=false,szOperator="&gt;",nValue=0,},},</t>
  </si>
  <si>
    <t>云从券·肆</t>
  </si>
  <si>
    <t>{dwMapID=-1,szDisplay="桑色·云从券·肆",nMaxDistance=6,tRelation={bAll=true,bEnemy=false,bAlly=false,},tLife={bEnable=false,szOperator="&gt;",nValue=0,},},</t>
  </si>
  <si>
    <t>云从券·伍</t>
  </si>
  <si>
    <t>{dwMapID=-1,szDisplay="戴云开·云从券·伍",nMaxDistance=10,tRelation={bAll=true,bEnemy=false,bAlly=false,},tLife={bEnable=false,szOperator="&gt;",nValue=0,},},</t>
  </si>
  <si>
    <t>{dwMapID=-1,szDisplay="首月明·云从券·伍",nMaxDistance=20,tRelation={bAll=true,bEnemy=false,bAlly=false,},tLife={bEnable=false,szOperator="&gt;",nValue=0,},},</t>
  </si>
  <si>
    <t>树</t>
  </si>
  <si>
    <t>云从券·陆</t>
  </si>
  <si>
    <t>{dwMapID=-1,szDisplay="云从券·陆",nMaxDistance=90,tRelation={bAll=true,bEnemy=false,bAlly=false,},tLife={bEnable=false,szOperator="&gt;",nValue=0,},},</t>
  </si>
  <si>
    <t>{dwMapID=-1,szDisplay="罐子·宝箱",nMaxDistance=0,tRelation={bAll=true,bEnemy=false,bAlly=false,},tLife={bEnable=false,szOperator="&gt;",nValue=0,},},</t>
  </si>
  <si>
    <t>破巧言·宋子尧</t>
  </si>
  <si>
    <t>{dwMapID=-1,szDisplay="宋子尧·破巧言",nMaxDistance=10,tRelation={bAll=true,bEnemy=false,bAlly=false,},tLife={bEnable=false,szOperator="&gt;",nValue=0,},},</t>
  </si>
  <si>
    <t>{dwMapID=-1,szDisplay="宋子尧·破巧言",nMaxDistance=90,tRelation={bAll=true,bEnemy=false,bAlly=false,},tLife={bEnable=false,szOperator="&gt;",nValue=0,},},</t>
  </si>
  <si>
    <t>破巧言·孙易云</t>
  </si>
  <si>
    <t>{dwMapID=-1,szDisplay="孙易云·破巧言",nMaxDistance=90,tRelation={bAll=true,bEnemy=false,bAlly=false,},tLife={bEnable=false,szOperator="&gt;",nValue=0,},},</t>
  </si>
  <si>
    <t>破巧言·胡商</t>
  </si>
  <si>
    <t>{dwMapID=-1,szDisplay="胡商·破巧言",nMaxDistance=90,tRelation={bAll=true,bEnemy=false,bAlly=false,},tLife={bEnable=false,szOperator="&gt;",nValue=0,},},</t>
  </si>
  <si>
    <t>破巧言·小鸟</t>
  </si>
  <si>
    <t>{dwMapID=-1,szDisplay="小鸟·破巧言",nMaxDistance=120,tRelation={bAll=true,bEnemy=false,bAlly=false,},tLife={bEnable=false,szOperator="&gt;",nValue=0,},},</t>
  </si>
  <si>
    <t>破巧言·王必言</t>
  </si>
  <si>
    <t>{dwMapID=-1,szDisplay="王必言·破巧言",nMaxDistance=30,tRelation={bAll=true,bEnemy=false,bAlly=false,},tLife={bEnable=false,szOperator="&gt;",nValue=0,},},</t>
  </si>
  <si>
    <t>{dwMapID=-1,szDisplay="宋子尧·破巧言",nMaxDistance=0,tRelation={bAll=true,bEnemy=false,bAlly=false,},tLife={bEnable=false,szOperator="&gt;",nValue=0,},},</t>
  </si>
  <si>
    <t>破巧言·蛋黄</t>
  </si>
  <si>
    <t>{dwMapID=-1,szDisplay="蛋黄·破巧言",nMaxDistance=60,tRelation={bAll=true,bEnemy=false,bAlly=false,},tLife={bEnable=false,szOperator="&gt;",nValue=0,},},</t>
  </si>
  <si>
    <t>{nClass=4,nIcon=17135,nFrame=0,bHold=true,szName="奇遇提示0",nTime="60,15.返回·客栈·闻千瞬;90,16.对话·闻千瞬·结束",key="奇遇提示0",},</t>
  </si>
  <si>
    <t>{nClass=4,nIcon=17135,nFrame=7,bHold=true,szName="返回·客栈·闻千瞬",nTime=600,key="奇遇提示1",},</t>
  </si>
  <si>
    <t>{nClass=4,nIcon=17135,nFrame=7,bHold=true,szName="对话·闻千瞬·结束",nTime=600,key="奇遇提示2",},</t>
  </si>
  <si>
    <t>{nClass=4,nIcon=17135,nFrame=7,bHold=true,szName="奇遇提示3",nTime=0,key="奇遇提示3",},</t>
  </si>
  <si>
    <t>破巧言·闻千瞬</t>
  </si>
  <si>
    <t>{dwMapID=-1,szDisplay="闻千瞬·破巧言",nMaxDistance=60,tRelation={bAll=true,bEnemy=false,bAlly=false,},tLife={bEnable=false,szOperator="&gt;",nValue=0,},},</t>
  </si>
  <si>
    <t>{nClass=4,nIcon=17135,nFrame=0,bHold=true,szName="奇遇提示0",nTime=0,key="奇遇提示0",},</t>
  </si>
  <si>
    <t>{nClass=4,nIcon=17135,nFrame=7,bHold=true,szName="奇遇提示1",nTime=0,key="奇遇提示1",},</t>
  </si>
  <si>
    <t>{nClass=4,nIcon=17135,nFrame=7,bHold=true,szName="奇遇提示2",nTime=0,key="奇遇提示2",},</t>
  </si>
  <si>
    <t>破巧言·酒保</t>
  </si>
  <si>
    <t>{dwMapID=-1,szDisplay="酒保·破巧言",nMaxDistance=20,tRelation={bAll=true,bEnemy=false,bAlly=false,},tLife={bEnable=false,szOperator="&gt;",nValue=0,},},</t>
  </si>
  <si>
    <t>{dwMapID=-1,szDisplay="雪影·剧情",nMaxDistance=40,tRelation={bAll=true,bEnemy=false,bAlly=false,},tLife={bEnable=false,szOperator="&gt;",nValue=0,},},</t>
  </si>
  <si>
    <t>{dwMapID=-1,szDisplay="颂少风·剧情",nMaxDistance=60,tRelation={bAll=false,bEnemy=false,bAlly=true,},tLife={bEnable=false,szOperator="&gt;",nValue=0,},},</t>
  </si>
  <si>
    <t>{dwMapID=-1,nMaxDistance=70,tRelation={bAll=true,bEnemy=false,bAlly=false,},tLife={bEnable=false,szOperator="&gt;",nValue=0,},},</t>
  </si>
  <si>
    <t>{dwMapID=-1,szDisplay="颂少风·剧情",nMaxDistance=70,tRelation={bAll=false,bEnemy=false,bAlly=true,},tLife={bEnable=false,szOperator="&gt;",nValue=0,},},</t>
  </si>
  <si>
    <t>传送门</t>
  </si>
  <si>
    <t>{dwMapID=-1,szDisplay="传送门",nMaxDistance=60,tRelation={bAll=true,bEnemy=false,bAlly=false,},tLife={bEnable=false,szOperator="&gt;",nValue=0,},},</t>
  </si>
  <si>
    <t>神树</t>
  </si>
  <si>
    <t>{dwMapID=-1,szDisplay="神树",nMaxDistance=10,tRelation={bAll=true,bEnemy=false,bAlly=false,},tLife={bEnable=false,szOperator="&gt;",nValue=0,},},</t>
  </si>
  <si>
    <t>风涡·移速</t>
  </si>
  <si>
    <t>{dwMapID=-1,szDisplay="风涡·移速",nMaxDistance=8,tRelation={bAll=true,bEnemy=false,bAlly=false,},tLife={bEnable=false,szOperator="&gt;",nValue=0,},},</t>
  </si>
  <si>
    <t>日晷</t>
  </si>
  <si>
    <t>{dwMapID=-1,szDisplay="日晷",nMaxDistance=10,tRelation={bAll=true,bEnemy=false,bAlly=false,},tLife={bEnable=false,szOperator="&gt;",nValue=0,},},</t>
  </si>
  <si>
    <t>物件进入.语音报警</t>
  </si>
  <si>
    <t>物件进入.团队报警</t>
  </si>
  <si>
    <t>物件进入.密聊报警</t>
  </si>
  <si>
    <t>物件进入.中央报警</t>
  </si>
  <si>
    <t>物件离开.语音报警</t>
  </si>
  <si>
    <t>物件离开.团队报警</t>
  </si>
  <si>
    <t>物件离开.密聊报警</t>
  </si>
  <si>
    <t>物件离开.中央报警</t>
  </si>
  <si>
    <t>return{DOODAD={</t>
  </si>
  <si>
    <t>物资堆·物资车</t>
  </si>
  <si>
    <t>{dwMapID=-1,szDisplay="物资堆·物资车",nMaxDistance=30,tRelation={bAll=true,bEnemy=false,bAlly=false,},tLife={bEnable=false,szOperator="&gt;",nValue=0,},},</t>
  </si>
  <si>
    <t>物资箱·复活点</t>
  </si>
  <si>
    <t>{dwMapID=-1,szDisplay="物资箱·复活点",nMaxDistance=30,tRelation={bAll=true,bEnemy=false,bAlly=false,},tLife={bEnable=false,szOperator="&gt;",nValue=0,},},</t>
  </si>
  <si>
    <t>物资·首领掉落</t>
  </si>
  <si>
    <t>{dwMapID=-1,szDisplay="物资·首领掉落",nMaxDistance=0,tRelation={bAll=true,bEnemy=false,bAlly=false,},tLife={bEnable=false,szOperator="&gt;",nValue=0,},},</t>
  </si>
  <si>
    <t>{dwMapID=-1,nMaxDistance=20,tRelation={bAll=true,bEnemy=true,bAlly=false,},tLife={bEnable=false,szOperator="&gt;",nValue=0,},},</t>
  </si>
  <si>
    <t>{nClass=18,nIcon=2747,nFrame=5,szName="仙王蛊鼎·{$sender}",nTime=0,key="仙王蛊鼎",},</t>
  </si>
  <si>
    <t>{nClass=19,nIcon=2747,nFrame=5,szName="仙王蛊鼎·{$sender}",nTime=0,key="仙王蛊鼎",},</t>
  </si>
  <si>
    <t>{dwMapID=-1,szDisplay="鲜花束·艺人",nMaxDistance=60,tRelation={bAll=true,bEnemy=false,bAlly=false,},tLife={bEnable=false,szOperator="&gt;",nValue=0,},},</t>
  </si>
  <si>
    <t>的卢·宝堆</t>
  </si>
  <si>
    <t>{dwMapID=-1,szDisplay="的卢·宝堆",nMaxDistance=120,tRelation={bAll=true,bEnemy=false,bAlly=false,},tLife={bEnable=false,szOperator="&gt;",nValue=0,},},</t>
  </si>
  <si>
    <t>狼牙先锋首领掉落</t>
  </si>
  <si>
    <t>{dwMapID=-1,szDisplay="狼牙先锋首领·掉落",nMaxDistance=0,tRelation={bAll=true,bEnemy=false,bAlly=false,},tLife={bEnable=false,szOperator="&gt;",nValue=0,},},</t>
  </si>
  <si>
    <t>粮仓宝堆</t>
  </si>
  <si>
    <t>{dwMapID=-1,szDisplay="粮仓宝堆",nMaxDistance=0,tRelation={bAll=true,bEnemy=false,bAlly=false,},tLife={bEnable=false,szOperator="&gt;",nValue=0,},},</t>
  </si>
  <si>
    <t>中秋节·鸟窝</t>
  </si>
  <si>
    <t>{dwMapID=-1,nMaxDistance=15,tRelation={bAll=true,bEnemy=false,bAlly=false,},tLife={bEnable=false,szOperator="&gt;",nValue=0,},},</t>
  </si>
  <si>
    <t>中秋节·散落的枯树枝</t>
  </si>
  <si>
    <t>隐藏任务·一个小药罐</t>
  </si>
  <si>
    <t>{dwMapID=-1,szDisplay="药罐子·隐藏任务",nMaxDistance=10,tRelation={bAll=true,bEnemy=false,bAlly=false,},tLife={bEnable=false,szOperator="&gt;",nValue=0,},},</t>
  </si>
  <si>
    <t>{dwMapID=-1,szDisplay="香囊·隐藏任务",nMaxDistance=20,tRelation={bAll=true,bEnemy=false,bAlly=false,},tLife={bEnable=false,szOperator="&gt;",nValue=0,},},</t>
  </si>
  <si>
    <t>{dwMapID=-1,szDisplay="告示三·无食我黍",nMaxDistance=10,tRelation={bAll=true,bEnemy=false,bAlly=false,},tLife={bEnable=false,szOperator="&gt;",nValue=0,},},</t>
  </si>
  <si>
    <t>{dwMapID=-1,szDisplay="炼药炉·门派事件",nMaxDistance=6,tRelation={bAll=true,bEnemy=false,bAlly=false,},tLife={bEnable=false,szOperator="&gt;",nValue=0,},},</t>
  </si>
  <si>
    <t>{dwMapID=-1,szDisplay="曦芜花·门派事件",nMaxDistance=10,tRelation={bAll=true,bEnemy=false,bAlly=false,},tLife={bEnable=false,szOperator="&gt;",nValue=0,},},</t>
  </si>
  <si>
    <t>{dwMapID=-1,szDisplay="毒圈·门派事件",nMaxDistance=6,tRelation={bAll=true,bEnemy=false,bAlly=false,},tLife={bEnable=false,szOperator="&gt;",nValue=0,},},</t>
  </si>
  <si>
    <t>{dwMapID=-1,szDisplay="绷带药箱·门派事件",nMaxDistance=4,tRelation={bAll=true,bEnemy=false,bAlly=false,},tLife={bEnable=false,szOperator="&gt;",nValue=0,},},</t>
  </si>
  <si>
    <t>{dwMapID=-1,szDisplay="汤药炉·门派事件",nMaxDistance=4,tRelation={bAll=true,bEnemy=false,bAlly=false,},tLife={bEnable=false,szOperator="&gt;",nValue=0,},},</t>
  </si>
  <si>
    <t>花苗</t>
  </si>
  <si>
    <t>{dwMapID=-1,szDisplay="花苗",nMaxDistance=6,tRelation={bAll=true,bEnemy=false,bAlly=false,},tLife={bEnable=false,szOperator="&gt;",nValue=0,},},</t>
  </si>
  <si>
    <t>{dwMapID=-1,nMaxDistance=0.8,tRelation={bAll=true,bEnemy=false,bAlly=false,},tLife={bEnable=false,szOperator="&gt;",nValue=0,},},</t>
  </si>
  <si>
    <t>{dwMapID=-1,nMaxDistance=0.5,tRelation={bAll=true,bEnemy=false,bAlly=false,},tLife={bEnable=false,szOperator="&gt;",nValue=0,},},</t>
  </si>
  <si>
    <t>孩童书·散落的书页</t>
  </si>
  <si>
    <t>{dwMapID=-1,szDisplay="散落的书页·孩童书",nMaxDistance=0,tRelation={bAll=true,bEnemy=false,bAlly=false,},tLife={bEnable=false,szOperator="&gt;",nValue=0,},},</t>
  </si>
  <si>
    <t>{$D6550}·气血</t>
  </si>
  <si>
    <t>{dwMapID=-1,szDisplay="香炉·气血",nMaxDistance=60,tRelation={bAll=true,bEnemy=false,bAlly=false,},tLife={bEnable=false,szOperator="&gt;",nValue=0,},},</t>
  </si>
  <si>
    <t>{$D6551}·消怨念</t>
  </si>
  <si>
    <t>{dwMapID=-1,szDisplay="香炉·消怨念",nMaxDistance=60,tRelation={bAll=true,bEnemy=false,bAlly=false,},tLife={bEnable=false,szOperator="&gt;",nValue=0,},},</t>
  </si>
  <si>
    <t>{$D6548}·帮战</t>
  </si>
  <si>
    <t>{dwMapID=-1,szDisplay="香炉·帮战",nMaxDistance=60,tRelation={bAll=true,bEnemy=false,bAlly=false,},tLife={bEnable=false,szOperator="&gt;",nValue=0,},},</t>
  </si>
  <si>
    <t>{dwMapID=-1,szDisplay="门派事件·紫韵莲芯",nMaxDistance=10,tRelation={bAll=true,bEnemy=false,bAlly=false,},tLife={bEnable=false,szOperator="&gt;",nValue=0,},},</t>
  </si>
  <si>
    <t>{dwMapID=-1,szDisplay="门派事件·金蝉花",nMaxDistance=10,tRelation={bAll=true,bEnemy=false,bAlly=false,},tLife={bEnable=false,szOperator="&gt;",nValue=0,},},</t>
  </si>
  <si>
    <t>酒葫芦·小果</t>
  </si>
  <si>
    <t>{dwMapID=-1,szDisplay="酒葫芦·小果",nMaxDistance=0,tRelation={bAll=true,bEnemy=false,bAlly=false,},tLife={bEnable=false,szOperator="&gt;",nValue=0,},},</t>
  </si>
  <si>
    <t>烟花戏·埋东西的痕迹</t>
  </si>
  <si>
    <t>{dwMapID=-1,szDisplay="埋东西的痕迹·烟花戏",nMaxDistance=30,tRelation={bAll=true,bEnemy=false,bAlly=false,},tLife={bEnable=false,szOperator="&gt;",nValue=0,},},</t>
  </si>
  <si>
    <t>{dwMapID=-1,szDisplay="纯阳香案·取香",nMaxDistance=20,tRelation={bAll=true,bEnemy=false,bAlly=false,},tLife={bEnable=false,szOperator="&gt;",nValue=0,},},</t>
  </si>
  <si>
    <t>{dwMapID=-1,szDisplay="纯阳烛台·点香",nMaxDistance=3,tRelation={bAll=true,bEnemy=false,bAlly=false,},tLife={bEnable=false,szOperator="&gt;",nValue=0,},},</t>
  </si>
  <si>
    <t>{dwMapID=-1,szDisplay="香炉·上香",nMaxDistance=30,tRelation={bAll=true,bEnemy=false,bAlly=false,},tLife={bEnable=false,szOperator="&gt;",nValue=0,},},</t>
  </si>
  <si>
    <t>小土堆·小花</t>
  </si>
  <si>
    <t>{dwMapID=-1,szDisplay="小土堆·小花",nMaxDistance=0,tRelation={bAll=true,bEnemy=false,bAlly=false,},tLife={bEnable=false,szOperator="&gt;",nValue=0,},},</t>
  </si>
  <si>
    <t>尘网中·半本秘诀</t>
  </si>
  <si>
    <t>{dwMapID=-1,szDisplay="半本秘诀·尘网中",nMaxDistance=60,tRelation={bAll=true,bEnemy=false,bAlly=false,},tLife={bEnable=false,szOperator="&gt;",nValue=0,},},</t>
  </si>
  <si>
    <t>红衣歌·小泥娃娃</t>
  </si>
  <si>
    <t>{dwMapID=-1,szDisplay="小泥娃娃·红衣歌",nMaxDistance=60,tRelation={bAll=true,bEnemy=false,bAlly=false,},tLife={bEnable=false,szOperator="&gt;",nValue=0,},},</t>
  </si>
  <si>
    <t>破晓鸣·诱捕的笼子</t>
  </si>
  <si>
    <t>{dwMapID=-1,szDisplay="诱捕的笼子·破晓鸣",nMaxDistance=10,tRelation={bAll=true,bEnemy=false,bAlly=false,},tLife={bEnable=false,szOperator="&gt;",nValue=0,},},</t>
  </si>
  <si>
    <t>烟花戏·秋·川芎</t>
  </si>
  <si>
    <t>{dwMapID=-1,szDisplay="川芎·烟花戏·秋",nMaxDistance=30,tRelation={bAll=true,bEnemy=false,bAlly=false,},tLife={bEnable=false,szOperator="&gt;",nValue=0,},},</t>
  </si>
  <si>
    <t>捉妖记·藏着木头鱼的</t>
  </si>
  <si>
    <t>{dwMapID=-1,szDisplay="藏着木头鱼的鱼篓·捉妖记",nMaxDistance=90,tRelation={bAll=true,bEnemy=false,bAlly=false,},tLife={bEnable=false,szOperator="&gt;",nValue=0,},},</t>
  </si>
  <si>
    <t>捉妖记·风筝</t>
  </si>
  <si>
    <t>{dwMapID=-1,szDisplay="风筝·捉妖记",nMaxDistance=60,tRelation={bAll=true,bEnemy=false,bAlly=false,},tLife={bEnable=false,szOperator="&gt;",nValue=0,},},</t>
  </si>
  <si>
    <t>{dwMapID=-1,szDisplay="财宝箱·御兽挑战",nMaxDistance=0,tRelation={bAll=true,bEnemy=false,bAlly=false,},tLife={bEnable=false,szOperator="&gt;",nValue=0,},},</t>
  </si>
  <si>
    <t>方超的信物</t>
  </si>
  <si>
    <t>{dwMapID=-1,szDisplay="方超信物·阵营前置",nMaxDistance=0,tRelation={bAll=true,bEnemy=false,bAlly=false,},tLife={bEnable=false,szOperator="&gt;",nValue=0,},},</t>
  </si>
  <si>
    <t>赵新宇的信物</t>
  </si>
  <si>
    <t>{dwMapID=-1,szDisplay="赵新宇信物·阵营前置",nMaxDistance=0,tRelation={bAll=true,bEnemy=false,bAlly=false,},tLife={bEnable=false,szOperator="&gt;",nValue=0,},},</t>
  </si>
  <si>
    <t>河底的沙石</t>
  </si>
  <si>
    <t>{dwMapID=-1,szDisplay="河底的沙石·前置",nMaxDistance=20,tRelation={bAll=false,bEnemy=true,bAlly=false,},tLife={bEnable=false,szOperator="&gt;",nValue=0,},},</t>
  </si>
  <si>
    <t>护送奖赏</t>
  </si>
  <si>
    <t>{dwMapID=-1,szDisplay="护送奖赏·粮草先行",nMaxDistance=0,tRelation={bAll=true,bEnemy=false,bAlly=false,},tLife={bEnable=false,szOperator="&gt;",nValue=0,},},</t>
  </si>
  <si>
    <t>拦截奖赏</t>
  </si>
  <si>
    <t>{dwMapID=-1,szDisplay="拦截奖赏·粮草先行",nMaxDistance=0,tRelation={bAll=true,bEnemy=false,bAlly=false,},tLife={bEnable=false,szOperator="&gt;",nValue=0,},},</t>
  </si>
  <si>
    <t>锋芒展·深色的沙土堆</t>
  </si>
  <si>
    <t>{dwMapID=-1,szDisplay="深色的沙土堆·锋芒展",nMaxDistance=60,tRelation={bAll=true,bEnemy=false,bAlly=false,},tLife={bEnable=false,szOperator="&gt;",nValue=0,},},</t>
  </si>
  <si>
    <t>锋芒展·散落的兵刃</t>
  </si>
  <si>
    <t>{dwMapID=-1,szDisplay="散落的兵刃·锋芒展",nMaxDistance=60,tRelation={bAll=true,bEnemy=false,bAlly=false,},tLife={bEnable=false,szOperator="&gt;",nValue=0,},},</t>
  </si>
  <si>
    <t>锋芒展·四散的弩箭</t>
  </si>
  <si>
    <t>{dwMapID=-1,szDisplay="四散的弩箭·锋芒展",nMaxDistance=30,tRelation={bAll=true,bEnemy=false,bAlly=false,},tLife={bEnable=false,szOperator="&gt;",nValue=0,},},</t>
  </si>
  <si>
    <t>锋芒展·篝火残骸</t>
  </si>
  <si>
    <t>{dwMapID=-1,szDisplay="篝火残骸·锋芒展",nMaxDistance=70,tRelation={bAll=true,bEnemy=false,bAlly=false,},tLife={bEnable=false,szOperator="&gt;",nValue=0,},},</t>
  </si>
  <si>
    <t>锋芒展·散落的刀兵</t>
  </si>
  <si>
    <t>{dwMapID=-1,szDisplay="散落的刀兵·锋芒展",nMaxDistance=70,tRelation={bAll=true,bEnemy=false,bAlly=false,},tLife={bEnable=false,szOperator="&gt;",nValue=0,},},</t>
  </si>
  <si>
    <t>锋芒展·商队货物</t>
  </si>
  <si>
    <t>{dwMapID=-1,szDisplay="商队货物·锋芒展",nMaxDistance=90,tRelation={bAll=true,bEnemy=false,bAlly=false,},tLife={bEnable=false,szOperator="&gt;",nValue=0,},},</t>
  </si>
  <si>
    <t>锋芒展·女儿红</t>
  </si>
  <si>
    <t>{dwMapID=-1,szDisplay="女儿红·锋芒展",nMaxDistance=3,tRelation={bAll=true,bEnemy=false,bAlly=false,},tLife={bEnable=false,szOperator="&gt;",nValue=0,},},</t>
  </si>
  <si>
    <t>孙永恒的信物</t>
  </si>
  <si>
    <t>{dwMapID=-1,szDisplay="孙永恒信物·阵营前置",nMaxDistance=0,tRelation={bAll=true,bEnemy=false,bAlly=false,},tLife={bEnable=false,szOperator="&gt;",nValue=0,},},</t>
  </si>
  <si>
    <t>霸图的信物</t>
  </si>
  <si>
    <t>{dwMapID=-1,szDisplay="霸图的信物·阵营前置",nMaxDistance=0,tRelation={bAll=true,bEnemy=false,bAlly=false,},tLife={bEnable=false,szOperator="&gt;",nValue=0,},},</t>
  </si>
  <si>
    <t>散落的冰魂货箱</t>
  </si>
  <si>
    <t>{dwMapID=-1,szDisplay="散落的冰魂货箱·前置",nMaxDistance=20,tRelation={bAll=true,bEnemy=false,bAlly=false,},tLife={bEnable=false,szOperator="&gt;",nValue=0,},},</t>
  </si>
  <si>
    <t>{$D5053}·冰蓝花客</t>
  </si>
  <si>
    <t>0,255,252,</t>
  </si>
  <si>
    <t>{dwMapID=-1,szDisplay="冰凌雪莲·冰蓝花客",nMaxDistance=0,tRelation={bAll=true,bEnemy=false,bAlly=false,},tLife={bEnable=false,szOperator="&gt;",nValue=0,},},</t>
  </si>
  <si>
    <t>冰魂</t>
  </si>
  <si>
    <t>{dwMapID=-1,szDisplay="冰魂·阵营前置",nMaxDistance=60,tRelation={bAll=true,bEnemy=false,bAlly=false,},tLife={bEnable=false,szOperator="&gt;",nValue=0,},},</t>
  </si>
  <si>
    <t>{dwMapID=-1,szDisplay="酒壶·采仙草",nMaxDistance=60,tRelation={bAll=true,bEnemy=false,bAlly=false,},tLife={bEnable=false,szOperator="&gt;",nValue=0,},},</t>
  </si>
  <si>
    <t>{dwMapID=-1,szDisplay="月影菇·采仙草",nMaxDistance=60,tRelation={bAll=true,bEnemy=false,bAlly=false,},tLife={bEnable=false,szOperator="&gt;",nValue=0,},},</t>
  </si>
  <si>
    <t>{dwMapID=-1,szDisplay="七窍返心枝·采仙草",nMaxDistance=60,tRelation={bAll=true,bEnemy=false,bAlly=false,},tLife={bEnable=false,szOperator="&gt;",nValue=0,},},</t>
  </si>
  <si>
    <t>{dwMapID=-1,szDisplay="大木箱·美人图",nMaxDistance=30,tRelation={bAll=true,bEnemy=false,bAlly=false,},tLife={bEnable=false,szOperator="&gt;",nValue=0,},},</t>
  </si>
  <si>
    <t>{dwMapID=-1,szDisplay="脏东西·美人图",nMaxDistance=35,tRelation={bAll=true,bEnemy=false,bAlly=false,},tLife={bEnable=false,szOperator="&gt;",nValue=0,},},</t>
  </si>
  <si>
    <t>{dwMapID=-1,szDisplay="赠礼·毒手催画",nMaxDistance=0,tRelation={bAll=true,bEnemy=false,bAlly=false,},tLife={bEnable=false,szOperator="&gt;",nValue=0,},},</t>
  </si>
  <si>
    <t>{dwMapID=-1,szDisplay="招魂幡",nMaxDistance=25,tRelation={bAll=true,bEnemy=false,bAlly=false,},tLife={bEnable=false,szOperator="&gt;",nValue=0,},},</t>
  </si>
  <si>
    <t>{dwMapID=-1,nMaxDistance=1.5,tRelation={bAll=true,bEnemy=false,bAlly=false,},tLife={bEnable=false,szOperator="&gt;",nValue=0,},},</t>
  </si>
  <si>
    <t>帮会订单宝堆</t>
  </si>
  <si>
    <t>帮会订单宝堆1</t>
  </si>
  <si>
    <t>{dwMapID=-1,szDisplay="帮会订单宝堆1",nMaxDistance=20,tRelation={bAll=true,bEnemy=false,bAlly=false,},tLife={bEnable=false,szOperator="&gt;",nValue=0,},},</t>
  </si>
  <si>
    <t>帮会订单宝堆2</t>
  </si>
  <si>
    <t>{dwMapID=-1,szDisplay="帮会订单宝堆2",nMaxDistance=20,tRelation={bAll=true,bEnemy=false,bAlly=false,},tLife={bEnable=false,szOperator="&gt;",nValue=0,},},</t>
  </si>
  <si>
    <t>帮会订单宝堆3</t>
  </si>
  <si>
    <t>{dwMapID=-1,szDisplay="帮会订单宝堆3",nMaxDistance=20,tRelation={bAll=true,bEnemy=false,bAlly=false,},tLife={bEnable=false,szOperator="&gt;",nValue=0,},},</t>
  </si>
  <si>
    <t>破旧的纸卷·小诺</t>
  </si>
  <si>
    <t>{dwMapID=-1,szDisplay="破旧的纸卷·小诺",nMaxDistance=0,tRelation={bAll=true,bEnemy=false,bAlly=false,},tLife={bEnable=false,szOperator="&gt;",nValue=0,},},</t>
  </si>
  <si>
    <t>泥沙堆·红羽大将军</t>
  </si>
  <si>
    <t>{dwMapID=-1,szDisplay="泥沙堆·红羽大将军",nMaxDistance=0,tRelation={bAll=true,bEnemy=false,bAlly=false,},tLife={bEnable=false,szOperator="&gt;",nValue=0,},},</t>
  </si>
  <si>
    <t>竹马情·发光的物件</t>
  </si>
  <si>
    <t>{dwMapID=-1,szDisplay="一个闪闪发光的物件·竹马情",nMaxDistance=90,tRelation={bAll=true,bEnemy=false,bAlly=false,},tLife={bEnable=false,szOperator="&gt;",nValue=0,},},</t>
  </si>
  <si>
    <t>{dwMapID=-1,szDisplay="隐藏任务·方士3级",nMaxDistance=0,tRelation={bAll=true,bEnemy=false,bAlly=false,},tLife={bEnable=false,szOperator="&gt;",nValue=0,},},</t>
  </si>
  <si>
    <t>{dwMapID=-1,szDisplay="灵符阵法·门派事件",nMaxDistance=1,tRelation={bAll=true,bEnemy=false,bAlly=false,},tLife={bEnable=false,szOperator="&gt;",nValue=0,},},</t>
  </si>
  <si>
    <t>小土堆·滇南行</t>
  </si>
  <si>
    <t>滇南行·小土堆</t>
  </si>
  <si>
    <t>换颜草·滇南行</t>
  </si>
  <si>
    <t>滇南行·换颜草</t>
  </si>
  <si>
    <t>{dwMapID=-1,szDisplay="换颜草·滇南行",nMaxDistance=60,tRelation={bAll=true,bEnemy=false,bAlly=false,},tLife={bEnable=false,szOperator="&gt;",nValue=0,},},</t>
  </si>
  <si>
    <t>小土堆·商周客</t>
  </si>
  <si>
    <t>{dwMapID=-1,szDisplay="小土堆·商周客",nMaxDistance=0,tRelation={bAll=true,bEnemy=false,bAlly=false,},tLife={bEnable=false,szOperator="&gt;",nValue=0,},},</t>
  </si>
  <si>
    <t>小土堆·石敢当</t>
  </si>
  <si>
    <t>{dwMapID=-1,szDisplay="小土堆·石敢当",nMaxDistance=30,tRelation={bAll=true,bEnemy=false,bAlly=false,},tLife={bEnable=false,szOperator="&gt;",nValue=0,},},</t>
  </si>
  <si>
    <t>红衣教的赏赐</t>
  </si>
  <si>
    <t>{dwMapID=-1,szDisplay="红衣教的赏赐",nMaxDistance=0,tRelation={bAll=true,bEnemy=false,bAlly=false,},tLife={bEnable=false,szOperator="&gt;",nValue=0,},},</t>
  </si>
  <si>
    <t>情报箱·兽王佩</t>
  </si>
  <si>
    <t>{dwMapID=-1,szDisplay="情报箱·兽王佩",nMaxDistance=0,tRelation={bAll=true,bEnemy=false,bAlly=false,},tLife={bEnable=false,szOperator="&gt;",nValue=0,},},</t>
  </si>
  <si>
    <t>军机宝箱·阿里</t>
  </si>
  <si>
    <t>{dwMapID=-1,szDisplay="军机宝箱·阿里",nMaxDistance=0,tRelation={bAll=true,bEnemy=false,bAlly=false,},tLife={bEnable=false,szOperator="&gt;",nValue=0,},},</t>
  </si>
  <si>
    <t>{dwMapID=-1,szDisplay="搜刮的财务·路见不平",nMaxDistance=30,tRelation={bAll=true,bEnemy=false,bAlly=false,},tLife={bEnable=false,szOperator="&gt;",nValue=0,},},</t>
  </si>
  <si>
    <t>{nClass=17,nIcon=17135,nFrame=7,bHold=true,szName="对话·阎规·阅读·鲁小兔的留书",nTime=600,key="奇遇提示2",},</t>
  </si>
  <si>
    <t>{nClass=17,nIcon=17135,nFrame=7,bHold=true,szName="再次对话·阎规·随后对话·神秘人",nTime=600,key="奇遇提示3",},</t>
  </si>
  <si>
    <t>{nClass=18,nIcon=17135,nFrame=7,bHold=true,szName="前往棚子·对话·神秘人",nTime=600,nRefresh=600,key="奇遇提示2",},</t>
  </si>
  <si>
    <t>{nClass=18,nIcon=17135,nFrame=7,bHold=true,szName="返回鲁小兔之墓·对话·阎规",nTime=600,nRefresh=600,key="奇遇提示3",},</t>
  </si>
  <si>
    <t>{nClass=17,nIcon=17135,nFrame=7,bHold=true,szName="奇遇提示2",nTime=-2,key="奇遇提示2",},</t>
  </si>
  <si>
    <t>{nClass=17,nIcon=17135,nFrame=7,bHold=true,szName="奇遇提示3",nTime=-2,key="奇遇提示3",},</t>
  </si>
  <si>
    <t>{nClass=17,nIcon=17135,nFrame=7,bHold=true,szName="完成奇遇·兔江湖",nTime=10,nRefresh=7200,key="奇遇提示2",},</t>
  </si>
  <si>
    <t>{nClass=17,nIcon=17135,nFrame=7,bHold=true,szName="完成奇遇·兔江湖",nTime=10,nRefresh=7200,key="奇遇提示3",},</t>
  </si>
  <si>
    <t>{dwMapID=-1,szDisplay="传送·长安地宫",nMaxDistance=6,tRelation={bAll=true,bEnemy=false,bAlly=false,},tLife={bEnable=false,szOperator="&gt;",nValue=0,},},</t>
  </si>
  <si>
    <t>猴儿酒·稚子心</t>
  </si>
  <si>
    <t>{dwMapID=-1,szDisplay="猴儿酒·稚子心",nMaxDistance=120,tRelation={bAll=true,bEnemy=false,bAlly=false,},tLife={bEnable=false,szOperator="&gt;",nValue=0,},},</t>
  </si>
  <si>
    <t>{dwMapID=-1,szDisplay="鱼篓·上交",nMaxDistance=10,tRelation={bAll=true,bEnemy=false,bAlly=false,},tLife={bEnable=false,szOperator="&gt;",nValue=0,},},</t>
  </si>
  <si>
    <t>{dwMapID=-1,szDisplay="传送·长安地宫",nMaxDistance=10,tRelation={bAll=true,bEnemy=false,bAlly=false,},tLife={bEnable=false,szOperator="&gt;",nValue=0,},},</t>
  </si>
  <si>
    <t>{dwMapID=-1,szDisplay="小土堆·故园风雨",nMaxDistance=40,tRelation={bAll=true,bEnemy=false,bAlly=false,},tLife={bEnable=false,szOperator="&gt;",nValue=0,},},</t>
  </si>
  <si>
    <t>{dwMapID=-1,szDisplay="颠倒梦想·迷仙引",nMaxDistance=20,tRelation={bAll=true,bEnemy=false,bAlly=false,},tLife={bEnable=false,szOperator="&gt;",nValue=0,},},</t>
  </si>
  <si>
    <t>{dwMapID=-1,szDisplay="机关",nMaxDistance=6,tRelation={bAll=true,bEnemy=false,bAlly=false,},tLife={bEnable=false,szOperator="&gt;",nValue=0,},},</t>
  </si>
  <si>
    <t>蓝方菌箱</t>
  </si>
  <si>
    <t>红方菌箱</t>
  </si>
  <si>
    <t>{dwMapID=-1,szDisplay="衣物箱·门派事件",nMaxDistance=6,tRelation={bAll=true,bEnemy=false,bAlly=false,},tLife={bEnable=false,szOperator="&gt;",nValue=0,},},</t>
  </si>
  <si>
    <t>{dwMapID=-1,szDisplay="弓箭架·门派事件",nMaxDistance=10,tRelation={bAll=true,bEnemy=false,bAlly=false,},tLife={bEnable=false,szOperator="&gt;",nValue=0,},},</t>
  </si>
  <si>
    <t>{dwMapID=-1,szDisplay="贯云梯·传送",nMaxDistance=10,tRelation={bAll=true,bEnemy=false,bAlly=false,},tLife={bEnable=false,szOperator="&gt;",nValue=0,},},</t>
  </si>
  <si>
    <t>{dwMapID=-1,szDisplay="玄铁矿·门派事件",nMaxDistance=30,tRelation={bAll=true,bEnemy=false,bAlly=false,},tLife={bEnable=false,szOperator="&gt;",nValue=0,},},</t>
  </si>
  <si>
    <t>坚果·果果</t>
  </si>
  <si>
    <t>{dwMapID=-1,szDisplay="坚果·果果",nMaxDistance=0,tRelation={bAll=true,bEnemy=false,bAlly=false,},tLife={bEnable=false,szOperator="&gt;",nValue=0,},},</t>
  </si>
  <si>
    <t>日行一善</t>
  </si>
  <si>
    <t>{dwMapID=-1,szDisplay="尸骨·日行一善",nMaxDistance=30,tRelation={bAll=true,bEnemy=false,bAlly=false,},tLife={bEnable=false,szOperator="&gt;",nValue=0,},},</t>
  </si>
  <si>
    <t>{dwMapID=-1,szDisplay="金晶岩·泛天河",nMaxDistance=120,tRelation={bAll=true,bEnemy=false,bAlly=false,},tLife={bEnable=false,szOperator="&gt;",nValue=0,},},</t>
  </si>
  <si>
    <t>{dwMapID=-1,szDisplay="小水桶·隐藏任务",nMaxDistance=20,tRelation={bAll=true,bEnemy=false,bAlly=false,},tLife={bEnable=false,szOperator="&gt;",nValue=0,},},</t>
  </si>
  <si>
    <t>{dwMapID=-1,szDisplay="野人参·20分",nMaxDistance=0,tRelation={bAll=true,bEnemy=false,bAlly=false,},tLife={bEnable=false,szOperator="&gt;",nValue=0,},},</t>
  </si>
  <si>
    <t>{dwMapID=-1,szDisplay="木材·6分",nMaxDistance=30,tRelation={bAll=true,bEnemy=false,bAlly=false,},tLife={bEnable=false,szOperator="&gt;",nValue=0,},},</t>
  </si>
  <si>
    <t>冰面</t>
  </si>
  <si>
    <t>{dwMapID=-1,szDisplay="冰面",nMaxDistance=6,tRelation={bAll=true,bEnemy=false,bAlly=false,},tLife={bEnable=false,szOperator="&gt;",nValue=0,},},</t>
  </si>
  <si>
    <t>林海珍奇宝箱</t>
  </si>
  <si>
    <t>{dwMapID=-1,szDisplay="林海珍奇宝箱",nMaxDistance=0,tRelation={bAll=true,bEnemy=false,bAlly=false,},tLife={bEnable=false,szOperator="&gt;",nValue=0,},},</t>
  </si>
  <si>
    <t>寓天涯·莓莓</t>
  </si>
  <si>
    <t>{dwMapID=-1,szDisplay="莓莓·寓天涯",nMaxDistance=10,tRelation={bAll=true,bEnemy=false,bAlly=false,},tLife={bEnable=false,szOperator="&gt;",nValue=0,},},</t>
  </si>
  <si>
    <t>寓天涯·海螺壳</t>
  </si>
  <si>
    <t>{dwMapID=-1,szDisplay="海螺壳·寓天涯",nMaxDistance=60,tRelation={bAll=true,bEnemy=false,bAlly=false,},tLife={bEnable=false,szOperator="&gt;",nValue=0,},},</t>
  </si>
  <si>
    <t>乱红鸾·QTE</t>
  </si>
  <si>
    <t>{dwMapID=-1,szDisplay="乱红鸾·QTE",nMaxDistance=6,tRelation={bAll=true,bEnemy=false,bAlly=false,},tLife={bEnable=false,szOperator="&gt;",nValue=0,},},</t>
  </si>
  <si>
    <t>乱红鸾·QTE2</t>
  </si>
  <si>
    <t>乱红鸾·出逃</t>
  </si>
  <si>
    <t>{dwMapID=-1,szDisplay="乱红鸾·出逃",nMaxDistance=0,tRelation={bAll=true,bEnemy=false,bAlly=false,},tLife={bEnable=false,szOperator="&gt;",nValue=0,},},</t>
  </si>
  <si>
    <t>夜哀鸣·蹲守</t>
  </si>
  <si>
    <t>夜哀鸣·止血草</t>
  </si>
  <si>
    <t>{dwMapID=-1,szDisplay="止血草·夜哀鸣",nMaxDistance=80,tRelation={bAll=true,bEnemy=false,bAlly=false,},tLife={bEnable=false,szOperator="&gt;",nValue=0,},},</t>
  </si>
  <si>
    <t>夜哀鸣·试探</t>
  </si>
  <si>
    <t>{dwMapID=-1,szDisplay="试探·夜哀鸣",nMaxDistance=60,tRelation={bAll=true,bEnemy=false,bAlly=false,},tLife={bEnable=false,szOperator="&gt;",nValue=0,},},</t>
  </si>
  <si>
    <t>夜哀鸣·甜果</t>
  </si>
  <si>
    <t>{dwMapID=-1,szDisplay="甜果·夜哀鸣",nMaxDistance=90,tRelation={bAll=true,bEnemy=false,bAlly=false,},tLife={bEnable=false,szOperator="&gt;",nValue=0,},},</t>
  </si>
  <si>
    <t>故岁辞·散落的羽毛</t>
  </si>
  <si>
    <t>{dwMapID=-1,szDisplay="散落的羽毛·故岁辞",nMaxDistance=120,tRelation={bAll=true,bEnemy=false,bAlly=false,},tLife={bEnable=false,szOperator="&gt;",nValue=0,},},</t>
  </si>
  <si>
    <t>故岁辞·光圈</t>
  </si>
  <si>
    <t>故岁辞·光圈1</t>
  </si>
  <si>
    <t>{dwMapID=-1,szDisplay="光圈·故岁辞",nMaxDistance=120,tRelation={bAll=true,bEnemy=false,bAlly=false,},tLife={bEnable=false,szOperator="&gt;",nValue=0,},},</t>
  </si>
  <si>
    <t>故岁辞·光圈2</t>
  </si>
  <si>
    <t>故岁辞·鸟笼</t>
  </si>
  <si>
    <t>{dwMapID=-1,szDisplay="鸟笼·故岁辞",nMaxDistance=40,tRelation={bAll=true,bEnemy=false,bAlly=false,},tLife={bEnable=false,szOperator="&gt;",nValue=0,},},</t>
  </si>
  <si>
    <t>出车奖励</t>
  </si>
  <si>
    <t>世界首领掉落</t>
  </si>
  <si>
    <t>隐樵关·宝箱</t>
  </si>
  <si>
    <t>{dwMapID=-1,szDisplay="隐樵关·宝堆",nMaxDistance=0,tRelation={bAll=true,bEnemy=false,bAlly=false,},tLife={bEnable=false,szOperator="&gt;",nValue=0,},},</t>
  </si>
  <si>
    <t>天生关·宝箱</t>
  </si>
  <si>
    <t>{dwMapID=-1,szDisplay="天生关·宝堆",nMaxDistance=0,tRelation={bAll=true,bEnemy=false,bAlly=false,},tLife={bEnable=false,szOperator="&gt;",nValue=0,},},</t>
  </si>
  <si>
    <t>赤岩关·宝箱</t>
  </si>
  <si>
    <t>{dwMapID=-1,szDisplay="赤岩关·宝堆",nMaxDistance=0,tRelation={bAll=true,bEnemy=false,bAlly=false,},tLife={bEnable=false,szOperator="&gt;",nValue=0,},},</t>
  </si>
  <si>
    <t>树叶堆·解心语</t>
  </si>
  <si>
    <t>解心语</t>
  </si>
  <si>
    <t>{dwMapID=-1,szDisplay="树叶堆·解心语",nMaxDistance=30,tRelation={bAll=true,bEnemy=false,bAlly=false,},tLife={bEnable=false,szOperator="&gt;",nValue=0,},},</t>
  </si>
  <si>
    <t>{dwMapID=-1,szDisplay="炼气丸·35",nMaxDistance=0,tRelation={bAll=true,bEnemy=false,bAlly=false,},tLife={bEnable=false,szOperator="&gt;",nValue=0,},},</t>
  </si>
  <si>
    <t>{dwMapID=-1,szDisplay="雪堆·宝箱",nMaxDistance=0,tRelation={bAll=true,bEnemy=false,bAlly=false,},tLife={bEnable=false,szOperator="&gt;",nValue=0,},},</t>
  </si>
  <si>
    <t>{dwMapID=-1,szDisplay="土堆·宝箱",nMaxDistance=0,tRelation={bAll=true,bEnemy=false,bAlly=false,},tLife={bEnable=false,szOperator="&gt;",nValue=0,},},</t>
  </si>
  <si>
    <t>{dwMapID=-1,szDisplay="果子·宝箱",nMaxDistance=0,tRelation={bAll=true,bEnemy=false,bAlly=false,},tLife={bEnable=false,szOperator="&gt;",nValue=0,},},</t>
  </si>
  <si>
    <t>{dwMapID=-1,szDisplay="落叶堆·宝箱",nMaxDistance=0,tRelation={bAll=true,bEnemy=false,bAlly=false,},tLife={bEnable=false,szOperator="&gt;",nValue=0,},},</t>
  </si>
  <si>
    <t>{dwMapID=-1,szDisplay="云从券·肆",nMaxDistance=10,tRelation={bAll=true,bEnemy=false,bAlly=false,},tLife={bEnable=false,szOperator="&gt;",nValue=0,},},</t>
  </si>
  <si>
    <t>破巧言·酒杯</t>
  </si>
  <si>
    <t>{dwMapID=-1,szDisplay="酒杯·破巧言",nMaxDistance=1,tRelation={bAll=true,bEnemy=false,bAlly=false,},tLife={bEnable=false,szOperator="&gt;",nValue=0,},},</t>
  </si>
  <si>
    <t>破巧言·包袱</t>
  </si>
  <si>
    <t>{dwMapID=-1,szDisplay="包袱·破巧言",nMaxDistance=60,tRelation={bAll=true,bEnemy=false,bAlly=false,},tLife={bEnable=false,szOperator="&gt;",nValue=0,},},</t>
  </si>
  <si>
    <t>喊话内容</t>
  </si>
  <si>
    <t>子串搜索</t>
  </si>
  <si>
    <t>正则匹配</t>
  </si>
  <si>
    <t>喊话.语音报警</t>
  </si>
  <si>
    <t>喊话.团队报警</t>
  </si>
  <si>
    <t>喊话.密聊警报</t>
  </si>
  <si>
    <t>喊话.中央报警</t>
  </si>
  <si>
    <t>喊话.头顶报警</t>
  </si>
  <si>
    <t>return{TALK={</t>
  </si>
  <si>
    <t>%</t>
  </si>
  <si>
    <t>([浩气恶人]-)前线战况焦灼，(.-)，有劳你速速前往支援！</t>
  </si>
  <si>
    <t>{$1}·{$2}·即将到达</t>
  </si>
  <si>
    <t>{nClass=14,nIcon=2396,nFrame=-1,szName="",nTime=0.001,nRefresh=2,key="浩气·{$2}·助战",},</t>
  </si>
  <si>
    <t>{nClass=14,nIcon=2396,nFrame=-1,szName="浩气·{$2}·助战",nTime=-1,key="浩气·{$2}·助战",},</t>
  </si>
  <si>
    <t>{nClass=14,nIcon=2396,nFrame=-1,szName="",nTime=0.001,nRefresh=2,key="恶人·{$2}·助战",},</t>
  </si>
  <si>
    <t>{nClass=14,nIcon=2396,nFrame=-1,szName="恶人·{$2}·助战",nTime=-1,key="恶人·{$2}·助战",},</t>
  </si>
  <si>
    <t>{nClass=14,nIcon=2396,nFrame=-1,szName="{$1}·{$2}·助战",nTime=0,key="{$1}·{$2}·助战",},</t>
  </si>
  <si>
    <t>{nClass=14,nIcon=20122,nFrame=7,szName="浩气·{$2}·前来助战",nTime=300,nRefresh=1,key="浩气·{$2}·助战",},</t>
  </si>
  <si>
    <t>{nClass=14,nIcon=20114,nFrame=3,szName="恶人·{$2}·前来助战",nTime=300,nRefresh=1,key="恶人·{$2}·助战",},</t>
  </si>
  <si>
    <t>{nClass=14,nIcon=16834,nFrame=6,szName="{$sender}·{$2}·减伤",nTime=-2,key="{$sender}·{$2}·减伤",},</t>
  </si>
  <si>
    <t>{nClass=14,nIcon=16834,nFrame=6,szName="{$2}·减伤层数已清空",nTime=10,key="{$sender}·{$2}·减伤",},</t>
  </si>
  <si>
    <t>{nClass=14,nIcon=2399,nFrame=2,szName="{$1}·召请CD·{$2}",nTime=1800,key="召请CD·{$2}",},</t>
  </si>
  <si>
    <t>{nClass=14,nIcon=13,nFrame=-1,szName="谢渊·月弄痕·减伤",nTime=-2,key="谢渊·月弄痕·减伤",},</t>
  </si>
  <si>
    <t>{nClass=14,nIcon=13,nFrame=-1,szName="谢渊·游驹·减伤",nTime=-2,key="谢渊·游驹·减伤",},</t>
  </si>
  <si>
    <t>{nClass=14,nIcon=13,nFrame=-1,szName="谢渊·小七·减伤",nTime=-2,key="谢渊·小七·减伤",},</t>
  </si>
  <si>
    <t>{nClass=14,nIcon=13,nFrame=-1,szName="谢渊·张桎辕·减伤",nTime=-2,key="谢渊·张桎辕·减伤",},</t>
  </si>
  <si>
    <t>{nClass=14,nIcon=13,nFrame=-1,szName="谢渊·司空仲平·减伤",nTime=-2,key="谢渊·司空仲平·减伤",},</t>
  </si>
  <si>
    <t>{nClass=14,nIcon=13,nFrame=-1,szName="王遗风·司徒一一·减伤",nTime=-2,key="王遗风·司徒一一·减伤",},</t>
  </si>
  <si>
    <t>{nClass=14,nIcon=13,nFrame=-1,szName="王遗风·白某·减伤",nTime=-2,key="王遗风·白某·减伤",},</t>
  </si>
  <si>
    <t>{nClass=14,nIcon=13,nFrame=-1,szName="王遗风·米丽古丽·减伤",nTime=-2,key="王遗风·米丽古丽·减伤",},</t>
  </si>
  <si>
    <t>{nClass=14,nIcon=13,nFrame=-1,szName="王遗风·陶寒亭·减伤",nTime=-2,key="王遗风·陶寒亭·减伤",},</t>
  </si>
  <si>
    <t>{nClass=14,nIcon=13,nFrame=-1,szName="王遗风·肖药儿·减伤",nTime=-2,key="王遗风·肖药儿·减伤",},</t>
  </si>
  <si>
    <t>(.-)已经尽力，请暂且退回疗伤。</t>
  </si>
  <si>
    <t>{$1}·败退</t>
  </si>
  <si>
    <t>{nClass=14,nIcon=13,nFrame=-1,szName="{$sender}·{$1}·减伤",nTime=-2,key="{$sender}·{$1}·减伤",},</t>
  </si>
  <si>
    <t>{nClass=14,nIcon=13,nFrame=-1,szName="",nTime=0.001,nRefresh=2,key="谢渊·{$1}·减伤",},</t>
  </si>
  <si>
    <t>{nClass=14,nIcon=13,nFrame=7,szName="谢渊·{$1}·减伤",nTime=-1,key="谢渊·{$1}·减伤",},</t>
  </si>
  <si>
    <t>{nClass=14,nIcon=13,nFrame=-1,szName="",nTime=0.001,nRefresh=2,key="王遗风·{$1}·减伤",},</t>
  </si>
  <si>
    <t>{nClass=14,nIcon=13,nFrame=3,szName="王遗风·{$1}·减伤",nTime=-1,key="王遗风·{$1}·减伤",},</t>
  </si>
  <si>
    <t>{nClass=14,nIcon=13,nFrame=-1,szName="{$sender}·{$1}·减伤",nTime=0,key="{$sender}·{$1}·减伤",},</t>
  </si>
  <si>
    <t>{nClass=14,nIcon=18829,nFrame=7,szName="浩气·{$1}·败退",nTime=10,nRefresh=10,key="谢渊·{$1}·减伤",},</t>
  </si>
  <si>
    <t>{nClass=14,nIcon=18830,nFrame=3,szName="恶人·{$1}·败退",nTime=10,nRefresh=10,key="王遗风·{$1}·减伤",},</t>
  </si>
  <si>
    <t>罢了，青山不改，绿水长流，后会有期！</t>
  </si>
  <si>
    <t>{$sender}·败退</t>
  </si>
  <si>
    <t>{nClass=14,nIcon=13,nFrame=6,szName="谢渊·{$sender}·减伤",nTime=0,key="谢渊·{$sender}·减伤",},</t>
  </si>
  <si>
    <t>{nClass=14,nIcon=13,nFrame=6,szName="王遗风·{$sender}·减伤",nTime=0,key="王遗风·{$sender}·减伤",},</t>
  </si>
  <si>
    <t>奉谷主之命，前来相助。</t>
  </si>
  <si>
    <t>恶人·{$sender}·正在助战</t>
  </si>
  <si>
    <t>{nClass=14,nIcon=14724,nFrame=6,szName="王遗风·{$sender}·减伤",nTime=-2,key="王遗风·{$sender}·减伤",},</t>
  </si>
  <si>
    <t>{nClass=14,nIcon=20114,nFrame=3,szName="恶人·{$sender}·正在助战",nTime=300,nRefresh=1,key="恶人·{$sender}·助战",},</t>
  </si>
  <si>
    <t>奉盟主之命，前来相助。</t>
  </si>
  <si>
    <t>浩气·{$sender}·正在助战</t>
  </si>
  <si>
    <t>{nClass=14,nIcon=14724,nFrame=6,szName="谢渊·{$sender}·减伤",nTime=-2,key="谢渊·{$sender}·减伤",},</t>
  </si>
  <si>
    <t>{nClass=14,nIcon=20122,nFrame=3,szName="浩气·{$sender}·正在助战",nTime=300,nRefresh=1,key="浩气·{$sender}·助战",},</t>
  </si>
  <si>
    <t>你获得了100点威名、100点战阶。受到了鼓舞，气力值增加500点。</t>
  </si>
  <si>
    <t>{nClass=14,nIcon=13,nFrame=1,szName="拾取间隔",nTime="300,物资车·拾取物资间隔;310,可以拾取物资了",nRefresh=1,key="拾取间隔",},</t>
  </si>
  <si>
    <t>你获得了100点威名、100点战阶。受到了鼓舞，气力值消耗减少一段时间。</t>
  </si>
  <si>
    <t>获得家具【游梦仙枕】与【二进宫】，并可在马宝玉处继续购买。</t>
  </si>
  <si>
    <t>{nClass=14,nIcon=17135,nFrame=7,szName="奇遇提示1",nTime=0,key="奇遇提示1",},</t>
  </si>
  <si>
    <t>{nClass=14,nIcon=17135,nFrame=7,szName="奇遇提示2",nTime=0,key="奇遇提示2",},</t>
  </si>
  <si>
    <t>{nClass=14,nIcon=17135,nFrame=7,szName="奇遇提示3",nTime=0,key="奇遇提示3",},</t>
  </si>
  <si>
    <t>{nClass=14,nIcon=17135,nFrame=7,szName="恭喜完成奇遇·白日梦",nTime=10,key="奇遇提示0",},</t>
  </si>
  <si>
    <t>悦月一口气要吃五个鲜肉包子，去买点包子来吧。</t>
  </si>
  <si>
    <t>{nClass=14,nIcon=17135,nFrame=0,szName="可去NPC小吃商购买·鲜肉包子",nTime=20,nRefresh=10,key="故园风雨1",},</t>
  </si>
  <si>
    <t>未找到前来帮助的侠士，少侠可重新发布援助。</t>
  </si>
  <si>
    <t>{nClass=14,nIcon=17135,nFrame=4,szName="",nTime="10,援助·未找到;232,援助·CD",nRefresh=0,key="援助",},</t>
  </si>
  <si>
    <t>正在为你寻找玩家，一分钟内对方将与你自动组队，请保持可组队状态。</t>
  </si>
  <si>
    <t>{nClass=14,nIcon=17135,nFrame=6,szName="援助·保持可组队状态",nTime=60,key="援助",},</t>
  </si>
  <si>
    <t>分流活动已开启，大侠可以前往龙门荒漠接取阵营攻防前置任务</t>
  </si>
  <si>
    <t>{nClass=14,nIcon=3536,nFrame=3,szName="龙门·攻防前置分流",nTime=30,nRefresh=3600,key="攻防前置分流",},</t>
  </si>
  <si>
    <t>分流活动已开启，大侠可以前往巴陵县接取阵营攻防前置任务</t>
  </si>
  <si>
    <t>{nClass=14,nIcon=3536,nFrame=7,szName="巴陵·攻防前置分流",nTime=30,nRefresh=3600,key="攻防前置分流",},</t>
  </si>
  <si>
    <t>狼牙先锋首领</t>
  </si>
  <si>
    <t>哼，打扰本大爷休息！</t>
  </si>
  <si>
    <t>刷新喊话2</t>
  </si>
  <si>
    <t>{nClass=14,nIcon=3556,nFrame=3,szName="狼牙先锋首领·已刷新",nTime=10,nRefresh=120,key="狼牙先锋首领",},</t>
  </si>
  <si>
    <t>你爷爷我年轻些时候，也是翻云覆雨的江湖响当当一号人物！</t>
  </si>
  <si>
    <t>刷新喊话1·可能会与2一起喊</t>
  </si>
  <si>
    <t>我竟然败给你们这群小辈！</t>
  </si>
  <si>
    <t>禁用此倒计时条，刷新CD与拾取CD合并</t>
  </si>
  <si>
    <t>{nClass=-1,nIcon=3556,nFrame=3,szName="",nTime="10,狼牙先锋首领·已击退;590,狼牙先锋首领·10分钟刷新;600,狼牙先锋首领·即将刷新",key="狼牙先锋首领",},</t>
  </si>
  <si>
    <t>当前收集了2000份打碎花灯收集流火，离开秘境即清空。</t>
  </si>
  <si>
    <t>花灯流火·已集满</t>
  </si>
  <si>
    <t>{nClass=14,nIcon=13,nFrame=2,szName="花灯流火·已集满",nTime=5,key="花灯流火值",},</t>
  </si>
  <si>
    <t>燕子娘</t>
  </si>
  <si>
    <t>到此……为止了……</t>
  </si>
  <si>
    <t>{nClass=14,nIcon=13,nFrame=-1,szName="侠客召请",nTime=-2,key="侠客召请",},</t>
  </si>
  <si>
    <t>{nClass=14,nIcon=5958,nFrame=2,szName="燕子娘·重伤",nTime=2,nRefresh=10,key="侠客召请",},</t>
  </si>
  <si>
    <t>刀马</t>
  </si>
  <si>
    <t>来者不善啊……</t>
  </si>
  <si>
    <t>{nClass=14,nIcon=5958,nFrame=2,szName="刀马·重伤",nTime=2,nRefresh=10,key="侠客召请",},</t>
  </si>
  <si>
    <t>康宴别</t>
  </si>
  <si>
    <t>给康家……丢脸了。</t>
  </si>
  <si>
    <t>{nClass=14,nIcon=17380,nFrame=2,szName="康宴别·重伤",nTime=2,nRefresh=10,key="侠客召请",},</t>
  </si>
  <si>
    <t>果然还是……学艺不精……</t>
  </si>
  <si>
    <t>茸茸</t>
  </si>
  <si>
    <t>救命啊，打不过，打不过，完全打不过……</t>
  </si>
  <si>
    <t>{nClass=14,nIcon=17383,nFrame=2,szName="茸茸·重伤",nTime=2,nRefresh=10,key="侠客召请",},</t>
  </si>
  <si>
    <t>费大劲</t>
  </si>
  <si>
    <t>既收了佣金，在下定然要以死相护……</t>
  </si>
  <si>
    <t>{nClass=14,nIcon=5958,nFrame=2,szName="费大劲·重伤",nTime=2,nRefresh=10,key="侠客召请",},</t>
  </si>
  <si>
    <t>唐小珂</t>
  </si>
  <si>
    <t>好强的敌人……你要……小心……</t>
  </si>
  <si>
    <t>{nClass=14,nIcon=17386,nFrame=2,szName="唐小珂·重伤",nTime=2,nRefresh=10,key="侠客召请",},</t>
  </si>
  <si>
    <t>对不起，任务失败了……</t>
  </si>
  <si>
    <t>沐晴柔</t>
  </si>
  <si>
    <t>我……尽力了……</t>
  </si>
  <si>
    <t>{nClass=14,nIcon=17390,nFrame=2,szName="沐晴柔·重伤",nTime=2,nRefresh=10,key="侠客召请",},</t>
  </si>
  <si>
    <t>只能……同行至此了……</t>
  </si>
  <si>
    <t>我这样……算是一代大侠吗？</t>
  </si>
  <si>
    <t>{nClass=14,nIcon=5958,nFrame=2,szName="沈剑心·重伤",nTime=2,nRefresh=10,key="侠客召请",},</t>
  </si>
  <si>
    <t>大侠不死，只是凋零。</t>
  </si>
  <si>
    <t>李星云</t>
  </si>
  <si>
    <t>放心，死不了。</t>
  </si>
  <si>
    <t>{nClass=14,nIcon=5958,nFrame=2,szName="李星云·重伤",nTime=2,nRefresh=10,key="侠客召请",},</t>
  </si>
  <si>
    <t>果然，实战和理论还是不同的……</t>
  </si>
  <si>
    <t>{nClass=14,nIcon=5958,nFrame=2,szName="月嘉禾·重伤",nTime=2,nRefresh=10,key="侠客召请",},</t>
  </si>
  <si>
    <t>白鹊</t>
  </si>
  <si>
    <t>不……还不能倒下……</t>
  </si>
  <si>
    <t>{nClass=14,nIcon=5958,nFrame=2,szName="白鹊·重伤",nTime=2,nRefresh=10,key="侠客召请",},</t>
  </si>
  <si>
    <t>贺闲</t>
  </si>
  <si>
    <t>此战凶险……务必小心……</t>
  </si>
  <si>
    <t>{nClass=14,nIcon=5958,nFrame=2,szName="贺闲·重伤",nTime=2,nRefresh=10,key="侠客召请",},</t>
  </si>
  <si>
    <t>这也太为难我了吧……呜呜呜……</t>
  </si>
  <si>
    <t>{nClass=14,nIcon=5958,nFrame=2,szName="{$sender}·重伤",nTime=2,nRefresh=10,key="侠客召请",},</t>
  </si>
  <si>
    <t>咳咳，主人小心些……</t>
  </si>
  <si>
    <t>我、尽力了……</t>
  </si>
  <si>
    <t>你获得1个侠客装备匣</t>
  </si>
  <si>
    <t>{nClass=14,nIcon=904,nFrame=5,szName="KEY·左旋右转",nTime=0,key="KEY·左旋右转",},</t>
  </si>
  <si>
    <t>{nClass=14,nIcon=904,nFrame=-1,szName="",nTime=0.001,nRefresh=60,key="KEY·左旋右转",},</t>
  </si>
  <si>
    <t>{nClass=14,nIcon=904,nFrame=5,szName="KEY·左旋右转",nTime=-1,nRefresh=60,key="KEY·左旋右转",},</t>
  </si>
  <si>
    <t>{nClass=14,nIcon=15692,nFrame=5,szName="KEY·飘黄",nTime=0,key="KEY·飘黄",},</t>
  </si>
  <si>
    <t>{nClass=14,nIcon=15692,nFrame=-1,szName="",nTime=0.001,nRefresh=80,key="KEY·飘黄",},</t>
  </si>
  <si>
    <t>{nClass=14,nIcon=15692,nFrame=5,szName="KEY·飘黄",nTime=-1,nRefresh=80,key="KEY·飘黄",},</t>
  </si>
  <si>
    <t>{nClass=14,nIcon=2744,nFrame=5,szName="KEY·蛊惑众生",nTime=0,key="KEY·蛊惑众生",},</t>
  </si>
  <si>
    <t>{nClass=14,nIcon=403,nFrame=5,szName="KEY·秋肃",nTime=0,key="KEY·秋肃",},</t>
  </si>
  <si>
    <t>秘境镖局接引人</t>
  </si>
  <si>
    <t>因(.*)交通阻塞，镖局临时开启【(.*)】秘境镖路，各位侠士可寻我直接进入秘境。</t>
  </si>
  <si>
    <t>{nClass=14,nIcon=641,nFrame=5,szName="秘境镖路·{$2}·{$1}",nTime=10,nRefresh=1800,key="{$2}·{$1}",},</t>
  </si>
  <si>
    <t>侠士放置的珍奇金蛋已经破裂，请尽快拾取掉落与金蛋碎片！</t>
  </si>
  <si>
    <t>珍奇金蛋·已破裂</t>
  </si>
  <si>
    <t>{nClass=14,nIcon=136,nFrame=6,szName="快拾取金蛋掉落与碎片！",nTime=10,key="元旦·金蛋",},</t>
  </si>
  <si>
    <t>侠士放置的珍奇金蛋已经破裂，请尽快拾取掉落！</t>
  </si>
  <si>
    <t>{nClass=14,nIcon=136,nFrame=6,szName="快拾取金蛋掉落！",nTime=10,key="元旦·金蛋",},</t>
  </si>
  <si>
    <t>珍奇金蛋已经破裂，请在2分钟内拾取金蛋碎片！</t>
  </si>
  <si>
    <t>{nClass=14,nIcon=136,nFrame=6,szName="快拾取金蛋碎片！",nTime=10,key="元旦·金蛋",},</t>
  </si>
  <si>
    <t>{$me}这是什么乱七八糟的水沏的，白白浪费了上好的</t>
  </si>
  <si>
    <t>{nClass=14,nIcon=2179,nFrame=6,szName="沏茶错误",nTime=2,key="茶馆·泡茶",},</t>
  </si>
  <si>
    <t>团队宝藏点出现！只存在一刻钟，速去寻找！</t>
  </si>
  <si>
    <t>团点出现</t>
  </si>
  <si>
    <t>{nClass=14,nIcon=13,nFrame=6,szName="团点剩余时间",nTime=900,key="挖宝·团点",},</t>
  </si>
  <si>
    <t>你发现了一个藏宝洞！藏宝洞只存在两刻钟，务必速速前往挖掘宝藏！</t>
  </si>
  <si>
    <t>发现·藏宝洞</t>
  </si>
  <si>
    <t>{nClass=14,nIcon=13,nFrame=7,szName="藏宝洞剩余时间",nTime=1800,key="挖宝·藏宝洞",},</t>
  </si>
  <si>
    <t>分配者正发起收入分配，不在相同场景者无法投票，倒计时结束后默认反对</t>
  </si>
  <si>
    <t>{nClass=14,nIcon=5959,nFrame=3,szName="收入发放倒计时",nTime=30,key="发起收入分配",},</t>
  </si>
  <si>
    <t>你接到封演的飞鸽传书，邀你前往晟江黄槲镇西北面一会。</t>
  </si>
  <si>
    <t>{nClass=14,nIcon=17135,nFrame=7,bHold=true,szName="前往·晟江·黄槲镇·封演",nTime=60,key="奇遇提示1",},</t>
  </si>
  <si>
    <t>{nClass=14,nIcon=17135,nFrame=7,bHold=true,szName="前往·晟江·茶馆·纪小橙",nTime=60,key="奇遇提示2",},</t>
  </si>
  <si>
    <t>雪雪</t>
  </si>
  <si>
    <t>一起去哪玩？</t>
  </si>
  <si>
    <t>{nClass=14,nIcon=293,nFrame=5,szName="可以去溪水里看荷花",nTime=20,nRefresh=15,key="雪雪·旅行介绍1",},</t>
  </si>
  <si>
    <t>{nClass=14,nIcon=293,nFrame=5,szName="可以顺着桥走去看瀑布",nTime=20,nRefresh=15,key="雪雪·旅行介绍2",},</t>
  </si>
  <si>
    <t>凝血草阿二</t>
  </si>
  <si>
    <t>大兄弟你说，我这意见靠不靠谱？</t>
  </si>
  <si>
    <t>{nClass=14,nIcon=17135,nFrame=6,bHold=true,szName="再次对话·凝血草阿二",nTime=300,key="奇遇提示2",},</t>
  </si>
  <si>
    <t>{nClass=14,nIcon=17135,nFrame=6,bHold=true,szName="对话完成·对话·凝血草阿三",nTime=300,key="奇遇提示3",},</t>
  </si>
  <si>
    <t>凝血草阿大</t>
  </si>
  <si>
    <t>也不知道那金色的丹药是什么，能让我尝尝不。</t>
  </si>
  <si>
    <t>{nClass=14,nIcon=17135,nFrame=6,bHold=true,szName="再次对话·凝血草阿大",nTime=300,key="奇遇提示2",},</t>
  </si>
  <si>
    <t>{nClass=14,nIcon=17135,nFrame=6,bHold=true,szName="对话完成·对话·凝血草阿二",nTime=300,key="奇遇提示3",},</t>
  </si>
  <si>
    <t>还未到达指定地点！</t>
  </si>
  <si>
    <t>{nClass=14,nIcon=17135,nFrame=7,bHold=true,szName="\"野\"字左边·使用·游梦仙枕",nTime=300,key="奇遇提示3",},</t>
  </si>
  <si>
    <t>{nClass=14,nIcon=293,nFrame=5,szName="晴昼海·赵小凯·附近·触发命途",nTime=20,nRefresh=15,key="雪雪·旅行介绍1",},</t>
  </si>
  <si>
    <t>{nClass=14,nIcon=293,nFrame=5,szName="落星湖小屋找·宇晴",nTime=20,nRefresh=15,key="雪雪·旅行介绍2",},</t>
  </si>
  <si>
    <t>东方宇轩</t>
  </si>
  <si>
    <t>万花众弟子听命：青岩开谷，放开禁制，接引百姓入谷！</t>
  </si>
  <si>
    <t>{nClass=14,nIcon=17135,nFrame=3,szName="门派事件1·开谷济苍生·星落湖",nTime=20,key="门派事件1",},</t>
  </si>
  <si>
    <t>万花弟子听令！立刻设防落星湖！不可使毒人侵扰就医百姓！</t>
  </si>
  <si>
    <t>{nClass=14,nIcon=17135,nFrame=3,szName="门派事件2·恶徒乱晴昼·晴昼海",nTime=20,key="门派事件2",},</t>
  </si>
  <si>
    <t>速速通知孙先生和宇晴前往查看，万不可使毒雾外泄！</t>
  </si>
  <si>
    <t>{nClass=14,nIcon=17135,nFrame=3,szName="门派事件3·奇草化毒雾·晴昼海",nTime=20,key="门派事件3",},</t>
  </si>
  <si>
    <t>{nClass=14,nIcon=17135,nFrame=3,szName="拾取曦芜花放置在毒圈上",nTime=20.1,key="门派事件3·提示",},</t>
  </si>
  <si>
    <t>宇晴</t>
  </si>
  <si>
    <t>烦请各位侠士将大家带来的花草移植到花海深处。</t>
  </si>
  <si>
    <t>{nClass=14,nIcon=17135,nFrame=3,szName="门派事件1·献花复晴昼·星落湖",nTime=20,key="门派事件1",},</t>
  </si>
  <si>
    <t>栽种花苗的位置已经标记，可打开中地图随时查看</t>
  </si>
  <si>
    <t>{nClass=14,nIcon=17135,nFrame=3,szName="看小地图绿点·放置花苗",nTime=30,nRefresh=20,key="门派事件1",},</t>
  </si>
  <si>
    <t>万花众弟子小心戒备！不可使其入山！</t>
  </si>
  <si>
    <t>{nClass=14,nIcon=17135,nFrame=3,szName="门派事件2·花海阻狼牙·晴昼海西南",nTime=20,key="门派事件2",},</t>
  </si>
  <si>
    <t>令狐潮</t>
  </si>
  <si>
    <t>传某将令！死士进击！</t>
  </si>
  <si>
    <t>{nClass=14,nIcon=17135,nFrame=3,szName="门派事件2·晴昼海西南·令狐潮",nTime=20,nRefresh=360,key="门派事件2",},</t>
  </si>
  <si>
    <t>万花弟子</t>
  </si>
  <si>
    <t>谷主将在山门针对此次开谷进行训诫，谷内弟子速速前来。</t>
  </si>
  <si>
    <t>{nClass=14,nIcon=17135,nFrame=3,szName="门派事件2·花海阻狼牙·结束",nTime=5,nRefresh=360,key="门派事件2",},</t>
  </si>
  <si>
    <t>赵小凯</t>
  </si>
  <si>
    <t>好画！好画！</t>
  </si>
  <si>
    <t>{nClass=14,nIcon=17135,nFrame=0,szName="奇遇提示0",nTime="5,恭喜触发孩童书;15,奇遇不封印·约15分钟完成;30,1.对话赵小凯·三星望月找陈一;180,2.往长安方向寻找·散落的书页;240,3.返回对话陈一·楼外找徐书;150,4.采摘·止血草并使用;270,4.返回对话陈一·楼下找吴岱;360,5.吴岱身后山崖树边触发脚印剧情;420,6.落星湖对话葛晚星·花海东偷书小兽;480,7.返回找葛晚星·返回找陈一;600,8.仙迹岩寻找·颜真卿;720,9.等待剧情后·返回找陈一;780,10.对话颜真卿·返回对话陈一;840,11.下楼对话徐书;900,12.再次对话陈一·结束",nRefresh=0,key="奇遇提示0",},</t>
  </si>
  <si>
    <t>{nClass=14,nIcon=17135,nFrame=7,szName="",nTime="180,1.对话赵小凯·三星望月找陈一;360,4.返回对话陈一·楼下找吴岱",nRefresh=0,key="奇遇提示1",},</t>
  </si>
  <si>
    <t>{nClass=14,nIcon=17135,nFrame=7,szName="",nTime="180,2.往长安方向寻找·散落的书页;360,5.吴岱身后山崖树边触发脚印剧情",nRefresh=0,key="奇遇提示2",},</t>
  </si>
  <si>
    <t>{nClass=14,nIcon=17135,nFrame=7,szName="",nTime="180,3.返回对话陈一·楼外找徐书;360,6.落星湖葛晚星·花海东偷书小兽",nRefresh=0,key="奇遇提示3",},</t>
  </si>
  <si>
    <t>颜真卿</t>
  </si>
  <si>
    <t>不仅是你们小师弟，尔等也须谨记。</t>
  </si>
  <si>
    <t>{nClass=14,nIcon=17135,nFrame=0,szName="奇遇提示0",nTime="60,10.对话颜真卿·返回对话陈一;120,11.下楼对话徐书;180,12.再次对话陈一·结束",nRefresh=0,key="奇遇提示0",},</t>
  </si>
  <si>
    <t>{nClass=14,nIcon=17135,nFrame=7,szName="10.对话颜真卿·返回对话陈一",nTime=300,key="奇遇提示1",},</t>
  </si>
  <si>
    <t>{nClass=14,nIcon=17135,nFrame=7,szName="11.下楼对话徐书",nTime=300,key="奇遇提示2",},</t>
  </si>
  <si>
    <t>{nClass=14,nIcon=17135,nFrame=7,szName="12.再次对话陈一·结束",nTime=300,key="奇遇提示3",},</t>
  </si>
  <si>
    <t>仲虚念</t>
  </si>
  <si>
    <t>正合我意！</t>
  </si>
  <si>
    <t>{nClass=14,nIcon=17135,nFrame=3,szName="门派事件1·禅斗较量·仲虚念",nTime=20,key="门派事件1",},</t>
  </si>
  <si>
    <t>你烦不烦啊！</t>
  </si>
  <si>
    <t>{nClass=14,nIcon=17135,nFrame=3,szName="门派事件1·禅斗较量·结束",nTime=5,key="门派事件1",},</t>
  </si>
  <si>
    <t>大言不惭！</t>
  </si>
  <si>
    <t>{nClass=14,nIcon=17135,nFrame=3,szName="门派事件2·武斗较量·仲虚念",nTime=20,key="门派事件2",},</t>
  </si>
  <si>
    <t>慧武</t>
  </si>
  <si>
    <t>大师，小心了！</t>
  </si>
  <si>
    <t>{nClass=14,nIcon=17135,nFrame=3,szName="门派事件2·武斗较量·结束",nTime=5,key="门派事件2",},</t>
  </si>
  <si>
    <t>东瀛的自傲</t>
  </si>
  <si>
    <t>好个金刚伏魔阵！可能及我万一！</t>
  </si>
  <si>
    <t>{nClass=14,nIcon=17135,nFrame=3,szName="门派事件2·荡除心魔·东瀛的自傲",nTime=20,key="门派事件2",},</t>
  </si>
  <si>
    <t>不！</t>
  </si>
  <si>
    <t>{nClass=14,nIcon=17135,nFrame=3,szName="门派事件2·东瀛的自傲·结束",nTime=5,key="门派事件2",},</t>
  </si>
  <si>
    <t>武士的尊严</t>
  </si>
  <si>
    <t>笑话，心境澄明之人世间又有几个！</t>
  </si>
  <si>
    <t>{nClass=14,nIcon=17135,nFrame=3,szName="门派事件3·荡除心魔·武士的尊严",nTime=20,key="门派事件3",},</t>
  </si>
  <si>
    <t>这怎么可能！</t>
  </si>
  <si>
    <t>{nClass=14,nIcon=17135,nFrame=3,szName="门派事件3·武士的尊严·结束",nTime=5,key="门派事件3",},</t>
  </si>
  <si>
    <t>一刀流的荣耀</t>
  </si>
  <si>
    <t>一刀流岂是尔等所能企及！</t>
  </si>
  <si>
    <t>{nClass=14,nIcon=17135,nFrame=3,szName="门派事件4·荡除心魔·一刀流的荣耀",nTime=20,key="门派事件4",},</t>
  </si>
  <si>
    <t>就这么......结束了么......</t>
  </si>
  <si>
    <t>{nClass=14,nIcon=17135,nFrame=3,szName="门派事件4·一刀流的荣耀·结束",nTime=5,key="门派事件4",},</t>
  </si>
  <si>
    <t>禅武的执念</t>
  </si>
  <si>
    <t>论禅论武，我都绝对不会输！</t>
  </si>
  <si>
    <t>{nClass=14,nIcon=17135,nFrame=3,szName="门派事件5·荡除心魔·禅武的执念",nTime=20,key="门派事件5",},</t>
  </si>
  <si>
    <t>一念......放下......</t>
  </si>
  <si>
    <t>{nClass=14,nIcon=17135,nFrame=3,szName="门派事件5·禅武的执念·结束",nTime=5,key="门派事件5",},</t>
  </si>
  <si>
    <t>本轮得分为(%d-)分</t>
  </si>
  <si>
    <t>{nClass=14,nIcon=17135,nFrame=7,szName="本轮得分·{$1}",nTime=60,nRefresh=11,key="断线的风筝",},</t>
  </si>
  <si>
    <t>赶紧将听到的消息转述给成步堂吧。</t>
  </si>
  <si>
    <t>{nClass=14,nIcon=17135,nFrame=0,szName="金水镇·成步堂",nTime=20,key="奇遇·攻略1",},</t>
  </si>
  <si>
    <t>陈昊</t>
  </si>
  <si>
    <t>狮王争霸，能者独尊！陌路英雄八方临，以武会友天下名。十年苦修寒暑意，鱼跃龙门气冲庭！现在，狮王争霸战正式开始！大家准备！</t>
  </si>
  <si>
    <t>{nClass=14,nIcon=22,nFrame=4,szName="狮王争霸战·开启",nTime=15,key="狮王争霸战",},</t>
  </si>
  <si>
    <t>本次狮王争霸战已结束。各位勇士大可勤加苦练，下次卷土重来。</t>
  </si>
  <si>
    <t>{nClass=14,nIcon=22,nFrame=4,szName="狮王争霸战·结束",nTime=5,key="狮王争霸战",},</t>
  </si>
  <si>
    <t>你发现了卿重的玉佩。</t>
  </si>
  <si>
    <t>{nClass=14,nIcon=17135,nFrame=0,bHold=true,szName="奇遇提示0",nTime="30,4.前往·藏剑·虎跑山庄·卿重;60,5.返回·七秀·卢蓉;90,6.返回·藏剑·卿重;100,完成奇遇·烟花戏·秋·瑞瑞",nRefresh=0,key="奇遇提示0",},</t>
  </si>
  <si>
    <t>{nClass=14,nIcon=17135,nFrame=7,bHold=true,szName="前往·藏剑·虎跑山庄·卿重",nTime=300,key="奇遇提示1",},</t>
  </si>
  <si>
    <t>{nClass=14,nIcon=17135,nFrame=7,bHold=true,szName="返回·七秀·卢蓉",nTime=300,key="奇遇提示2",},</t>
  </si>
  <si>
    <t>{nClass=14,nIcon=17135,nFrame=7,bHold=true,szName="返回·藏剑·卿重",nTime=300,key="奇遇提示3",},</t>
  </si>
  <si>
    <t>赤兔</t>
  </si>
  <si>
    <t>小浮云你刚才找我了吗？</t>
  </si>
  <si>
    <t>{nClass=14,nIcon=17135,nFrame=6,bHold=true,szName="再次对话·赤兔",nTime=300,key="奇遇提示2",},</t>
  </si>
  <si>
    <t>{nClass=14,nIcon=17135,nFrame=6,bHold=true,szName="对话完成·回到家园·裴草",nTime=300,key="奇遇提示3",},</t>
  </si>
  <si>
    <t>{nClass=14,nIcon=17135,nFrame=7,bHold=true,szName="马商附近·使用·游梦仙枕",nTime=300,key="奇遇提示3",},</t>
  </si>
  <si>
    <t>李忘生</t>
  </si>
  <si>
    <t>多谢诸位侠士，我和二位师弟先行回大殿议事。</t>
  </si>
  <si>
    <t>{nClass=14,nIcon=17135,nFrame=3,szName="门派事件·西昇大典·结束",nTime=10,key="门派事件1",},</t>
  </si>
  <si>
    <t>于睿</t>
  </si>
  <si>
    <t>各位侠士请帮我们灭掉星宿据点！</t>
  </si>
  <si>
    <t>{nClass=14,nIcon=17135,nFrame=3,szName="门派事件·地图标记·攻击BOSS",nTime=10,key="门派事件1",},</t>
  </si>
  <si>
    <t>千秋子</t>
  </si>
  <si>
    <t>区区星野剑阵，不过浪得虚名，如何能与我星宿派武侯移星术相比？</t>
  </si>
  <si>
    <t>{nClass=14,nIcon=17135,nFrame=3,szName="门派事件2·千秋子·刷新",nTime=10,key="门派事件2",},</t>
  </si>
  <si>
    <t>我修习上古毒经与武侯移星术，今已大成，你们尽管一起上吧！哈哈哈哈！</t>
  </si>
  <si>
    <t>{nClass=14,nIcon=17135,nFrame=3,szName="门派事件2·千秋子·已刷新",nTime=10,key="门派事件2",},</t>
  </si>
  <si>
    <t>卓凤鸣</t>
  </si>
  <si>
    <t>此等恶人不除不快，诸位侠士，还请助我纯阳守护剑阵，灭了此人威风！</t>
  </si>
  <si>
    <t>{nClass=14,nIcon=17135,nFrame=3,szName="门派事件·地图标记·攻击BOSS",nTime=20,key="门派事件1",},</t>
  </si>
  <si>
    <t>多谢各位侠士仗义出手。</t>
  </si>
  <si>
    <t>{nClass=14,nIcon=17135,nFrame=3,szName="门派事件·星野剑阵·结束",nTime=10,key="门派事件1",},</t>
  </si>
  <si>
    <t>各位侠士需以自身精气养之，才可触发天玑剑气。</t>
  </si>
  <si>
    <t>{nClass=14,nIcon=17135,nFrame=3,szName="门派事件1·星野剑阵·天玑剑",nTime=10,nRefresh=300,key="门派事件1",},</t>
  </si>
  <si>
    <t>有劳各位侠士将吾身后剑匣中剑置于玉衡剑阵眼旁，让玉衡剑吸收其中罡气。</t>
  </si>
  <si>
    <t>{nClass=14,nIcon=17135,nFrame=3,szName="门派事件1·星野剑阵·玉衡剑",nTime=10,nRefresh=300,key="门派事件1",},</t>
  </si>
  <si>
    <t>还请诸位侠士相助，取三清符，然后到至高处汲取天地元气，并贴于摇光剑身，以激活摇光剑气。</t>
  </si>
  <si>
    <t>{nClass=14,nIcon=17135,nFrame=3,szName="门派事件1·星野剑阵·摇光剑",nTime=10,nRefresh=300,key="门派事件1",},</t>
  </si>
  <si>
    <t>祁进</t>
  </si>
  <si>
    <t>多谢各位侠士！下一批物资将会在稍后运送！</t>
  </si>
  <si>
    <t>{nClass=14,nIcon=17135,nFrame=3,szName="门派事件·山门卫道·结束",nTime=5,key="门派事件1",},</t>
  </si>
  <si>
    <t>我纯阳宫运送西昇祭的物资车在往太极广场的路上，麻烦各位侠士前往护送！</t>
  </si>
  <si>
    <t>{nClass=14,nIcon=17135,nFrame=3,szName="门派事件·山门卫道·太极广场",nTime=10,key="门派事件1",},</t>
  </si>
  <si>
    <t>我纯阳宫运送西昇祭的物资车应该在往老君宫的路上，麻烦各位侠士前往护送！</t>
  </si>
  <si>
    <t>{nClass=14,nIcon=17135,nFrame=3,szName="门派事件·山门卫道·老君宫",nTime=10,key="门派事件1",},</t>
  </si>
  <si>
    <t>我纯阳宫运送西昇祭的物资车应该在往纯阳宫正门的路上，麻烦各位侠士前往护送！</t>
  </si>
  <si>
    <t>{nClass=14,nIcon=17135,nFrame=3,szName="门派事件·山门卫道·纯阳宫正门",nTime=10,key="门派事件1",},</t>
  </si>
  <si>
    <t>纯阳弟子</t>
  </si>
  <si>
    <t>不好！马车受了惊吓，劳烦各位侠士帮我们拾取掉落在地上的物资！</t>
  </si>
  <si>
    <t>{nClass=14,nIcon=17135,nFrame=3,szName="门派事件·山门卫道·拾取物资",nTime=2,nRefresh=120,key="门派事件1",},</t>
  </si>
  <si>
    <t>我们去旁边那个亭子看看嘛。</t>
  </si>
  <si>
    <t>{nClass=14,nIcon=293,nFrame=5,szName="太极广场东南·亭子·触发命途",nTime=20,nRefresh=15,key="雪雪·旅行介绍3",},</t>
  </si>
  <si>
    <t>{nClass=14,nIcon=293,nFrame=5,szName="太极广场·于睿",nTime=20,nRefresh=15,key="雪雪·旅行介绍1",},</t>
  </si>
  <si>
    <t>{nClass=14,nIcon=293,nFrame=5,szName="太极广场东南·亭子·触发命途",nTime=20,nRefresh=15,key="雪雪·旅行介绍2",},</t>
  </si>
  <si>
    <t>纯阳弟子步虚尘好像有话对你说。</t>
  </si>
  <si>
    <t>{nClass=14,nIcon=17135,nFrame=0,bHold=true,szName="奇遇提示0",nTime="5,恭喜触发·白雪忆·丰丰;15,奇遇不封印·全程5-10分钟;60,1.对话步虚尘·往纯阳宫方向;120,2.对话苏卿若·返回步虚尘;180,3.前往巴陵·巴陵镇·说书人;210,4.油菜花田·季妍华·取灵芝;300,5.往苍山洱海方向山上·颜谷芝;360,6.对话叶颢轩·返回季妍华;420,7.返回纯阳·对话步虚尘·结束",nRefresh=0,key="奇遇提示0",},</t>
  </si>
  <si>
    <t>{nClass=14,nIcon=17135,nFrame=7,szName="1.对话步虚尘·往纯阳宫方向",nTime=600,key="奇遇提示1",},</t>
  </si>
  <si>
    <t>{nClass=14,nIcon=17135,nFrame=7,szName="2.对话苏卿若·返回步虚尘",nTime=600,key="奇遇提示2",},</t>
  </si>
  <si>
    <t>{nClass=14,nIcon=17135,nFrame=7,szName="3.前往巴陵·巴陵镇·说书人",nTime=600,key="奇遇提示3",},</t>
  </si>
  <si>
    <t>{nClass=14,nIcon=17135,nFrame=7,bHold=true,szName="4.油菜花田·季妍华·取灵芝",nTime=600,key="奇遇提示4",},</t>
  </si>
  <si>
    <t>{nClass=14,nIcon=17135,nFrame=7,bHold=true,szName="5.往苍山洱海方向山上·颜谷芝",nTime=600,key="奇遇提示5",},</t>
  </si>
  <si>
    <t>{nClass=14,nIcon=17135,nFrame=7,bHold=true,szName="6.对话叶颢轩·返回季妍华",nTime=600,key="奇遇提示6",},</t>
  </si>
  <si>
    <t>{nClass=14,nIcon=17135,nFrame=7,bHold=true,szName="7.返回纯阳·对话步虚尘·结束",nTime=600,key="奇遇提示7",},</t>
  </si>
  <si>
    <t>步虚尘</t>
  </si>
  <si>
    <t>十年离乱后，长大一相逢……</t>
  </si>
  <si>
    <t>宠物已成功添加。</t>
  </si>
  <si>
    <t>{nClass=14,nIcon=17135,nFrame=0,szName="奇遇提示0",nTime=0,key="奇遇提示0",},</t>
  </si>
  <si>
    <t>{nClass=14,nIcon=17135,nFrame=7,szName="奇遇提示4",nTime=0,key="奇遇提示4",},</t>
  </si>
  <si>
    <t>{nClass=14,nIcon=17135,nFrame=7,szName="奇遇提示5",nTime=0,key="奇遇提示5",},</t>
  </si>
  <si>
    <t>{nClass=14,nIcon=17135,nFrame=7,szName="奇遇提示6",nTime=0,key="奇遇提示6",},</t>
  </si>
  <si>
    <t>{nClass=14,nIcon=17135,nFrame=7,szName="奇遇提示7",nTime=0,key="奇遇提示7",},</t>
  </si>
  <si>
    <t>红师农</t>
  </si>
  <si>
    <t>汝为男儿否？……不错，你便是圣教总教派遣来的吧！</t>
  </si>
  <si>
    <t>{nClass=14,nIcon=17135,nFrame=0,szName="奇遇提示0",nTime="5,恭喜触发·尘网中·崽崽;15,奇遇不封印·约10分钟完成;30,1.对话·红师农;60,2.交互·两只猪仔;90,3.对话·红师农;120,4.再交互两只猪仔·对话红师农;180,5.枯木林·寻找·小猪崽·崽崽;210,6.使用小猪崽·寻找喂水点;270,7.对话红师农·返回崽崽;330,8.前往南屏山·天子峰桥下;390,9.拾取半本秘诀·返回洛道;450,10.对话红师农·使用崽崽;480,完成奇遇·尘网中·崽崽",nRefresh=0,key="奇遇提示0",},</t>
  </si>
  <si>
    <t>{nClass=14,nIcon=17135,nFrame=7,szName="对话·红师农·交互·猪仔",nTime=600,key="奇遇提示1",},</t>
  </si>
  <si>
    <t>{nClass=14,nIcon=17135,nFrame=7,szName="寻找·枯木林·猪仔·崽崽",nTime=600,key="奇遇提示2",},</t>
  </si>
  <si>
    <t>{nClass=14,nIcon=17135,nFrame=7,szName="使用·小猪崽·寻找·喂水",nTime=600,key="奇遇提示3",},</t>
  </si>
  <si>
    <t>此处还算安全，不如回去猪场问问红师农。</t>
  </si>
  <si>
    <t>{nClass=14,nIcon=17135,nFrame=0,bHold=true,szName="奇遇提示0",nTime="60,7.对话红师农·返回崽崽;120,8.前往南屏山·天子峰桥下;180,9.拾取半本秘诀·返回洛道;210,10.对话红师农·使用崽崽;240,完成奇遇·尘网中·崽崽",nRefresh=0,key="奇遇提示0",},</t>
  </si>
  <si>
    <t>{nClass=14,nIcon=17135,nFrame=7,szName="对话·红师农·返回·崽崽",nTime=600,key="奇遇提示1",},</t>
  </si>
  <si>
    <t>{nClass=14,nIcon=17135,nFrame=7,bHold=true,szName="前往·南屏山·天子峰·桥下",nTime=600,key="奇遇提示2",},</t>
  </si>
  <si>
    <t>{nClass=14,nIcon=17135,nFrame=7,bHold=true,szName="拾取·半本秘诀·返回·洛道",nTime=600,key="奇遇提示3",},</t>
  </si>
  <si>
    <t>{nClass=14,nIcon=17135,nFrame=7,bHold=true,szName="对话·红师农·使用·崽崽",nTime=600,key="奇遇提示4",},</t>
  </si>
  <si>
    <t>崽崽还在你的背包里，问问它愿不愿意和你走吧。</t>
  </si>
  <si>
    <t>{nClass=14,nIcon=17135,nFrame=7,szName="使用·崽崽·完成奇遇",nTime=20,key="奇遇提示1",},</t>
  </si>
  <si>
    <t>{nClass=14,nIcon=17135,nFrame=7,bHold=true,szName="奇遇提示4",nTime=0,key="奇遇提示4",},</t>
  </si>
  <si>
    <t>老不知</t>
  </si>
  <si>
    <t>哈哈，出窑了！你烧了个不错的陶罐子。</t>
  </si>
  <si>
    <t>{nClass=14,nIcon=17135,nFrame=0,szName="奇遇提示0",nTime="5,恭喜触发·红衣歌·红绸;15,奇遇不封印·约15分钟完成;30,1.对话·老不知;90,2.前往·天罚林·莫清尘;120,3.对话·莫清尘·寻找·水井;150,4.水井在东北方·泥娃娃树下;160,5.使用·一只小陶罐;180,6.返回·莫清尘·对话·墨漓;240,7.前往·洛道上游瀑布·打水;300,8.返回·墨漓·对话·莫清尘;360,9.寻找·小泥娃娃·东北方向;390,10.对话·小貂儿;450,11.赎罪林·桥下·墨漓;480,12.返回·莫清尘·返回·墨漓;540,13.返回·莫清尘·返回·老不知;600,14.返回·莫清尘·结束",nRefresh=0,key="奇遇提示0",},</t>
  </si>
  <si>
    <t>{nClass=14,nIcon=17135,nFrame=7,szName="对话·老不知·天罚林·莫清尘",nTime=600,key="奇遇提示1",},</t>
  </si>
  <si>
    <t>{nClass=14,nIcon=17135,nFrame=7,szName="对话·莫清尘·寻找·水井",nTime=600,key="奇遇提示2",},</t>
  </si>
  <si>
    <t>{nClass=14,nIcon=17135,nFrame=7,szName="对话·莫清尘·寻找·净水",nTime=600,key="奇遇提示3",},</t>
  </si>
  <si>
    <t>莫清尘</t>
  </si>
  <si>
    <t>水……水……</t>
  </si>
  <si>
    <t>{nClass=14,nIcon=17135,nFrame=0,szName="奇遇提示0",nTime="30,3.对话·莫清尘·寻找·水井;90,4.水井在东北方·泥娃娃树下;120,5.使用·一只小陶罐;150,6.返回·莫清尘·对话·墨漓;240,7.前往·洛道上游瀑布·打水;300,8.返回·墨漓·对话·莫清尘;360,9.寻找·小泥娃娃·东北方向;390,10.对话·小貂儿;450,11.赎罪林·桥下·墨漓;480,12.返回·莫清尘·返回·墨漓;540,13.返回·莫清尘·返回·老不知;600,14.返回·莫清尘·结束",nRefresh=0,key="奇遇提示0",},</t>
  </si>
  <si>
    <t>{nClass=14,nIcon=17135,nFrame=7,szName="水井在东北方·泥娃娃树下",nTime=600,key="奇遇提示1",},</t>
  </si>
  <si>
    <t>{nClass=14,nIcon=17135,nFrame=7,szName="使用·一只小陶罐",nTime=600,key="奇遇提示2",},</t>
  </si>
  <si>
    <t>{nClass=14,nIcon=17135,nFrame=7,szName="返回·莫清尘·对话·墨漓",nTime=600,key="奇遇提示3",},</t>
  </si>
  <si>
    <t>墨漓</t>
  </si>
  <si>
    <t>这症状……你，你竟然给清尘喝了井水！！</t>
  </si>
  <si>
    <t>{nClass=14,nIcon=17135,nFrame=0,szName="奇遇提示0",nTime="5,恭喜触发·胜负局·蟹胜;15,奇遇封印3日·每日约5分钟完成;30,1.对话·航小婷;90,2.前往·隐贤居·封博安;120,3.对话·封博安;150,4.交互·棋盘;180,5.对话·云定风;210,6.对话·封博安;220,第一日·结束",nRefresh=0,key="奇遇提示0",},</t>
  </si>
  <si>
    <t>{nClass=14,nIcon=17135,nFrame=7,szName="前往·洛道上游瀑布·打水",nTime=600,key="奇遇提示1",},</t>
  </si>
  <si>
    <t>{nClass=14,nIcon=17135,nFrame=7,szName="返回·墨漓·对话·莫清尘",nTime=600,key="奇遇提示2",},</t>
  </si>
  <si>
    <t>{nClass=14,nIcon=17135,nFrame=7,szName="寻找·小泥娃娃·东北方向",nTime=600,key="奇遇提示3",},</t>
  </si>
  <si>
    <t>{$me}，清尘就拜托你了！我寻解药去去就回！</t>
  </si>
  <si>
    <t>{nClass=14,nIcon=17135,nFrame=0,szName="奇遇提示0",nTime="60,9.寻找·小泥娃娃·东北方向;90,10.对话·小貂儿;180,11.赎罪林·桥下·墨漓;240,12.返回·莫清尘·返回·墨漓;300,13.返回·莫清尘·返回·老不知;330,14.返回·莫清尘·结束",nRefresh=0,key="奇遇提示0",},</t>
  </si>
  <si>
    <t>{nClass=14,nIcon=17135,nFrame=7,szName="对话·莫清尘·寻找·小泥娃娃",nTime=600,key="奇遇提示1",},</t>
  </si>
  <si>
    <t>{nClass=14,nIcon=17135,nFrame=7,szName="对话·莫清尘·对话·小貂儿",nTime=600,key="奇遇提示2",},</t>
  </si>
  <si>
    <t>{nClass=14,nIcon=17135,nFrame=7,szName="赎罪林桥下·墨漓·返回莫清尘",nTime=600,key="奇遇提示3",},</t>
  </si>
  <si>
    <t>{nClass=14,nIcon=17135,nFrame=7,szName="返回·墨漓·返回·莫清尘",nTime=600,key="奇遇提示4",},</t>
  </si>
  <si>
    <t>{nClass=14,nIcon=17135,nFrame=7,szName="返回·老不知·返回·莫清尘",nTime=600,key="奇遇提示5",},</t>
  </si>
  <si>
    <t>嗯，我长大了也要打坏人。</t>
  </si>
  <si>
    <t>{nClass=14,nIcon=17135,nFrame=0,szName="完成奇遇·红衣歌·红绸",nTime=10,key="奇遇提示0",},</t>
  </si>
  <si>
    <t>猫猫</t>
  </si>
  <si>
    <t>多谢少侠！</t>
  </si>
  <si>
    <t>{nClass=14,nIcon=17135,nFrame=0,szName="奇遇提示0",nTime="5,恭喜触发·破晓鸣·黄袍大统领;15,奇遇不封印·约10分钟完成;30,1.对话·猫猫;90,2.前往·车夫附近·韩惜辰;120,3.东边·椰子树下·诱捕的工具;150,4.交互·笼子·公鸡;210,5.前往·东侧·菊池岛;240,6.对话·一个晕倒的人;270,7.返回·韩惜辰·返回菊池岛;300,8.对话·顾释;310,完成奇遇·破晓鸣·黄袍大统领",nRefresh=0,key="奇遇提示0",},</t>
  </si>
  <si>
    <t>{nClass=14,nIcon=17135,nFrame=7,szName="对话·猫猫·车夫附近·韩惜辰",nTime=600,key="奇遇提示1",},</t>
  </si>
  <si>
    <t>{nClass=14,nIcon=17135,nFrame=7,szName="东边·椰子树下·诱捕的工具",nTime=600,key="奇遇提示2",},</t>
  </si>
  <si>
    <t>{nClass=14,nIcon=17135,nFrame=7,szName="交互·笼子·前往·东侧菊池岛",nTime=600,key="奇遇提示3",},</t>
  </si>
  <si>
    <t>不远处好像有个人</t>
  </si>
  <si>
    <t>{nClass=14,nIcon=17135,nFrame=0,szName="奇遇提示0",nTime="30,6.对话·一个晕倒的人;60,7.返回·韩惜辰·返回菊池岛;120,8.对话·顾释;130,完成奇遇·破晓鸣·黄袍大统领",nRefresh=0,key="奇遇提示0",},</t>
  </si>
  <si>
    <t>{nClass=14,nIcon=17135,nFrame=7,szName="对话·一个晕倒的人",nTime=600,key="奇遇提示1",},</t>
  </si>
  <si>
    <t>{nClass=14,nIcon=17135,nFrame=7,szName="返回·韩惜辰·返回菊池岛",nTime=600,key="奇遇提示2",},</t>
  </si>
  <si>
    <t>{nClass=14,nIcon=17135,nFrame=7,szName="对话·顾释·结束",nTime=600,key="奇遇提示3",},</t>
  </si>
  <si>
    <t>{nClass=14,nIcon=293,nFrame=5,szName="可以去广场戏台找熊爷",nTime=20,nRefresh=15,key="雪雪·旅行介绍1",},</t>
  </si>
  <si>
    <t>{nClass=14,nIcon=293,nFrame=5,szName="可以去渡口刘理阳附近看湖",nTime=20,nRefresh=15,key="雪雪·旅行介绍2",},</t>
  </si>
  <si>
    <t>去往巴陵县的驿站寻找唐小珂的机关小猪。</t>
  </si>
  <si>
    <t>{nClass=14,nIcon=17135,nFrame=6,szName="神行·巴陵县·巴陵镇",nTime=20,key="江湖侠客·任务1",},</t>
  </si>
  <si>
    <t>{nClass=14,nIcon=17135,nFrame=6,szName="小花猪·[接头]",nTime=20,key="江湖侠客·任务2",},</t>
  </si>
  <si>
    <t>刘理阳</t>
  </si>
  <si>
    <t>女侠我确实需要一个帮手，还请女侠凑近些说话。</t>
  </si>
  <si>
    <t>宠物奇遇·归安志·志</t>
  </si>
  <si>
    <t>【七秀·红袖飞花】事件已经结束，由于你没有贡献，没有获得奖励。</t>
  </si>
  <si>
    <t>{nClass=14,nIcon=17135,nFrame=5,szName="门派事件1·红袖飞花·结束",nTime=5,key="门派事件1",},</t>
  </si>
  <si>
    <t>你获得了事件【七秀·红袖飞花】的奖励。</t>
  </si>
  <si>
    <t>照萤</t>
  </si>
  <si>
    <t>第二场比试开始，绮秀弟子佟雅辰出场。</t>
  </si>
  <si>
    <t>{nClass=14,nIcon=17135,nFrame=3,szName="门派事件2·剑舞凝光·佟雅辰·开启",nTime=10,key="门派事件2",},</t>
  </si>
  <si>
    <t>瑾儿</t>
  </si>
  <si>
    <t>你可算是醒过来了！江湖险恶，一定要诸般小心。七秀坊的姐妹们会好生照应你的。</t>
  </si>
  <si>
    <t>{nClass=14,nIcon=17135,nFrame=3,szName="门派事件2·剑舞凝光·佟雅辰·结束",nTime=5,key="门派事件2",},</t>
  </si>
  <si>
    <t>第三场比试开始，燕秀弟子慕容晚出场。</t>
  </si>
  <si>
    <t>{nClass=14,nIcon=17135,nFrame=3,szName="门派事件3·剑舞凝光·慕容晚·开启",nTime=10,key="门派事件3",},</t>
  </si>
  <si>
    <t>叶芷青</t>
  </si>
  <si>
    <t>二位以为如何？</t>
  </si>
  <si>
    <t>{nClass=14,nIcon=17135,nFrame=3,szName="门派事件3·剑舞凝光·慕容晚·结束",nTime=5,key="门派事件3",},</t>
  </si>
  <si>
    <t>第一场比试开始，楚秀弟子夏年出场。</t>
  </si>
  <si>
    <t>{nClass=14,nIcon=17135,nFrame=3,szName="门派事件1·剑舞凝光·夏年·开启",nTime=10,key="门派事件1",},</t>
  </si>
  <si>
    <t>白璃予</t>
  </si>
  <si>
    <t>！！</t>
  </si>
  <si>
    <t>{nClass=14,nIcon=17135,nFrame=3,szName="门派事件1·东海来客·白璃予·开启",nTime=10,key="门派事件1",},</t>
  </si>
  <si>
    <t>哼，想不到你们还有点儿能耐，那我也就不客气了！</t>
  </si>
  <si>
    <t>{nClass=14,nIcon=17135,nFrame=3,szName="门派事件1·东海来客·白璃予·结束",nTime=5,key="门派事件1",},</t>
  </si>
  <si>
    <t>佟雅辰</t>
  </si>
  <si>
    <t>结阵！</t>
  </si>
  <si>
    <t>{nClass=14,nIcon=17135,nFrame=3,szName="门派事件2·东海来客·结阵·开启",nTime=10,key="门派事件2",},</t>
  </si>
  <si>
    <t>呃……</t>
  </si>
  <si>
    <t>{nClass=14,nIcon=17135,nFrame=3,szName="门派事件2·东海来客·结阵·结束",nTime=5,key="门派事件2",},</t>
  </si>
  <si>
    <t>七秀弟子卢蓉好像有话对你说。</t>
  </si>
  <si>
    <t>{nClass=14,nIcon=17135,nFrame=0,bHold=true,szName="奇遇提示0",nTime="5,恭喜触发·烟花戏·秋·瑞瑞;15,奇遇不封印·约5分钟完成;30,1.对话·卢蓉;90,2.前往·扬州·城南树林;120,3.亭子附近寻找埋东西的痕迹;150,4.前往·藏剑·虎跑山庄·卿重;180,5.返回·七秀·卢蓉;210,6.返回·藏剑·卿重;220,完成奇遇·烟花戏·秋·瑞瑞",nRefresh=0,key="奇遇提示0",},</t>
  </si>
  <si>
    <t>{nClass=14,nIcon=17135,nFrame=7,bHold=true,szName="对话·卢蓉·扬州·城南树林",nTime=600,key="奇遇提示1",},</t>
  </si>
  <si>
    <t>{nClass=14,nIcon=17135,nFrame=7,bHold=true,szName="亭子·寻找·埋东西的痕迹 ",nTime=600,key="奇遇提示2",},</t>
  </si>
  <si>
    <t>{nClass=14,nIcon=17135,nFrame=7,bHold=true,szName="前往·藏剑·虎跑山庄·卿重",nTime=600,key="奇遇提示3",},</t>
  </si>
  <si>
    <t>陶九翁</t>
  </si>
  <si>
    <t>好酒！好酒！</t>
  </si>
  <si>
    <t>{nClass=14,nIcon=17135,nFrame=0,szName="奇遇提示0",nTime="5,恭喜触发·捉妖记·酒客;15,奇遇不封印·约10分钟完成;30,1.对话·陶九翁;90,2.沿岸寻找·藏着木头鱼的鱼篓;150,3.对话·陶九翁·对话·陶蛋儿;210,4.寻找·风筝·返回·陶蛋儿;270,5.对话·陶小方·青萝山·陶虎子;330,6.西方·岸边·会动的酒坛子;360,7.对话·陶小方·对话·陶九翁;370,完成奇遇·捉妖记·酒客",nRefresh=0,key="奇遇提示0",},</t>
  </si>
  <si>
    <t>{nClass=14,nIcon=17135,nFrame=7,szName="对话·陶九翁·寻找·木头小鱼",nTime=600,key="奇遇提示1",},</t>
  </si>
  <si>
    <t>{nClass=14,nIcon=17135,nFrame=7,szName="沿岸·寻找·藏着木头鱼的鱼篓",nTime=600,key="奇遇提示2",},</t>
  </si>
  <si>
    <t>{nClass=14,nIcon=17135,nFrame=7,szName="对话·陶九翁·对话·陶蛋儿",nTime=600,key="奇遇提示3",},</t>
  </si>
  <si>
    <t>{nClass=14,nIcon=17135,nFrame=7,szName="寻找·风筝·返回·陶蛋儿",nTime=600,key="奇遇提示4",},</t>
  </si>
  <si>
    <t>{nClass=14,nIcon=17135,nFrame=7,szName="对话·陶小方·青萝山·陶虎子",nTime=600,key="奇遇提示5",},</t>
  </si>
  <si>
    <t>{nClass=14,nIcon=17135,nFrame=7,szName="西方·岸边·会动的酒坛子",nTime=600,key="奇遇提示6",},</t>
  </si>
  <si>
    <t>这里有一只酒坛子.....在动！会动的酒坛子！</t>
  </si>
  <si>
    <t>{nClass=14,nIcon=17135,nFrame=0,szName="奇遇提示0",nTime="30,交互·会动的酒坛子;60,7.对话·陶小方·对话·陶九翁;70,完成奇遇·捉妖记·酒客",nRefresh=0,key="奇遇提示0",},</t>
  </si>
  <si>
    <t>{nClass=14,nIcon=17135,nFrame=7,szName="交互·会动的酒坛子",nTime=180,key="奇遇提示1",},</t>
  </si>
  <si>
    <t>{nClass=14,nIcon=17135,nFrame=7,szName="对话·陶小方",nTime=180,key="奇遇提示2",},</t>
  </si>
  <si>
    <t>{nClass=14,nIcon=17135,nFrame=7,szName="对话·陶九翁",nTime=180,key="奇遇提示3",},</t>
  </si>
  <si>
    <t>秦玉川</t>
  </si>
  <si>
    <t>诸位侠士，请住手，此间或许有些误会。</t>
  </si>
  <si>
    <t>{nClass=20,nIcon=17135,nFrame=0,szName="巴陵·御兽挑战·结束",nTime=5,key="巴陵御兽挑战",},</t>
  </si>
  <si>
    <t>还请各位侠士宽限一二，待我查明真相，必会给各位侠士一个交代。些许礼物赠予众侠士，聊表歉意，还望众位笑纳。</t>
  </si>
  <si>
    <t>{nClass=20,nIcon=17135,nFrame=0,szName="巴陵·御兽挑战·摸奖励",nTime=5,key="巴陵御兽挑战",},</t>
  </si>
  <si>
    <t>恶人谷老友们可在我这里传送到恶人谷！</t>
  </si>
  <si>
    <t>{nClass=14,nIcon=589,nFrame=7,szName="赵新宇·已刷新",nTime=2,nRefresh=600,key="赵新宇",},</t>
  </si>
  <si>
    <t>浩气盟侠士们可在我这里传送到浩气盟！</t>
  </si>
  <si>
    <t>{nClass=14,nIcon=308,nFrame=3,szName="方超·已刷新",nTime=2,nRefresh=600,key="方超",},</t>
  </si>
  <si>
    <t>管良沧</t>
  </si>
  <si>
    <t>护送不利，恶人谷的运输小队被浩气盟截下了！</t>
  </si>
  <si>
    <t>{nClass=14,nIcon=2398,nFrame=7,szName="浩气·劫车奖励",nTime=60,key="粮草先行·恶人谷",},</t>
  </si>
  <si>
    <t>恶人谷的运输小队成功到达营地！接下来由他们将物资运往更前线，大伙继续加油，收集更多物资！</t>
  </si>
  <si>
    <t>{nClass=14,nIcon=2398,nFrame=3,szName="恶人·领取护送奖赏",nTime=60,key="粮草先行·恶人谷",},</t>
  </si>
  <si>
    <t>恶人谷的运输小队出现了，大伙快前去接送到我方营地，谷主重重有赏！</t>
  </si>
  <si>
    <t>粮草先行·恶人牛车</t>
  </si>
  <si>
    <t>{nClass=14,nIcon=15380,nFrame=3,szName="恶人·护送牛车",nTime=337,key="粮草先行·恶人谷",},</t>
  </si>
  <si>
    <t>苏才寥</t>
  </si>
  <si>
    <t>护送不利，浩气盟的运输小队被恶人谷截下了！</t>
  </si>
  <si>
    <t>{nClass=14,nIcon=2398,nFrame=3,szName="恶人·劫车奖励",nTime=60,key="粮草先行·浩气盟",},</t>
  </si>
  <si>
    <t>浩气盟的运输小队成功到达营地！接下来由他们将物资运往更前线，大伙继续加油，收集更多物资！</t>
  </si>
  <si>
    <t>{nClass=14,nIcon=2397,nFrame=7,szName="浩气·领取护送奖赏",nTime=60,key="粮草先行·浩气盟",},</t>
  </si>
  <si>
    <t>浩气盟的运输小队出现了，大伙快前去接送到我方营地，盟主重重有赏！</t>
  </si>
  <si>
    <t>粮草先行·浩气牛车</t>
  </si>
  <si>
    <t>{nClass=14,nIcon=15384,nFrame=7,szName="浩气·护送牛车",nTime=337,key="粮草先行·浩气盟",},</t>
  </si>
  <si>
    <t>秋叶青</t>
  </si>
  <si>
    <t>葡萄美酒夜光杯，欲饮琵琶马上催。</t>
  </si>
  <si>
    <t>{nClass=14,nIcon=17135,nFrame=7,szName="夜光杯·葡萄酒",nTime=10,key="任务提示0",},</t>
  </si>
  <si>
    <t>汾酒自当配玉杯！</t>
  </si>
  <si>
    <t>{nClass=14,nIcon=17135,nFrame=7,szName="玉杯·汾酒",nTime=10,key="任务提示0",},</t>
  </si>
  <si>
    <t>高粱酒用青铜酒爵乘来是极好的。</t>
  </si>
  <si>
    <t>{nClass=14,nIcon=17135,nFrame=7,szName="青铜酒爵·高粱酒",nTime=10,key="任务提示0",},</t>
  </si>
  <si>
    <t>高粱酒用青铜酒爵盛来是极好的。</t>
  </si>
  <si>
    <t>有道是关外白酒犀角杯……</t>
  </si>
  <si>
    <t>{nClass=14,nIcon=17135,nFrame=7,szName="犀角杯·关外白酒",nTime=10,key="任务提示0",},</t>
  </si>
  <si>
    <t>那厮最喜欢用琉璃杯喝玉露酒！</t>
  </si>
  <si>
    <t>{nClass=14,nIcon=17135,nFrame=7,szName="琉璃杯·玉露酒",nTime=10,key="任务提示0",},</t>
  </si>
  <si>
    <t>状元红最配古瓷杯！</t>
  </si>
  <si>
    <t>{nClass=14,nIcon=17135,nFrame=7,szName="古瓷杯·状元红",nTime=10,key="任务提示0",},</t>
  </si>
  <si>
    <t>田语夕</t>
  </si>
  <si>
    <t>菲菲……看那边的光，好像又一块金丝玉现世了。</t>
  </si>
  <si>
    <t>{nClass=14,nIcon=17135,nFrame=0,szName="奇遇提示0",nTime="5,恭喜触发·锋芒展·圆圆;15,奇遇不封印·约15分钟完成;30,1.对话·田语夕·孙菲菲·田语夕;90,2.前往龙门峡谷·深色的沙土堆;120,3.拾取散落的兵刃*3;150,4.返回·田语夕;210,5.交互·四散的弩箭·篝火残骸;240,6.返回田语夕·对话附近伙计;270,7.对话金香玉·返回田语夕;300,8.使用惩戒杖·对话田语夕;420,9.拾取散落的刀兵·一共八个;480,10.对话阿布拉·返回田语夕;540,11.前往魔鬼城·对话田启晔;570,12.北面墙壁下·寻找商队货物;630,13.返回田语夕·等待一段剧情;660,14.前往龙门客栈·龙门行脚商;710,15.交互女儿红·等待一段剧情;720,16.返回田语夕·使用地图;780,17.前往光标位置·在山上边缘处;820,18.使用火药弹·前往商队货物;860,19.对话田语夕·等搬运物资结束;890,20.对话田启晔·往北面走·查瑞;890,20.对话田启晔·往北面走·查瑞;910,21.选中查瑞·24尺·使用大食狐;930,22.获得牢笼钥匙·对话田启晔;930,23.返回龙门客栈·田语夕;950,完成奇遇·锋芒展·圆圆",nRefresh=0,key="奇遇提示0",},</t>
  </si>
  <si>
    <t>{nClass=14,nIcon=17135,nFrame=7,szName="对话·田语夕·孙菲菲·田语夕",nTime=600,key="奇遇提示1",},</t>
  </si>
  <si>
    <t>{nClass=14,nIcon=17135,nFrame=7,szName="交互·龙门峡谷·深色的沙土堆",nTime=600,key="奇遇提示2",},</t>
  </si>
  <si>
    <t>{nClass=14,nIcon=17135,nFrame=7,szName="拾取·散落的兵刃·返回·田语夕",nTime=600,key="奇遇提示3",},</t>
  </si>
  <si>
    <t>{nClass=14,nIcon=17135,nFrame=7,szName="拾取·四散的弩箭·交互·篝火残骸",nTime=600,key="奇遇提示4",},</t>
  </si>
  <si>
    <t>这是沙匪埋伏的痕迹，看来是早有预谋，谨慎起见再去调查一下</t>
  </si>
  <si>
    <t>{nClass=14,nIcon=17135,nFrame=0,szName="奇遇提示0",nTime="30,5.交互·四散的弩箭·篝火残骸;60,6.返回田语夕·对话附近伙计;90,7.对话金香玉·返回田语夕;120,8.使用惩戒杖·对话田语夕;240,9.拾取散落的刀兵·一共八个;300,10.对话阿布拉·返回田语夕;360,11.前往魔鬼城·对话田启晔;390,12.北面墙壁下·寻找商队货物;450,13.返回田语夕·等待一段剧情;480,14.前往龙门客栈·龙门行脚商;530,15.交互女儿红·等待一段剧情;540,16.返回田语夕·使用地图;600,17.前往光标位置·在山上边缘处;640,18.使用火药弹·前往商队货物;680,19.对话田语夕·等搬运物资结束;710,20.对话田启晔·往北面走·查瑞;730,21.选中查瑞·24尺·使用大食狐;750,22.获得牢笼钥匙·对话田启晔;790,23.返回龙门客栈·田语夕;810,完成奇遇·锋芒展·圆圆",nRefresh=0,key="奇遇提示0",},</t>
  </si>
  <si>
    <t>{nClass=14,nIcon=17135,nFrame=7,szName="交互·篝火残骸·返回·田语夕",nTime=600,key="奇遇提示1",},</t>
  </si>
  <si>
    <t>{nClass=14,nIcon=17135,nFrame=7,szName="对话·附近的分会伙计·田语夕",nTime=600,key="奇遇提示2",},</t>
  </si>
  <si>
    <t>{nClass=14,nIcon=17135,nFrame=7,szName="对话·金香玉·返回·田语夕",nTime=600,key="奇遇提示3",},</t>
  </si>
  <si>
    <t>{nClass=14,nIcon=17135,nFrame=7,szName="使用·惩戒杖·对话·田语夕",nTime=600,key="奇遇提示4",},</t>
  </si>
  <si>
    <t>张壮壮已经被带到了田小姐面前，可以开始杖责了</t>
  </si>
  <si>
    <t>{nClass=14,nIcon=17135,nFrame=0,szName="奇遇提示0",nTime="30,8.使用惩戒杖·对话田语夕;150,9.拾取散落的刀兵·一共八个;210,10.对话阿布拉·返回田语夕;270,11.前往魔鬼城·对话田启晔;300,12.北面墙壁下·寻找商队货物;360,13.返回田语夕·等待一段剧情;390,14.前往龙门客栈·龙门行脚商;440,15.交互女儿红·等待一段剧情;450,16.返回田语夕·使用地图;510,17.前往光标位置·在山上边缘处;550,18.使用火药弹·前往商队货物;590,19.对话田语夕·等搬运物资结束;620,20.对话田启晔·往北面走·查瑞;640,21.选中查瑞·24尺·使用大食狐;660,22.获得牢笼钥匙·对话田启晔;700,23.返回龙门客栈·田语夕;720,完成奇遇·锋芒展·圆圆",nRefresh=0,key="奇遇提示0",},</t>
  </si>
  <si>
    <t>{nClass=14,nIcon=17135,nFrame=7,szName="使用·惩戒杖·对话·田语夕",nTime=600,key="奇遇提示1",},</t>
  </si>
  <si>
    <t>{nClass=14,nIcon=17135,nFrame=7,szName="拾取·散落的刀兵·一共八个",nTime=600,key="奇遇提示2",},</t>
  </si>
  <si>
    <t>{nClass=14,nIcon=17135,nFrame=7,szName="对话·阿布拉·返回·田语夕",nTime=600,key="奇遇提示3",},</t>
  </si>
  <si>
    <t>{nClass=14,nIcon=17135,nFrame=7,szName="前往·魔鬼城·对话·田启晔",nTime=600,key="奇遇提示4",},</t>
  </si>
  <si>
    <t>前方风沙茫茫，商会痕迹难觅，此时你似乎听到了一曲沙哑的调子</t>
  </si>
  <si>
    <t>{nClass=14,nIcon=17135,nFrame=0,szName="奇遇提示0",nTime="60,10.对话阿布拉·返回田语夕;120,11.前往魔鬼城·对话田启晔;150,12.北面墙壁下·寻找商队货物;210,13.返回田语夕·等待一段剧情;240,14.前往龙门客栈·龙门行脚商;290,15.交互女儿红·等待一段剧情;300,16.返回田语夕·使用地图;360,17.前往光标位置·在山上边缘处;400,18.使用火药弹·前往商队货物;440,19.对话田语夕·等搬运物资结束;470,20.对话田启晔·往北面走·查瑞;490,21.选中查瑞·24尺·使用大食狐;510,22.获得牢笼钥匙·对话田启晔;550,23.返回龙门客栈·田语夕;570,完成奇遇·锋芒展·圆圆",nRefresh=0,key="奇遇提示0",},</t>
  </si>
  <si>
    <t>{nClass=14,nIcon=17135,nFrame=7,szName="对话·阿布拉·返回·田语夕",nTime=600,key="奇遇提示1",},</t>
  </si>
  <si>
    <t>{nClass=14,nIcon=17135,nFrame=7,szName="前往·魔鬼城·对话·田启晔",nTime=600,key="奇遇提示2",},</t>
  </si>
  <si>
    <t>{nClass=14,nIcon=17135,nFrame=7,szName="寻找·商队货物·北面墙壁下",nTime=600,key="奇遇提示3",},</t>
  </si>
  <si>
    <t>{nClass=14,nIcon=17135,nFrame=7,szName="返回·田语夕·等待一段剧情",nTime=600,key="奇遇提示4",},</t>
  </si>
  <si>
    <t>货物完好无损，快回去与田小姐商量对策吧</t>
  </si>
  <si>
    <t>{nClass=14,nIcon=17135,nFrame=0,szName="奇遇提示0",nTime="60,13.返回田语夕·等待一段剧情;90,14.前往龙门客栈·龙门行脚商;140,15.交互女儿红·等待一段剧情;150,16.返回田语夕·使用地图;210,17.前往光标位置·在山上边缘处;250,18.使用火药弹·前往商队货物;290,19.对话田语夕·等搬运物资结束;320,20.对话田启晔·往北面走·查瑞;340,21.选中查瑞·24尺·使用大食狐;360,22.获得牢笼钥匙·对话田启晔;400,23.返回龙门客栈·田语夕;420,完成奇遇·锋芒展·圆圆",nRefresh=0,key="奇遇提示0",},</t>
  </si>
  <si>
    <t>{nClass=14,nIcon=17135,nFrame=7,szName="返回·田语夕·等待一段剧情",nTime=600,key="奇遇提示1",},</t>
  </si>
  <si>
    <t>{nClass=14,nIcon=17135,nFrame=7,szName="前往·龙门客栈·龙门行脚商",nTime=600,key="奇遇提示2",},</t>
  </si>
  <si>
    <t>{nClass=14,nIcon=17135,nFrame=7,szName="交互·女儿红·等待一段剧情",nTime=600,key="奇遇提示3",},</t>
  </si>
  <si>
    <t>{nClass=14,nIcon=17135,nFrame=7,szName="返回·田语夕·使用·地图",nTime=600,key="奇遇提示4",},</t>
  </si>
  <si>
    <t>炸弹投掷位置已经标记。</t>
  </si>
  <si>
    <t>{nClass=14,nIcon=17135,nFrame=0,szName="奇遇提示0",nTime="60,17.前往光标位置·在山上边缘处;100,18.使用火药弹·前往商队货物;140,19.对话田语夕·等搬运物资结束;170,20.对话田启晔·往北面走·查瑞;190,21.选中查瑞·24尺·使用大食狐;210,22.获得牢笼钥匙·对话田启晔;250,23.返回龙门客栈·田语夕;270,完成奇遇·锋芒展·圆圆",nRefresh=0,key="奇遇提示0",},</t>
  </si>
  <si>
    <t>{nClass=14,nIcon=17135,nFrame=7,szName="前往·光标位置·在山上边缘处",nTime=600,key="奇遇提示1",},</t>
  </si>
  <si>
    <t>{nClass=14,nIcon=17135,nFrame=7,szName="使用·火药弹·前往·商队货物",nTime=600,key="奇遇提示2",},</t>
  </si>
  <si>
    <t>{nClass=14,nIcon=17135,nFrame=7,szName="对话·田语夕·等搬运物资结束",nTime=600,key="奇遇提示3",},</t>
  </si>
  <si>
    <t>{nClass=14,nIcon=17135,nFrame=7,szName="对话·田启晔·往北面走·查瑞",nTime=600,key="奇遇提示4",},</t>
  </si>
  <si>
    <t>我也听到爆炸声了，我们这就开始搬运货物，家父就交给你了！</t>
  </si>
  <si>
    <t>{nClass=14,nIcon=17135,nFrame=0,szName="奇遇提示0",nTime="30,20.对话田启晔·往北面走·查瑞;50,21.选中查瑞·24尺·使用大食狐;70,22.获得牢笼钥匙·对话田启晔;110,23.返回龙门客栈·田语夕;130,完成奇遇·锋芒展·圆圆",nRefresh=0,key="奇遇提示0",},</t>
  </si>
  <si>
    <t>{nClass=14,nIcon=17135,nFrame=7,szName="对话·田启晔·往北面走·查瑞",nTime=600,key="奇遇提示1",},</t>
  </si>
  <si>
    <t>{nClass=14,nIcon=17135,nFrame=7,szName="选中·查瑞·24尺使用·大食狐",nTime=600,key="奇遇提示2",},</t>
  </si>
  <si>
    <t>{nClass=14,nIcon=17135,nFrame=7,szName="获得·牢笼钥匙·对话·田启晔",nTime=600,key="奇遇提示3",},</t>
  </si>
  <si>
    <t>{nClass=14,nIcon=17135,nFrame=7,szName="返回·龙门客栈·田语夕·剧情",nTime=600,key="奇遇提示4",},</t>
  </si>
  <si>
    <t>是！</t>
  </si>
  <si>
    <t>{nClass=14,nIcon=17135,nFrame=7,szName="对话·田语夕·完成奇遇",nTime=20,key="奇遇提示1",},</t>
  </si>
  <si>
    <t>{nClass=14,nIcon=17135,nFrame=7,szName="宠物奇遇·锋芒展·圆圆",nTime=20,key="奇遇提示2",},</t>
  </si>
  <si>
    <t>霸图</t>
  </si>
  <si>
    <t>{nClass=14,nIcon=2864,nFrame=7,szName="霸图·已刷新",nTime=2,nRefresh=600,key="霸图",},</t>
  </si>
  <si>
    <t>孙永恒</t>
  </si>
  <si>
    <t>{nClass=14,nIcon=845,nFrame=3,szName="孙永恒·已刷新",nTime=2,nRefresh=600,key="孙永恒",},</t>
  </si>
  <si>
    <t>顾延恶已经尽力，请暂且退回疗伤。</t>
  </si>
  <si>
    <t>浩气·谢烟客·击退·恶人·顾延恶·复活点·烟雨居舍</t>
  </si>
  <si>
    <t>{nClass=14,nIcon=18830,nFrame=5,szName="恶人·顾延恶·退场",nTime=10,nRefresh=5,key="王遗风·顾延恶·减伤",},</t>
  </si>
  <si>
    <t>{nClass=14,nIcon=14724,nFrame=6,szName="谢渊·谢烟客·减伤",nTime="300,谢烟客·烟雨居舍·减伤3层;600,谢烟客·烟雨居舍·减伤2层;900,谢烟客·烟雨居舍·减伤1层",nRefresh=0,key="谢渊·谢烟客·减伤",},</t>
  </si>
  <si>
    <t>吕沛杰已经尽力，请暂且退回疗伤。</t>
  </si>
  <si>
    <t>浩气·陶杰·击退·恶人·吕沛杰·复活点·七星岩</t>
  </si>
  <si>
    <t>{nClass=14,nIcon=18830,nFrame=5,szName="恶人·吕沛杰·退场",nTime=10,nRefresh=5,key="王遗风·吕沛杰·减伤",},</t>
  </si>
  <si>
    <t>{nClass=14,nIcon=14724,nFrame=6,szName="谢渊·陶杰·减伤",nTime="300,陶杰·七星岩·减伤3层;600,陶杰·七星岩·减伤2层;900,陶杰·七星岩·减伤1层",nRefresh=0,key="谢渊·陶杰·减伤",},</t>
  </si>
  <si>
    <t>陶国栋已经尽力，请暂且退回疗伤。</t>
  </si>
  <si>
    <t>浩气·郑鸥·击退·恶人·陶国栋·复活点·栖霞</t>
  </si>
  <si>
    <t>{nClass=14,nIcon=18830,nFrame=5,szName="恶人·陶国栋·退场",nTime=10,nRefresh=5,key="王遗风·陶国栋·减伤",},</t>
  </si>
  <si>
    <t>{nClass=14,nIcon=14724,nFrame=6,szName="谢渊·郑鸥·减伤",nTime="300,郑鸥·栖霞·减伤3层;600,郑鸥·栖霞·减伤2层;900,郑鸥·栖霞·减伤1层",nRefresh=0,key="谢渊·郑鸥·减伤",},</t>
  </si>
  <si>
    <t>张一洋已经尽力，请暂且退回疗伤。</t>
  </si>
  <si>
    <t>浩气·周峰·击退·恶人·张一洋·复活点·龙隐山</t>
  </si>
  <si>
    <t>{nClass=14,nIcon=18830,nFrame=5,szName="恶人·张一洋·退场",nTime=10,nRefresh=5,key="王遗风·张一洋·减伤",},</t>
  </si>
  <si>
    <t>{nClass=14,nIcon=14724,nFrame=6,szName="谢渊·周峰·减伤",nTime="300,周峰·龙隐山·减伤3层;600,周峰·龙隐山·减伤2层;900,周峰·龙隐山·减伤1层",nRefresh=0,key="谢渊·周峰·减伤",},</t>
  </si>
  <si>
    <t>谢渊</t>
  </si>
  <si>
    <t>谢烟客已经尽力，请暂且退回疗伤。</t>
  </si>
  <si>
    <t>恶人·顾延恶·击退·浩气·谢烟客·复活点·烟雨居舍</t>
  </si>
  <si>
    <t>{nClass=14,nIcon=18829,nFrame=7,szName="浩气·谢烟客·退场",nTime=10,nRefresh=5,key="谢渊·谢烟客·减伤",},</t>
  </si>
  <si>
    <t>{nClass=14,nIcon=14724,nFrame=6,szName="王遗风·顾延恶·减伤",nTime="300,顾延恶·烟雨居舍·减伤3层;600,顾延恶·烟雨居舍·减伤2层;900,顾延恶·烟雨居舍·减伤1层",nRefresh=0,key="王遗风·顾延恶·减伤",},</t>
  </si>
  <si>
    <t>陶杰已经尽力，请暂且退回疗伤。</t>
  </si>
  <si>
    <t>恶人·吕沛杰·击退·浩气·陶杰·复活点·七星岩</t>
  </si>
  <si>
    <t>{nClass=14,nIcon=18829,nFrame=7,szName="浩气·陶杰·退场",nTime=10,nRefresh=5,key="谢渊·陶杰·减伤",},</t>
  </si>
  <si>
    <t>{nClass=14,nIcon=14724,nFrame=6,szName="王遗风·吕沛杰·减伤",nTime="300,吕沛杰·七星岩·减伤3层;600,吕沛杰·七星岩·减伤2层;900,吕沛杰·七星岩·减伤1层",nRefresh=0,key="王遗风·吕沛杰·减伤",},</t>
  </si>
  <si>
    <t>郑鸥已经尽力，请暂且退回疗伤。</t>
  </si>
  <si>
    <t>恶人·陶国栋·击退·浩气·郑鸥·复活点·栖霞</t>
  </si>
  <si>
    <t>{nClass=14,nIcon=18829,nFrame=7,szName="浩气·郑鸥·退场",nTime=10,nRefresh=5,key="谢渊·郑鸥·减伤",},</t>
  </si>
  <si>
    <t>{nClass=14,nIcon=14724,nFrame=6,szName="王遗风·陶国栋·减伤",nTime="300,陶国栋·栖霞·减伤3层;600,陶国栋·栖霞·减伤2层;900,陶国栋·栖霞·减伤1层",nRefresh=0,key="王遗风·陶国栋·减伤",},</t>
  </si>
  <si>
    <t>周峰已经尽力，请暂且退回疗伤。</t>
  </si>
  <si>
    <t>恶人·张一洋·击退·浩气·周峰·复活点·龙隐山</t>
  </si>
  <si>
    <t>{nClass=14,nIcon=18829,nFrame=7,szName="浩气·周峰·退场",nTime=10,nRefresh=5,key="谢渊·周峰·减伤",},</t>
  </si>
  <si>
    <t>{nClass=14,nIcon=14724,nFrame=6,szName="王遗风·张一洋·减伤",nTime="300,张一洋·龙隐山·减伤3层;600,张一洋·龙隐山·减伤2层;900,张一洋·龙隐山·减伤1层",nRefresh=0,key="王遗风·张一洋·减伤",},</t>
  </si>
  <si>
    <t>浩气·谢烟客·击退·恶人·顾延恶·复活点·平安客栈</t>
  </si>
  <si>
    <t>{nClass=14,nIcon=14724,nFrame=6,szName="谢渊·谢烟客·减伤",nTime="300,谢烟客·平安客栈·减伤3层;600,谢烟客·平安客栈·减伤2层;900,谢烟客·平安客栈·减伤1层",nRefresh=0,key="谢渊·谢烟客·减伤",},</t>
  </si>
  <si>
    <t>浩气·陶杰·击退·恶人·吕沛杰·复活点·炎狱山</t>
  </si>
  <si>
    <t>{nClass=14,nIcon=14724,nFrame=6,szName="谢渊·陶杰·减伤",nTime="300,陶杰·炎狱山·减伤3层;600,陶杰·炎狱山·减伤2层;900,陶杰·炎狱山·减伤1层",nRefresh=0,key="谢渊·陶杰·减伤",},</t>
  </si>
  <si>
    <t>浩气·郑鸥·击退·恶人·陶国栋·复活点·白骨陵园</t>
  </si>
  <si>
    <t>{nClass=14,nIcon=14724,nFrame=6,szName="谢渊·郑鸥·减伤",nTime="300,郑鸥·白骨陵园·减伤3层;600,郑鸥·白骨陵园·减伤2层;900,郑鸥·白骨陵园·减伤1层",nRefresh=0,key="谢渊·郑鸥·减伤",},</t>
  </si>
  <si>
    <t>浩气·周峰·击退·恶人·张一洋·复活点·丐王坡</t>
  </si>
  <si>
    <t>{nClass=14,nIcon=14724,nFrame=6,szName="谢渊·周峰·减伤",nTime="300,周峰·丐王坡·减伤3层;600,周峰·丐王坡·减伤2层;900,周峰·丐王坡·减伤1层",nRefresh=0,key="谢渊·周峰·减伤",},</t>
  </si>
  <si>
    <t>恶人·顾延恶·击退·浩气·谢烟客·复活点·平安客栈</t>
  </si>
  <si>
    <t>{nClass=14,nIcon=14724,nFrame=6,szName="王遗风·顾延恶·减伤",nTime="300,顾延恶·平安客栈·减伤3层;600,顾延恶·平安客栈·减伤2层;900,顾延恶·平安客栈·减伤1层",nRefresh=0,key="王遗风·顾延恶·减伤",},</t>
  </si>
  <si>
    <t>恶人·吕沛杰·击退·浩气·陶杰·复活点·炎狱山</t>
  </si>
  <si>
    <t>{nClass=14,nIcon=14724,nFrame=6,szName="王遗风·吕沛杰·减伤",nTime="300,吕沛杰·炎狱山·减伤3层;600,吕沛杰·炎狱山·减伤2层;900,吕沛杰·炎狱山·减伤1层",nRefresh=0,key="王遗风·吕沛杰·减伤",},</t>
  </si>
  <si>
    <t>恶人·陶国栋·击退·浩气·郑鸥·复活点·白骨陵园</t>
  </si>
  <si>
    <t>{nClass=14,nIcon=14724,nFrame=6,szName="王遗风·陶国栋·减伤",nTime="300,陶国栋·白骨陵园·减伤3层;600,陶国栋·白骨陵园·减伤2层;900,陶国栋·白骨陵园·减伤1层",nRefresh=0,key="王遗风·陶国栋·减伤",},</t>
  </si>
  <si>
    <t>恶人·张一洋·击退·浩气·周峰·复活点·丐王坡</t>
  </si>
  <si>
    <t>{nClass=14,nIcon=14724,nFrame=6,szName="王遗风·张一洋·减伤",nTime="300,张一洋·丐王坡·减伤3层;600,张一洋·丐王坡·减伤2层;900,张一洋·丐王坡·减伤1层",nRefresh=0,key="王遗风·张一洋·减伤",},</t>
  </si>
  <si>
    <t>{nClass=14,nIcon=293,nFrame=5,szName="可以往瀑布方向走·看冰水",nTime=20,nRefresh=15,key="雪雪·旅行介绍1",},</t>
  </si>
  <si>
    <t>{nClass=14,nIcon=293,nFrame=5,szName="可以找·NPC冰雪",nTime=20,nRefresh=15,key="雪雪·旅行介绍2",},</t>
  </si>
  <si>
    <t>{nClass=14,nIcon=2397,nFrame=7,szName="浩气·劫车奖励",nTime=60,key="粮草先行·恶人谷",},</t>
  </si>
  <si>
    <t>{nClass=14,nIcon=15380,nFrame=3,szName="恶人·护送牛车",nTime=557,key="粮草先行·恶人谷",},</t>
  </si>
  <si>
    <t>{nClass=14,nIcon=15384,nFrame=7,szName="浩气·护送牛车",nTime=557,key="粮草先行·浩气盟",},</t>
  </si>
  <si>
    <t>源明雅</t>
  </si>
  <si>
    <t>不好，附近龙脉的守护灵被惊动了。</t>
  </si>
  <si>
    <t>{nClass=14,nIcon=4975,nFrame=5,szName="寻龙勘脉·地脉守护灵",nTime=55,key="寻龙勘脉窥天机·开启",},</t>
  </si>
  <si>
    <t>我现在要使用这个水灵珠激活附近的地脉。</t>
  </si>
  <si>
    <t>{nClass=14,nIcon=4975,nFrame=5,szName="寻龙勘脉·开启",nTime=120,key="寻龙勘脉窥天机·开启",},</t>
  </si>
  <si>
    <t>竟然能打败守护灵，你的身手不错。现在去下一个地点吧。</t>
  </si>
  <si>
    <t>{nClass=14,nIcon=4975,nFrame=5,szName="寻龙勘脉·成功+1",nTime=5,key="寻龙勘脉窥天机·开启",},</t>
  </si>
  <si>
    <t>不好，水灵珠破裂了。我的幻身很快就会消失，快去下一个地点吧。</t>
  </si>
  <si>
    <t>{nClass=14,nIcon=4975,nFrame=5,szName="寻龙勘脉·水灵珠·破裂",nTime=10,key="寻龙勘脉窥天机·开启",},</t>
  </si>
  <si>
    <t>今天就到此为止吧，有劳了。</t>
  </si>
  <si>
    <t>{nClass=14,nIcon=4975,nFrame=5,szName="寻龙勘脉·任务完成",nTime=10,key="寻龙勘脉窥天机·开启",},</t>
  </si>
  <si>
    <t>宇文画</t>
  </si>
  <si>
    <t>那个东瀛的小子你给我出来，带着人在我十二连环坞的地头上装神弄鬼，搞什么呢，弟兄们，砸了他们的场子！</t>
  </si>
  <si>
    <t>{nClass=14,nIcon=4891,nFrame=5,szName="宇文画·已刷新",nTime=10,key="宇文画·刷新",},</t>
  </si>
  <si>
    <t>哼，东瀛的小子，算你们狠，弟兄们，我们撤！</t>
  </si>
  <si>
    <t>{nClass=14,nIcon=4891,nFrame=5,szName="宇文画·已击退",nTime=10,key="宇文画·刷新",},</t>
  </si>
  <si>
    <t>叶凡</t>
  </si>
  <si>
    <t>众弟子，随我迎敌！</t>
  </si>
  <si>
    <t>{nClass=14,nIcon=17135,nFrame=3,szName="门派事件2·抵御狼牙·慕容枯",nTime=10,key="门派事件1",},</t>
  </si>
  <si>
    <t>叶炜</t>
  </si>
  <si>
    <t>大胆狂徒！今日天下英雄尽聚于此，尔等焉敢猖狂，众弟子迎敌！</t>
  </si>
  <si>
    <t>{nClass=20,nIcon=17135,nFrame=3,szName="门派事件1·名剑新生·开启",nTime=10,key="门派事件1",},</t>
  </si>
  <si>
    <t>慕容古</t>
  </si>
  <si>
    <t>都来了？也好，让我领教领教藏剑山庄的绝技。</t>
  </si>
  <si>
    <t>{nClass=14,nIcon=17135,nFrame=3,szName="门派事件2·以贼试剑·慕容枯",nTime=10,key="门派事件2",},</t>
  </si>
  <si>
    <t>这是……什么剑法……</t>
  </si>
  <si>
    <t>{nClass=20,nIcon=17135,nFrame=3,szName="门派事件2·以贼试剑·结束",nTime=5,key="门派事件2",},</t>
  </si>
  <si>
    <t>宠物奇遇·烟花戏·秋·瑞瑞</t>
  </si>
  <si>
    <t>唱晚池旁的李霖好像有事在找你。</t>
  </si>
  <si>
    <t>{nClass=14,nIcon=17135,nFrame=0,szName="奇遇·炼狱水煮鱼·改良",nTime=20,key="炼狱水煮鱼·改良1",},</t>
  </si>
  <si>
    <t>{nClass=14,nIcon=17135,nFrame=0,szName="唱晚池旁·李霖",nTime=20,key="炼狱水煮鱼·改良2",},</t>
  </si>
  <si>
    <t>{nClass=14,nIcon=17135,nFrame=0,szName="需要准备·今朝醉·1个",nTime=20,key="炼狱水煮鱼·改良3",},</t>
  </si>
  <si>
    <t>沈笑颜</t>
  </si>
  <si>
    <t>真好吃！</t>
  </si>
  <si>
    <t>{nClass=14,nIcon=17135,nFrame=0,szName="奇遇提示0",nTime="5,恭喜触发·竹马情·弈棋小龟;15,奇遇不封印·约10分钟完成;30,1.对话·沈笑颜;120,2.归林泽上括号一个闪闪发光的物件;180,3.返回归林泽·沈笑颜;240,4.万宝阁下括号·万福;300,5.南冥谷上括号左·向万景;360,6.万宝阁下括号右下·向万景;480,7.返回归林泽·沈笑颜·结束",nRefresh=0,key="奇遇提示0",},</t>
  </si>
  <si>
    <t>{nClass=14,nIcon=17135,nFrame=7,szName="对话·沈笑颜",nTime=600,key="奇遇提示1",},</t>
  </si>
  <si>
    <t>{nClass=14,nIcon=17135,nFrame=7,szName="归林泽上·一个闪闪发光的物件",nTime=600,key="奇遇提示2",},</t>
  </si>
  <si>
    <t>{nClass=14,nIcon=17135,nFrame=7,szName="返回·沈笑颜·万宝阁下·万福",nTime=600,key="奇遇提示3",},</t>
  </si>
  <si>
    <t>{nClass=14,nIcon=17135,nFrame=7,szName="前往·南冥谷左·向万景",nTime=600,key="奇遇提示4",},</t>
  </si>
  <si>
    <t>{nClass=14,nIcon=17135,nFrame=7,szName="前往·万宝阁右下·向万景",nTime=600,key="奇遇提示5",},</t>
  </si>
  <si>
    <t>向万景</t>
  </si>
  <si>
    <t>果果，快来快来，快看我给你带了什么。</t>
  </si>
  <si>
    <t>{nClass=14,nIcon=17135,nFrame=0,szName="奇遇提示0",nTime="60,等待剧情·对话·向万景;300,返回归林泽·沈笑颜·结束",key="奇遇提示0",},</t>
  </si>
  <si>
    <t>{nClass=14,nIcon=17135,nFrame=7,szName="等待剧情·对话·向万景",nTime=60,key="奇遇提示1",},</t>
  </si>
  <si>
    <t>原来只要这样，那这两样东西我立刻就去还了。</t>
  </si>
  <si>
    <t>{nClass=14,nIcon=17135,nFrame=7,szName="返回归林泽·沈笑颜·结束",nTime=240,key="奇遇提示1",},</t>
  </si>
  <si>
    <t>苗民卫兵</t>
  </si>
  <si>
    <t>我们不是这女人的对手,请侠士们出手相助!</t>
  </si>
  <si>
    <t>{nClass=14,nIcon=17135,nFrame=3,szName="门派事件1·圣兽潭·天一阴谋",nTime=10,nRefresh=120,key="门派事件1",},</t>
  </si>
  <si>
    <t>曲云</t>
  </si>
  <si>
    <t>这次多亏了侠士们及时赶到，才使我教免于一场劫难。</t>
  </si>
  <si>
    <t>{nClass=14,nIcon=17135,nFrame=3,szName="门派事件1·天一阴谋·结束",nTime=5,nRefresh=120,key="门派事件1",},</t>
  </si>
  <si>
    <t>圣兽潭附近还有残余血蚊，望侠士们帮忙清理，此刻我还需带孙飞亮回总坛疗伤。</t>
  </si>
  <si>
    <t>{nClass=14,nIcon=17135,nFrame=3,szName="门派事件2·圣兽潭·清除剩余血蚊",nTime=10,nRefresh=120,key="门派事件1",},</t>
  </si>
  <si>
    <t>五毒大师兄</t>
  </si>
  <si>
    <t>玛索师姐已去炼制血蚊丹，炼成后可以引走金虎，望众侠士相助五毒教，抵挡这植兽！</t>
  </si>
  <si>
    <t>{nClass=20,nIcon=17135,nFrame=0,szName="门派事件1·五毒总坛·噬魂金虎",nTime=10,key="门派事件1",},</t>
  </si>
  <si>
    <t>玛索</t>
  </si>
  <si>
    <t>多亏侠士们拼死抵挡这植兽，刚才我用昨日侠士击杀血蚊炼成血蚊丹，已命教内轻功拔尖的教众携带这丹药向天一教老巢赶去。</t>
  </si>
  <si>
    <t>{nClass=20,nIcon=17135,nFrame=0,szName="门派事件1·噬魂金虎·结束",nTime=5,key="门派事件1",},</t>
  </si>
  <si>
    <t>我还要前去天一老巢打探一番，不要让我教众被这噬魂金虎误伤，告辞了！</t>
  </si>
  <si>
    <t>{nClass=20,nIcon=17135,nFrame=0,szName="门派事件2·五毒总坛·清除剩余血蚊",nTime=10,nRefresh=120,key="门派事件2",},</t>
  </si>
  <si>
    <t>苗淼尔</t>
  </si>
  <si>
    <t>一件虽然不贵重但有特殊意义的饰品。</t>
  </si>
  <si>
    <t>{nClass=14,nIcon=17135,nFrame=0,szName="奇遇提示0",nTime="5,恭喜触发·滇南行;15,奇遇不封印·全程5-10分钟;60,1.圣兽潭左上·小土堆;90,1.拾取·脏兮兮的纸条;120,1.返回·苗淼尔;180,2.溪山渡上方·小土堆;210,2.拾取·脏脏的衣角;240,2.返回·苗淼尔;270,3.幽魂草泽·乌苏;300,3.幽魂草泽·寻找·换颜草;360,3.返回·乌苏;390,4.被打晕后·对话·苗淼尔;400,结束·滇南行",key="奇遇提示0",},</t>
  </si>
  <si>
    <t>{nClass=14,nIcon=17135,nFrame=7,szName="1.圣兽潭左上·小土堆·返回",nTime=60,key="奇遇提示1",},</t>
  </si>
  <si>
    <t>{nClass=14,nIcon=17135,nFrame=7,szName="2.溪山渡上方·小土堆·返回",nTime=60,key="奇遇提示2",},</t>
  </si>
  <si>
    <t>{nClass=14,nIcon=17135,nFrame=7,szName="3.幽魂草泽·乌苏·换颜草",nTime=60,key="奇遇提示3",},</t>
  </si>
  <si>
    <t>{nClass=14,nIcon=17135,nFrame=7,szName="4.返回·乌苏·对话·苗淼尔",nTime=60,key="奇遇提示4",},</t>
  </si>
  <si>
    <t>你已经挖掘过这个土堆了</t>
  </si>
  <si>
    <t>扛下了所有啊……</t>
  </si>
  <si>
    <t>{nClass=14,nIcon=17135,nFrame=6,bHold=true,szName="再次对话·木桩",nTime=300,key="奇遇提示2",},</t>
  </si>
  <si>
    <t>{nClass=14,nIcon=17135,nFrame=7,bHold=true,szName="极境木桩·使用·游梦仙枕",nTime=300,key="奇遇提示3",},</t>
  </si>
  <si>
    <t>唐无寻</t>
  </si>
  <si>
    <t>无乐，过几年我也懒得再管你的事了，你自己好自为之。</t>
  </si>
  <si>
    <t>{nClass=20,nIcon=17135,nFrame=3,szName="门派事件1·唐家堡·修复机甲",nTime=10,key="门派事件1",},</t>
  </si>
  <si>
    <t>无乐，我方制造的机甲已成型，你可莫要逃了。</t>
  </si>
  <si>
    <t>{nClass=20,nIcon=17135,nFrame=3,szName="门派事件1·修复机甲·结束",nTime=5,key="门派事件1",},</t>
  </si>
  <si>
    <t>呵呵，大言不惭。胜负成败，就看此一战。上吧！</t>
  </si>
  <si>
    <t>{nClass=20,nIcon=17135,nFrame=3,szName="门派事件2·唐家堡·机甲对决",nTime=10,key="门派事件2",},</t>
  </si>
  <si>
    <t>唐无乐</t>
  </si>
  <si>
    <t>竟是输你一成……没想到大哥你的机甲制造术又精进不少。</t>
  </si>
  <si>
    <t>{nClass=20,nIcon=17135,nFrame=3,szName="门派事件2·机甲对决·结束",nTime=5,key="门派事件2",},</t>
  </si>
  <si>
    <t>哼！诸位侠士请助我们护住机甲。</t>
  </si>
  <si>
    <t>{nClass=20,nIcon=17135,nFrame=3,szName="门派事件1·唐家堡·对抗狼牙",nTime=10,key="门派事件1",},</t>
  </si>
  <si>
    <t>好！多亏诸位侠士相助，机甲已经休整完毕，狼牙的末日到了！</t>
  </si>
  <si>
    <t>{nClass=20,nIcon=17135,nFrame=3,szName="门派事件1·对抗狼牙·御敌·结束",nTime=5,key="门派事件1",},</t>
  </si>
  <si>
    <t>跋野古寒</t>
  </si>
  <si>
    <t>看看是谁在说大话！</t>
  </si>
  <si>
    <t>{nClass=20,nIcon=17135,nFrame=3,szName="门派事件1·唐家堡·对抗狼牙·斩首",nTime=10,key="门派事件2",},</t>
  </si>
  <si>
    <t>诸位侠士当心！机甲将会在十秒后自爆，唐门所属！准备撤！</t>
  </si>
  <si>
    <t>{nClass=20,nIcon=17135,nFrame=3,szName="机甲自爆·远离",nTime=10,key="门派事件2·提示",},</t>
  </si>
  <si>
    <t>啊，我不甘心啊。</t>
  </si>
  <si>
    <t>{nClass=20,nIcon=17135,nFrame=3,szName="门派事件2·对抗狼牙斩首·结束",nTime=5,key="门派事件2",},</t>
  </si>
  <si>
    <t>唐某</t>
  </si>
  <si>
    <t>是浩气盟的特使，门主已待各位多时，请随我前来。</t>
  </si>
  <si>
    <t>唐某·开剧情</t>
  </si>
  <si>
    <t>{nClass=14,nIcon=13,nFrame=5,szName="交互·唐某·开剧情",nTime=10,key="剧情·提示1",},</t>
  </si>
  <si>
    <t>{nClass=14,nIcon=293,nFrame=5,szName="三生树找·NPC波斯猫",nTime=20,nRefresh=15,key="雪雪·旅行介绍1",},</t>
  </si>
  <si>
    <t>{nClass=14,nIcon=293,nFrame=5,szName="三生树东北找·两只贴贴的骆驼",nTime=20,nRefresh=15,key="雪雪·旅行介绍2",},</t>
  </si>
  <si>
    <t>陆烟儿</t>
  </si>
  <si>
    <t>如此，我们就同心相祈，大会这便开始。</t>
  </si>
  <si>
    <t>{nClass=20,nIcon=17135,nFrame=0,szName="门派事件1·圣墓山·明尊大典·祈",nTime=20,key="门派事件1",},</t>
  </si>
  <si>
    <t>宫觥</t>
  </si>
  <si>
    <t>杀掉那些中原人！！</t>
  </si>
  <si>
    <t>{nClass=20,nIcon=17135,nFrame=3,szName="门派事件2·圣墓山·宫觥",nTime=10,key="门派事件2",},</t>
  </si>
  <si>
    <t>丁君</t>
  </si>
  <si>
    <t>恐怕今日来的只是红衣教先遣教徒，明日还会有一场大战。</t>
  </si>
  <si>
    <t>{nClass=20,nIcon=17135,nFrame=3,szName="门派事件2·宫觥·结束",nTime=5,key="门派事件2",},</t>
  </si>
  <si>
    <t>果然不出所料，红衣教昨日只是派出刺客先行，捣乱祈愿大会。</t>
  </si>
  <si>
    <t>{nClass=20,nIcon=17135,nFrame=3,szName="门派事件1·三生树·血染红衣",nTime=10,key="门派事件1",},</t>
  </si>
  <si>
    <t>红衣教徒已尽数消灭，多谢各位侠士仗义援手！</t>
  </si>
  <si>
    <t>{nClass=20,nIcon=17135,nFrame=3,szName="门派事件1·血染红衣·结束",nTime=5,key="门派事件1",},</t>
  </si>
  <si>
    <t>老伯似乎还有事相求。</t>
  </si>
  <si>
    <t>{nClass=14,nIcon=17135,nFrame=6,szName="对话·赫连别月·前往地图左下角",nTime=60,key="任务·提示1",},</t>
  </si>
  <si>
    <t>老伯似乎心神不宁，回家里陪他一下吧。</t>
  </si>
  <si>
    <t>{nClass=14,nIcon=17135,nFrame=6,szName="返回·赫连别月·家里·继续对话",nTime=60,key="任务·提示1",},</t>
  </si>
  <si>
    <t>赫连别月</t>
  </si>
  <si>
    <t>谢谢你吉言。</t>
  </si>
  <si>
    <t>{nClass=14,nIcon=17135,nFrame=6,szName="等等看·赫连鹰扬·是否回家",nTime=20,key="任务·提示1",},</t>
  </si>
  <si>
    <t>赫连鹰扬</t>
  </si>
  <si>
    <t>我，回来了。</t>
  </si>
  <si>
    <t>{nClass=14,nIcon=17135,nFrame=6,szName="赫连鹰扬·回家了",nTime=10,key="任务·提示1",},</t>
  </si>
  <si>
    <t>曹炎烈</t>
  </si>
  <si>
    <t>来者可是藏剑的叶凡叶五少爷？果然大家之子，气度不凡。叶家五少真是名不虚传啊。</t>
  </si>
  <si>
    <t>{nClass=14,nIcon=17135,nFrame=3,szName="曹炎烈·激活剩余",nTime=102,key="公共事件2",},</t>
  </si>
  <si>
    <t>可惜可惜！</t>
  </si>
  <si>
    <t>{nClass=14,nIcon=17135,nFrame=3,szName="曹炎烈·免死剩余",nTime=300,key="公共事件2",},</t>
  </si>
  <si>
    <t>你已招架不住，还不束手就擒？</t>
  </si>
  <si>
    <t>{nClass=14,nIcon=17135,nFrame=3,szName="曹炎烈·已击退",nTime=5,key="公共事件2",},</t>
  </si>
  <si>
    <t>藏剑弟子</t>
  </si>
  <si>
    <t>多谢诸位侠士护送，我们在此稍作整顿即可自行前往目的地了。</t>
  </si>
  <si>
    <t>{nClass=14,nIcon=17135,nFrame=3,szName="公共事件1·护卫除追兵·结束",nTime=5,key="公共事件1",},</t>
  </si>
  <si>
    <t>高级藏剑弟子</t>
  </si>
  <si>
    <t>你获得了事件【护送除追兵】的奖励。</t>
  </si>
  <si>
    <t>求助的流民</t>
  </si>
  <si>
    <t>啊……</t>
  </si>
  <si>
    <t>{nClass=14,nIcon=17135,nFrame=0,szName="成就·心慈手软·放走妇人",nTime=15.3,key="茶馆·成就",},</t>
  </si>
  <si>
    <t>多谢大侠饶命！多谢大侠饶命！</t>
  </si>
  <si>
    <t>{nClass=14,nIcon=17135,nFrame=0,szName="成就·心慈手软·放走妇人",nTime=0,key="茶馆·成就",},</t>
  </si>
  <si>
    <t>我不怕，娘说那些狼不会咬我！</t>
  </si>
  <si>
    <t>{nClass=14,nIcon=17135,nFrame=5,szName="任务提示1",nTime=0,key="任务提示1",},</t>
  </si>
  <si>
    <t>阎规</t>
  </si>
  <si>
    <t>茶馆这么多人，要找谁打听呢……</t>
  </si>
  <si>
    <t>{nClass=20,nIcon=17135,nFrame=7,bHold=true,szName="洛阳·战乱·洛阳城门",nTime=600,key="奇遇提示2",},</t>
  </si>
  <si>
    <t>{nClass=20,nIcon=17135,nFrame=7,bHold=true,szName="茶馆附近·对话·神秘人",nTime=600,key="奇遇提示3",},</t>
  </si>
  <si>
    <t>神秘人</t>
  </si>
  <si>
    <t>你的朋友已经先过去了。</t>
  </si>
  <si>
    <t>{nClass=20,nIcon=17135,nFrame=7,bHold=true,szName="依次对话·阎规·鲁小兔",nTime=600,key="奇遇提示2",},</t>
  </si>
  <si>
    <t>{nClass=20,nIcon=17135,nFrame=7,bHold=true,szName="结束对话后前往山顶结拜",nTime=600,key="奇遇提示3",},</t>
  </si>
  <si>
    <t>鲁小兔</t>
  </si>
  <si>
    <t>东西我都准备妥当就差人了，快跟我来山顶。</t>
  </si>
  <si>
    <t>{nClass=20,nIcon=17135,nFrame=7,bHold=true,szName="背对神秘人·走台阶·佛塔",nTime=600,key="奇遇提示2",},</t>
  </si>
  <si>
    <t>{nClass=20,nIcon=17135,nFrame=7,bHold=true,szName="再次对话·鲁小兔·QTE",nTime=600,key="奇遇提示3",},</t>
  </si>
  <si>
    <t>咕噜…</t>
  </si>
  <si>
    <t>{nClass=20,nIcon=17135,nFrame=7,bHold=true,szName="结束QTE·再次对话·鲁小兔",nTime=600,key="奇遇提示2",},</t>
  </si>
  <si>
    <t>{nClass=20,nIcon=17135,nFrame=7,bHold=true,szName="奇遇封印·次日7时",nTime=600,key="奇遇提示3",},</t>
  </si>
  <si>
    <t>我在山下的小山谷当大侠，快来~</t>
  </si>
  <si>
    <t>{nClass=20,nIcon=17135,nFrame=7,bHold=true,szName="棚子后面小山丘·山谷中间",nTime=600,key="奇遇提示2",},</t>
  </si>
  <si>
    <t>{nClass=20,nIcon=17135,nFrame=7,bHold=true,szName="对话·鲁小兔·QTE",nTime=600,key="奇遇提示3",},</t>
  </si>
  <si>
    <t>举手之劳，何足挂齿！日后你再被人劫道，报本女侠的大名就好！</t>
  </si>
  <si>
    <t>{nClass=20,nIcon=17135,nFrame=7,bHold=true,szName="再次对话·鲁小兔",nTime=600,key="奇遇提示2",},</t>
  </si>
  <si>
    <t>擂台就在山下，跟我来。</t>
  </si>
  <si>
    <t>{nClass=20,nIcon=17135,nFrame=7,bHold=true,szName="棚子后面小山丘·下方",nTime=600,key="奇遇提示2",},</t>
  </si>
  <si>
    <t>我选的山头在这边，跟我来。</t>
  </si>
  <si>
    <t>{nClass=20,nIcon=17135,nFrame=7,bHold=true,szName="佛塔·右后方",nTime=600,nRefresh=600,key="奇遇提示2",},</t>
  </si>
  <si>
    <t>{nClass=20,nIcon=17135,nFrame=7,bHold=true,szName="对话·鲁小兔·使用包裹",nTime=600,nRefresh=600,key="奇遇提示3",},</t>
  </si>
  <si>
    <t>嗯嗯不错不错，江湖儿女鲁小兔今日就正式退出江湖啦~</t>
  </si>
  <si>
    <t>{nClass=20,nIcon=17135,nFrame=7,bHold=true,szName="奇遇提示2",nTime=-2,key="奇遇提示2",},</t>
  </si>
  <si>
    <t>{nClass=20,nIcon=17135,nFrame=7,bHold=true,szName="奇遇提示3",nTime=-2,key="奇遇提示3",},</t>
  </si>
  <si>
    <t>{nClass=20,nIcon=17135,nFrame=7,bHold=true,szName="随后对话·阎规",nTime=600,key="奇遇提示3",},</t>
  </si>
  <si>
    <t>鲁小兔的两位结拜好兄弟，今日就到此处吧，两位明日来此墓前，小兔有要事相托。</t>
  </si>
  <si>
    <t>{nClass=20,nIcon=17135,nFrame=7,bHold=true,szName="对话·阎规",nTime=600,nRefresh=600,key="奇遇提示2",},</t>
  </si>
  <si>
    <t>{nClass=20,nIcon=17135,nFrame=7,bHold=true,szName="次日7时·再来此处",nTime=600,nRefresh=600,key="奇遇提示3",},</t>
  </si>
  <si>
    <t>阶苔</t>
  </si>
  <si>
    <t>走吧，曹将军还在等我们。</t>
  </si>
  <si>
    <t>{nClass=20,nIcon=17135,nFrame=3,szName="门派事件1·药师观·接应阶苔",nTime=20,key="门派事件1",},</t>
  </si>
  <si>
    <t>多谢诸位侠士鼎立相助，阶苔在此谢过。</t>
  </si>
  <si>
    <t>{nClass=20,nIcon=17135,nFrame=3,szName="门派事件1·接应阶苔·结束",nTime=5,key="门派事件1",},</t>
  </si>
  <si>
    <t>请诸位侠士为我守护片刻。</t>
  </si>
  <si>
    <t>{nClass=20,nIcon=17135,nFrame=3,szName="门派事件2·药师观·刺客袭击",nTime=20,key="门派事件2",},</t>
  </si>
  <si>
    <t>大好头颅在此，尽管来拿！</t>
  </si>
  <si>
    <t>{nClass=20,nIcon=17135,nFrame=3,szName="门派事件3·药师观·游龙先生",nTime=20,key="门派事件3",},</t>
  </si>
  <si>
    <t>游龙先生</t>
  </si>
  <si>
    <t>人多势众，算什么好汉！我隐元会不会放弃的！</t>
  </si>
  <si>
    <t>{nClass=20,nIcon=17135,nFrame=3,szName="门派事件3·游龙先生·结束",nTime=5,key="门派事件3",},</t>
  </si>
  <si>
    <t>有点本事，那我来亲自会会你。</t>
  </si>
  <si>
    <t>{nClass=20,nIcon=17135,nFrame=3,szName="门派事件1·药师观·击退无名",nTime=20,key="门派事件1",},</t>
  </si>
  <si>
    <t>今天我奈何不得你天策府，自然不会再纠缠此事。不过，我却做不了安将军的主，就此告辞。</t>
  </si>
  <si>
    <t>{nClass=20,nIcon=17135,nFrame=3,szName="门派事件1·击退无名·结束",nTime=5,key="门派事件1",},</t>
  </si>
  <si>
    <t>蒋方文</t>
  </si>
  <si>
    <t>请大家稍事休息，老夫这就酿下一桶！</t>
  </si>
  <si>
    <t>{nClass=14,nIcon=17135,nFrame=3,szName="门派事件·美酒飘香·备材·开启",nTime=10,key="门派事件1",},</t>
  </si>
  <si>
    <t>感谢大家鼎力相助，老夫这就开始用内功催发酒力。不过此处经常会有棕熊前来偷酒，还请各位相助一二。</t>
  </si>
  <si>
    <t>{nClass=14,nIcon=17135,nFrame=3,szName="门派事件·美酒飘香·酿酒·开启",nTime=10,key="门派事件1",},</t>
  </si>
  <si>
    <t>哈哈哈！这酒算是成了！感谢各位的鼎力相助，蒋某不胜感激！</t>
  </si>
  <si>
    <t>{nClass=14,nIcon=17135,nFrame=3,szName="门派事件·美酒飘香·酿酒·结束",nTime=5,key="门派事件1",},</t>
  </si>
  <si>
    <t>郭岩</t>
  </si>
  <si>
    <t>有刺客！！！保护师父！！</t>
  </si>
  <si>
    <t>{nClass=14,nIcon=17135,nFrame=3,szName="门派事件·刺客来袭·开启",nTime=10,key="门派事件1",},</t>
  </si>
  <si>
    <t>师弟，此处就交于我，你且护着师父师母退后！</t>
  </si>
  <si>
    <t>{nClass=14,nIcon=17135,nFrame=3,szName="门派事件·沈眠风之乱·开启",nTime=10,key="门派事件1",},</t>
  </si>
  <si>
    <t>尹放</t>
  </si>
  <si>
    <t>我们追！</t>
  </si>
  <si>
    <t>{nClass=14,nIcon=17135,nFrame=3,szName="门派事件·沈眠风之乱·结束",nTime=5,key="门派事件1",},</t>
  </si>
  <si>
    <t>尹小荷</t>
  </si>
  <si>
    <t>各位可以来我这里领取钓竿，然后就在我身边的浅滩上垂钓，莫要走远了。钓到了鱼儿便放入我身边的鱼篓中即可！</t>
  </si>
  <si>
    <t>{nClass=14,nIcon=17135,nFrame=3,szName="门派事件·洞庭虹影·开启",nTime=10,key="门派事件1",},</t>
  </si>
  <si>
    <t>相传这水中有一只万年巨龟，莫不是惊动了它？真是天助我也，大家齐心斩了这巨龟，将其龟甲献给老帮主定是极好的！</t>
  </si>
  <si>
    <t>{nClass=14,nIcon=17135,nFrame=3,szName="门派事件·洞庭虹影·斩龟",nTime=10,key="门派事件1",},</t>
  </si>
  <si>
    <t>好像有鱼儿上钩了，快收杆！</t>
  </si>
  <si>
    <t>有鱼咬钩</t>
  </si>
  <si>
    <t>{nClass=14,nIcon=2678,nFrame=5,szName="快收杆",nTime=5,key="钓鱼",},</t>
  </si>
  <si>
    <t>王三金</t>
  </si>
  <si>
    <t>各位大侠，请跟紧我！</t>
  </si>
  <si>
    <t>{nClass=14,nIcon=1240,nFrame=5,szName="秘境剧情",nTime=0,key="秘境剧情",},</t>
  </si>
  <si>
    <t>{nClass=14,nIcon=244,nFrame=5,szName="小钟",nTime=15,},</t>
  </si>
  <si>
    <t>{nClass=14,nIcon=244,nFrame=5,szName="竹子",nTime=15,},</t>
  </si>
  <si>
    <t>{nClass=14,nIcon=244,nFrame=5,szName="十三根",nTime=15,},</t>
  </si>
  <si>
    <t>几位大侠！赶紧到我这里来！不要被守卫军发现！</t>
  </si>
  <si>
    <t>{nClass=14,nIcon=1240,nFrame=5,szName="对话王三金·梨园服饰",nTime=15,key="秘境剧情",},</t>
  </si>
  <si>
    <t>狼牙铁勒兵</t>
  </si>
  <si>
    <t>不对！此事必有蹊跷！</t>
  </si>
  <si>
    <t>{nClass=14,nIcon=278,nFrame=0,szName="狼牙铁勒兵对话·送水果",nTime=20,key="诱敌深入下暗手1",},</t>
  </si>
  <si>
    <t>{nClass=14,nIcon=278,nFrame=0,szName="明日午时·天佑吾皇",nTime=20,key="诱敌深入下暗手2",},</t>
  </si>
  <si>
    <t>{nClass=14,nIcon=278,nFrame=0,szName="丐帮中人·追随宇文将军",nTime=20,key="诱敌深入下暗手3",},</t>
  </si>
  <si>
    <t>{$me}，你的计谋被我识破了！</t>
  </si>
  <si>
    <t>{nClass=14,nIcon=13,nFrame=5,szName="诱敌深入下暗手1",nTime=0,key="诱敌深入下暗手1",},</t>
  </si>
  <si>
    <t>{nClass=14,nIcon=13,nFrame=5,szName="诱敌深入下暗手2",nTime=0,key="诱敌深入下暗手2",},</t>
  </si>
  <si>
    <t>{nClass=14,nIcon=13,nFrame=5,szName="诱敌深入下暗手3",nTime=0,key="诱敌深入下暗手3",},</t>
  </si>
  <si>
    <t>由于你的恭维,狼牙铁勒兵对你的信任加深了！</t>
  </si>
  <si>
    <t>怎么不见乞丐？看来只好把你的人头带回去领功了！</t>
  </si>
  <si>
    <t>狼牙军官</t>
  </si>
  <si>
    <t>这手里的弯刀不怎么好使了，给我弄把锋利的长枪使使。</t>
  </si>
  <si>
    <t>{nClass=14,nIcon=17135,nFrame=3,szName="狼牙军官·赠送兵器222",nTime=10.31,key="死生之数犹未定",},</t>
  </si>
  <si>
    <t>真是口干舌燥，给大爷我弄点酒水来，日后定在将军前替你美言几句。</t>
  </si>
  <si>
    <t>{nClass=14,nIcon=17135,nFrame=7,szName="狼牙军官·赠送美酒333",nTime=10.31,key="死生之数犹未定",},</t>
  </si>
  <si>
    <t>老和尚</t>
  </si>
  <si>
    <t>多行不义，施主你这是咎由自取啊...</t>
  </si>
  <si>
    <t>{nClass=14,nIcon=17135,nFrame=3,szName="死生之数犹未定·完成",nTime=5,key="死生之数犹未定",},</t>
  </si>
  <si>
    <t>你埋下了一个香囊。</t>
  </si>
  <si>
    <t>{nClass=14,nIcon=17135,nFrame=5,szName="故园风雨1",nTime=0,key="故园风雨1",},</t>
  </si>
  <si>
    <t>燕安</t>
  </si>
  <si>
    <t>今日收获了如此之多的寒冰雪莲，众将士辛苦了！不过大敌当前，仍需加紧训练！</t>
  </si>
  <si>
    <t>{nClass=14,nIcon=17135,nFrame=3,szName="门派事件·养兵千日·结束",nTime=5,key="门派事件1",},</t>
  </si>
  <si>
    <t>探子来报，奚人近日恐是要进攻了，大家务必抓紧训练！通过苍云堡内的训练可获寒冰雪莲，上缴者有赏！</t>
  </si>
  <si>
    <t>{nClass=14,nIcon=17135,nFrame=3,szName="门派事件·养兵千日·开启",nTime=10,key="门派事件1",},</t>
  </si>
  <si>
    <t>萨楚日</t>
  </si>
  <si>
    <t>我萨楚日率兵前来攻城！苍云小儿若是快快打开城门就放你们一条生路！哈哈哈哈！</t>
  </si>
  <si>
    <t>{nClass=14,nIcon=17135,nFrame=3,szName="门派事件1·地图标记·萨楚日",nTime=10,key="门派事件1",},</t>
  </si>
  <si>
    <t>申屠远</t>
  </si>
  <si>
    <t>今日东陉关得守，不仅是众苍云将士之功，更要多谢各位武林豪杰相助！</t>
  </si>
  <si>
    <t>{nClass=14,nIcon=17135,nFrame=3,szName="门派事件1·萨楚日·结束",nTime=5,key="门派事件1",},</t>
  </si>
  <si>
    <t>塔拉</t>
  </si>
  <si>
    <t>想不到你们在如此情况下还能坚持这么久，看来是我们小瞧了你们！</t>
  </si>
  <si>
    <t>{nClass=14,nIcon=17135,nFrame=3,szName="门派事件2·地图标记·塔拉",nTime=10,key="门派事件1",},</t>
  </si>
  <si>
    <t>多谢各路英豪前来相助，苍云的众将士也打起精神来，务必要守住这东陉关！</t>
  </si>
  <si>
    <t>{nClass=14,nIcon=17135,nFrame=3,szName="门派事件2·塔拉·结束",nTime=5,key="门派事件1",},</t>
  </si>
  <si>
    <t>唐和斯</t>
  </si>
  <si>
    <t>萨楚日和塔拉那两个废物真是给奚人丢脸，哼，受死吧！</t>
  </si>
  <si>
    <t>{nClass=14,nIcon=17135,nFrame=3,szName="门派事件3·地图标记·唐和斯",nTime=20,key="门派事件1",},</t>
  </si>
  <si>
    <t>库莫</t>
  </si>
  <si>
    <t>真是废物，连这种小事都做不好！哼！</t>
  </si>
  <si>
    <t>{nClass=14,nIcon=17135,nFrame=3,szName="门派事件1·锡喇·锡尔哈·结束",nTime=5,key="门派事件1",},</t>
  </si>
  <si>
    <t>长孙忘情</t>
  </si>
  <si>
    <t>废话还真是多！众将士听令！</t>
  </si>
  <si>
    <t>{nClass=14,nIcon=17135,nFrame=3,szName="门派事件2·地图标记·库莫",nTime=10,key="门派事件1",},</t>
  </si>
  <si>
    <t>哼！就凭你们便妄图灭我苍云军？真是自不量力！全军听令！今日便让这狂妄之徒有来无回！</t>
  </si>
  <si>
    <t>{nClass=14,nIcon=17135,nFrame=3,szName="门派事件2·库莫·结束",nTime=5,key="门派事件1",},</t>
  </si>
  <si>
    <t>胆敢前来犯我苍云军者，诛！</t>
  </si>
  <si>
    <t>你获得了事件【抢夺木材】的奖励</t>
  </si>
  <si>
    <t>{nClass=-1,nIcon=340,nFrame=5,szName="23.55.07",nTime=10,},</t>
  </si>
  <si>
    <t>你获得了事件【进击·高秀岩营寨！】的奖励</t>
  </si>
  <si>
    <t>{nClass=-1,nIcon=340,nFrame=5,szName="23.54.11",nTime=10,},</t>
  </si>
  <si>
    <t>你获得了事件【守卫伐木场】的奖励</t>
  </si>
  <si>
    <t>你获得了事件【进击·蔡希德营寨！】的奖励</t>
  </si>
  <si>
    <t>{nClass=14,nIcon=13,nFrame=4,szName="德霄财·刷新剩余",nTime=600,key="公共事件2",},</t>
  </si>
  <si>
    <t>你获得了事件【进击·牛延阶营寨！】的奖励</t>
  </si>
  <si>
    <t>{nClass=14,nIcon=13,nFrame=4,szName="尤肖杰·刷新剩余",nTime=600,key="公共事件3",},</t>
  </si>
  <si>
    <t>你获得了事件【村民的暴动】的奖励</t>
  </si>
  <si>
    <t>你获得了事件【拦截天门关狼牙援军】的奖励</t>
  </si>
  <si>
    <t>{nClass=-1,nIcon=340,nFrame=5,szName="23.55.18",nTime=10,},</t>
  </si>
  <si>
    <t>你获得了事件【援助伐木场】的奖励</t>
  </si>
  <si>
    <t>{nClass=-1,nIcon=340,nFrame=5,szName="23.57.30",nTime=10,},</t>
  </si>
  <si>
    <t>你获得了事件【重建杏花村】的奖励</t>
  </si>
  <si>
    <t>你获得了事件【守卫晋祠】的奖励</t>
  </si>
  <si>
    <t>{nClass=14,nIcon=13,nFrame=4,szName="",nTime="22,石萧翼·刷新剩余;37,石萧翼·延迟刷新",nRefresh=0,key="公共事件1",},</t>
  </si>
  <si>
    <t>你获得了事件【进击·史朝义营寨！】的奖励</t>
  </si>
  <si>
    <t>{nClass=14,nIcon=13,nFrame=4,szName="李怀仙|正直·刷新剩余",nTime=202,key="公共事件1",},</t>
  </si>
  <si>
    <t>你获得了事件【援助晋祠】的奖励</t>
  </si>
  <si>
    <t>王岳明</t>
  </si>
  <si>
    <t>狼牙军又来骚扰晋祠了，请侠士们帮助我们消灭他们！</t>
  </si>
  <si>
    <t>{nClass=14,nIcon=13,nFrame=5,szName="李怀仙|正直·刷新",nTime=10,key="公共事件1",},</t>
  </si>
  <si>
    <t>王苍浪</t>
  </si>
  <si>
    <t>快点快点，早点儿走到高大帅的营寨还能赶上开伙吃饭！</t>
  </si>
  <si>
    <t>温茹</t>
  </si>
  <si>
    <t>不好了！狼牙军又想占领杏花村了！快来人帮帮我们呀！</t>
  </si>
  <si>
    <t>韩非池</t>
  </si>
  <si>
    <t>开始罢。</t>
  </si>
  <si>
    <t>{nClass=14,nIcon=17135,nFrame=3,szName="门派事件1·音律之试·琴·开启",nTime=10,key="门派事件1",},</t>
  </si>
  <si>
    <t>杨青月</t>
  </si>
  <si>
    <t>壁垒的坚固程度往往与抚琴者的内力相合。众位侠士花了这许时间才破除壁垒，可见贤弟的弦歌比几月前又精进了。</t>
  </si>
  <si>
    <t>{nClass=14,nIcon=17135,nFrame=3,szName="门派事件1·音律之试·结束",nTime=5,key="门派事件1",},</t>
  </si>
  <si>
    <t>赵宫商</t>
  </si>
  <si>
    <t>好，这就开始。随我来!</t>
  </si>
  <si>
    <t>{nClass=14,nIcon=17135,nFrame=3,szName="门派事件2·音律之试·幻影·开启",nTime=10,key="门派事件2",},</t>
  </si>
  <si>
    <t>幻像已破，火候有欠。</t>
  </si>
  <si>
    <t>{nClass=14,nIcon=17135,nFrame=3,szName="门派事件2·音律之试·结束",nTime=5,key="门派事件2",},</t>
  </si>
  <si>
    <t>宫商的《清弦引梦》现进入第二阶段，我们继续跟着。</t>
  </si>
  <si>
    <t>{nClass=14,nIcon=17135,nFrame=3,szName="门派事件3·音律之试·幻影·开启",nTime=10,key="门派事件3",},</t>
  </si>
  <si>
    <t>嗯，待他从梦境中醒来细聊。</t>
  </si>
  <si>
    <t>{nClass=14,nIcon=17135,nFrame=3,szName="门派事件3·音律之试·结束",nTime=5,key="门派事件3",},</t>
  </si>
  <si>
    <t>贾昊仁</t>
  </si>
  <si>
    <t>少侠,箱子里就是你要的东西了。你俩下去吧。</t>
  </si>
  <si>
    <t>{nClass=14,nIcon=17135,nFrame=7,szName="交互·沉甸甸的箱子",nTime=10,nRefresh=7200,key="奇遇·石敢当·提示1",},</t>
  </si>
  <si>
    <t>航小婷</t>
  </si>
  <si>
    <t>你很厉害，不过不知道象棋是不是也厉害呢？</t>
  </si>
  <si>
    <t>{nClass=14,nIcon=17135,nFrame=7,szName="对话·航小婷·隐贤居·封博安",nTime=600,key="奇遇提示1",},</t>
  </si>
  <si>
    <t>{nClass=14,nIcon=17135,nFrame=7,szName="对话·封博安·交互·棋盘",nTime=600,key="奇遇提示2",},</t>
  </si>
  <si>
    <t>{nClass=14,nIcon=17135,nFrame=7,szName="对话·云定风·对话·封博安",nTime=600,key="奇遇提示3",},</t>
  </si>
  <si>
    <t>封博安</t>
  </si>
  <si>
    <t>开局。</t>
  </si>
  <si>
    <t>{nClass=14,nIcon=17135,nFrame=0,szName="奇遇提示0",nTime="30,4.交互·棋盘;60,5.对话·云定风;90,6.对话·封博安;100,第一日·结束",nRefresh=0,key="奇遇提示0",},</t>
  </si>
  <si>
    <t>{nClass=14,nIcon=17135,nFrame=7,szName="交互·棋盘",nTime=600,key="奇遇提示1",},</t>
  </si>
  <si>
    <t>{nClass=14,nIcon=17135,nFrame=7,szName="对话·云定风",nTime=600,key="奇遇提示2",},</t>
  </si>
  <si>
    <t>{nClass=14,nIcon=17135,nFrame=7,szName="对话·封博安",nTime=600,key="奇遇提示3",},</t>
  </si>
  <si>
    <t>为兄惭愧……但永王恳切，云兄何不考虑考虑？</t>
  </si>
  <si>
    <t>{nClass=14,nIcon=17135,nFrame=0,szName="奇遇提示0",nTime="30,5.对话·云定风;60,6.对话·封博安;70,第一日·结束",nRefresh=0,key="奇遇提示0",},</t>
  </si>
  <si>
    <t>{nClass=14,nIcon=17135,nFrame=7,szName="对话·云定风",nTime=600,key="奇遇提示1",},</t>
  </si>
  <si>
    <t>{nClass=14,nIcon=17135,nFrame=7,szName="对话·封博安",nTime=600,key="奇遇提示2",},</t>
  </si>
  <si>
    <t>哎，云兄，若我们能共享富贵，何必下棋争这一壶浊酒呢？</t>
  </si>
  <si>
    <t>{nClass=14,nIcon=17135,nFrame=7,szName="对话·封博安·第一日·结束",nTime=20,key="奇遇提示1",},</t>
  </si>
  <si>
    <t>{nClass=14,nIcon=17135,nFrame=7,szName="第二日·前往·隐贤居",nTime=20,key="奇遇提示2",},</t>
  </si>
  <si>
    <t>{nClass=14,nIcon=17135,nFrame=7,szName="第二日·交互·棋局",nTime=20,key="奇遇提示3",},</t>
  </si>
  <si>
    <t>局中棋势策略均无破绽，为何有……</t>
  </si>
  <si>
    <t>{nClass=14,nIcon=17135,nFrame=7,szName="对话·封博安·贺城·封博安",nTime=600,key="奇遇提示1",},</t>
  </si>
  <si>
    <t>{nClass=14,nIcon=17135,nFrame=7,szName="对话·封博安·对话·邢簿征",nTime=600,key="奇遇提示2",},</t>
  </si>
  <si>
    <t>{nClass=14,nIcon=17135,nFrame=7,szName="对话·云定风·对话·邢簿征",nTime=600,key="奇遇提示3",},</t>
  </si>
  <si>
    <t>这……容我三思……</t>
  </si>
  <si>
    <t>{nClass=14,nIcon=17135,nFrame=7,szName="对话·邢簿征·对话·云定风",nTime=600,key="奇遇提示1",},</t>
  </si>
  <si>
    <t>{nClass=14,nIcon=17135,nFrame=7,szName="对话·邢簿征·第二日·结束",nTime=600,key="奇遇提示2",},</t>
  </si>
  <si>
    <t>{nClass=14,nIcon=17135,nFrame=7,szName="第三日·前往贺城外边亭子",nTime=600,key="奇遇提示3",},</t>
  </si>
  <si>
    <t>邢簿征</t>
  </si>
  <si>
    <t>封先生，这位侠士为云定风带话，明天棋局改在城外草亭。</t>
  </si>
  <si>
    <t>{nClass=14,nIcon=17135,nFrame=7,szName="第二日·结束",nTime=20,key="奇遇提示1",},</t>
  </si>
  <si>
    <t>{nClass=14,nIcon=17135,nFrame=7,szName="第三日·前往·贺城外亭子",nTime=20,key="奇遇提示2",},</t>
  </si>
  <si>
    <t>{nClass=14,nIcon=17135,nFrame=7,szName="第三日·对话·封博安",nTime=20,key="奇遇提示3",},</t>
  </si>
  <si>
    <t>云兄，你来了。</t>
  </si>
  <si>
    <t>{nClass=14,nIcon=17135,nFrame=7,szName="对话·封博安",nTime=300,key="奇遇提示1",},</t>
  </si>
  <si>
    <t>{nClass=14,nIcon=17135,nFrame=7,szName="对话·封博安",nTime=300,key="奇遇提示2",},</t>
  </si>
  <si>
    <t>云定风</t>
  </si>
  <si>
    <t>哈哈，看来日后我想赢酒，又要难了。</t>
  </si>
  <si>
    <t>{nClass=14,nIcon=17135,nFrame=7,szName="对话·封博安·结束",nTime=20,key="奇遇提示1",},</t>
  </si>
  <si>
    <t>{nClass=14,nIcon=293,nFrame=5,szName="阴山集市·黑市附近",nTime=20,nRefresh=15,key="雪雪·旅行介绍1",},</t>
  </si>
  <si>
    <t>{nClass=14,nIcon=293,nFrame=5,szName="阴山茶馆找·茶馆老板娘",nTime=20,nRefresh=15,key="雪雪·旅行介绍2",},</t>
  </si>
  <si>
    <t>{nClass=14,nIcon=293,nFrame=5,szName="湖心岛·触发命途",nTime=20,nRefresh=15,key="雪雪·旅行介绍3",},</t>
  </si>
  <si>
    <t>大姐姐，我们去那边湖中间的小岛看看嘛。</t>
  </si>
  <si>
    <t>{nClass=14,nIcon=293,nFrame=5,szName="湖心岛·触发命途",nTime=20,key="雪雪·旅行介绍3",},</t>
  </si>
  <si>
    <t>{nClass=14,nIcon=17135,nFrame=5,szName="无忧无虑·加速成长·lv/20min",nTime=20,nRefresh=600,key="训马·心情",},</t>
  </si>
  <si>
    <t>{nClass=14,nIcon=4519,nFrame=6,szName="训马·交互·神采飞扬",nTime=0,key="训马·交互·神采飞扬",},</t>
  </si>
  <si>
    <t>{nClass=14,nIcon=4521,nFrame=5,szName="训马·交互·无忧无虑",nTime=0,key="训马·交互·无忧无虑",},</t>
  </si>
  <si>
    <t>{nClass=14,nIcon=17135,nFrame=6,szName="神采飞扬·邮寄礼物·马草饲料",nTime=20,nRefresh=600,key="训马·心情",},</t>
  </si>
  <si>
    <t>{nClass=14,nIcon=17135,nFrame=3,szName="训马·心情·狂躁不安",nTime=60,key="训马·心情",},</t>
  </si>
  <si>
    <t>{nClass=14,nIcon=17135,nFrame=3,szName="训马·心情·畏缩不前",nTime=60,key="训马·心情",},</t>
  </si>
  <si>
    <t>{nClass=14,nIcon=17135,nFrame=3,szName="训马·心情·兴奋",nTime=60,key="训马·心情",},</t>
  </si>
  <si>
    <t>{nClass=14,nIcon=4519,nFrame=6,szName="神采飞扬·交互·训练",nTime=20,key="训马·交互·神采飞扬",},</t>
  </si>
  <si>
    <t>{nClass=14,nIcon=4521,nFrame=5,szName="无忧无虑·交互·安抚",nTime=20,key="训马·交互·无忧无虑",},</t>
  </si>
  <si>
    <t>悠闲</t>
  </si>
  <si>
    <t>{nClass=14,nIcon=17135,nFrame=3,szName="训马·心情·悠闲",nTime=60,key="训马·心情",},</t>
  </si>
  <si>
    <t>{nClass=14,nIcon=17135,nFrame=3,szName="训马·心情·急躁",nTime=60,key="训马·心情",},</t>
  </si>
  <si>
    <t>{nClass=14,nIcon=4519,nFrame=6,szName="神采飞扬·交互·清洁",nTime=20,key="训马·交互·神采飞扬",},</t>
  </si>
  <si>
    <t>{nClass=14,nIcon=4521,nFrame=5,szName="无忧无虑·交互·放养",nTime=20,key="训马·交互·无忧无虑",},</t>
  </si>
  <si>
    <t>胆小</t>
  </si>
  <si>
    <t>{nClass=14,nIcon=17135,nFrame=3,szName="训马·心情·胆小",nTime=60,key="训马·心情",},</t>
  </si>
  <si>
    <t>{nClass=14,nIcon=4519,nFrame=6,szName="神采飞扬·交互·安抚",nTime=20,key="训马·交互·神采飞扬",},</t>
  </si>
  <si>
    <t>{nClass=14,nIcon=17135,nFrame=3,szName="训马·心情·平静",nTime=60,key="训马·心情",},</t>
  </si>
  <si>
    <t>小赤</t>
  </si>
  <si>
    <t>^赤兔马已到达(.*)附近，有志于征服赤兔的侠士可速速赶去！</t>
  </si>
  <si>
    <t>赤兔·{$1}</t>
  </si>
  <si>
    <t>{nClass=14,nIcon=5991,nFrame=4,szName="赤兔·{$1}",nTime=240,key="赤兔",},</t>
  </si>
  <si>
    <t>的卢已正式出山！浩气盟和恶人谷的侠士可以前去试图抓捕！</t>
  </si>
  <si>
    <t>阴山大草原·的卢</t>
  </si>
  <si>
    <t>{nClass=14,nIcon=21034,nFrame=3,szName="阴山大草原·的卢·已出山",nTime=30,key="的卢",},</t>
  </si>
  <si>
    <t>良驹已出山，各位有志之士请做好准备！</t>
  </si>
  <si>
    <t>{nClass=14,nIcon=1899,nFrame=6,szName="阴山大草原·良驹出山",nTime=20,key="良驹·出山",},</t>
  </si>
  <si>
    <t>杨新</t>
  </si>
  <si>
    <t>黑戈壁·的卢</t>
  </si>
  <si>
    <t>{nClass=14,nIcon=21034,nFrame=3,szName="黑戈壁·的卢·已出山",nTime=30,key="的卢",},</t>
  </si>
  <si>
    <t>{nClass=14,nIcon=1899,nFrame=6,szName="黑戈壁·良驹出山",nTime=20,key="良驹·出山",},</t>
  </si>
  <si>
    <t>【城下阵地·进攻】事件已经结束，由于你没有贡献，没有获得奖励。</t>
  </si>
  <si>
    <t>【宫城城门·压制】事件已经结束，由于你没有贡献，没有获得奖励。</t>
  </si>
  <si>
    <t>{nClass=14,nIcon=13,nFrame=6,szName="宫城城门·压制·清除城墙弓兵",nTime=10,key="公共事件1",},</t>
  </si>
  <si>
    <t>【城下阵地·守备】事件已经结束，由于你没有贡献，没有获得奖励。</t>
  </si>
  <si>
    <t>{nClass=14,nIcon=13,nFrame=6,szName="城下阵地·守备·清除城下盾兵",nTime=10,key="公共事件1",},</t>
  </si>
  <si>
    <t>【潜袭宫城·筹备】事件已经结束，由于你没有贡献，没有获得奖励。</t>
  </si>
  <si>
    <t>{nClass=14,nIcon=13,nFrame=6,szName="潜袭宫城·开启",nTime=5,key="公共事件2",},</t>
  </si>
  <si>
    <t>【潜袭宫城】事件已经结束，由于你没有贡献，没有获得奖励。</t>
  </si>
  <si>
    <t>{nClass=14,nIcon=13,nFrame=1,szName="潜袭宫城·筹备·开启",nTime=10,key="公共事件2",},</t>
  </si>
  <si>
    <t>【宫城投石车阵地·压制】事件已经结束，由于你没有贡献，没有获得奖励。</t>
  </si>
  <si>
    <t>你获得了事件【城下阵地·进攻】的奖励。</t>
  </si>
  <si>
    <t>{nClass=14,nIcon=13,nFrame=6,szName="",nTime="5,宫城城门·压制·开启;15,宫城城门·压制·城墙上弓兵",nRefresh=0,key="公共事件1",},</t>
  </si>
  <si>
    <t>你获得了事件【宫城城门·压制】的奖励。</t>
  </si>
  <si>
    <t>{nClass=14,nIcon=13,nFrame=6,szName="公共事件1",nTime="5,城下阵地·守备·开启;15,城下阵地·守备·清除城下盾兵",nRefresh=0,key="公共事件1",},</t>
  </si>
  <si>
    <t>你获得了事件【城下阵地·守备】的奖励。</t>
  </si>
  <si>
    <t>{nClass=14,nIcon=13,nFrame=6,szName="公共事件1",nTime="5,宫城城门·压制·开启;15,宫城城门·压制·清除城墙弓兵",nRefresh=0,key="公共事件1",},</t>
  </si>
  <si>
    <t>你获得了事件【潜袭宫城·筹备】的奖励。</t>
  </si>
  <si>
    <t>{nClass=14,nIcon=13,nFrame=4,szName="公共事件2",nTime="5,潜袭宫城·开启;602,潜袭宫城·筹备·刷新剩余;610,潜袭宫城·筹备·已刷新",nRefresh=0,key="公共事件2",},</t>
  </si>
  <si>
    <t>你获得了事件【潜袭宫城】的奖励。</t>
  </si>
  <si>
    <t>你获得了事件【宫城投石车阵地·压制】的奖励。</t>
  </si>
  <si>
    <t>古镇狱</t>
  </si>
  <si>
    <t>我方辎重车开始装车！大家快前往守护，谷主重重有赏！</t>
  </si>
  <si>
    <t>{nClass=14,nIcon=15380,nFrame=3,szName="恶人·保护辎重车",nTime=300,key="押送物资",},</t>
  </si>
  <si>
    <t>辎重车装车完毕，出发！接下来交给其他兄弟，大家辛苦了！</t>
  </si>
  <si>
    <t>{nClass=14,nIcon=2398,nFrame=3,szName="恶人·领取奖赏",nTime=40,key="押送物资",},</t>
  </si>
  <si>
    <t>辎重车已被破坏，好容易收集来的物资丢失了！</t>
  </si>
  <si>
    <t>{nClass=14,nIcon=2397,nFrame=7,szName="浩气·劫车奖励",nTime=40,key="押送物资",},</t>
  </si>
  <si>
    <t>方一云</t>
  </si>
  <si>
    <t>我方辎重车开始装车！大家快前往守护，盟主重重有赏！</t>
  </si>
  <si>
    <t>{nClass=14,nIcon=15384,nFrame=7,szName="浩气·保护辎重车",nTime=300,key="押送物资",},</t>
  </si>
  <si>
    <t>{nClass=14,nIcon=2397,nFrame=7,szName="浩气·领取奖赏",nTime=40,key="押送物资",},</t>
  </si>
  <si>
    <t>{nClass=14,nIcon=2398,nFrame=3,szName="恶人·劫车奖励",nTime=40,key="押送物资",},</t>
  </si>
  <si>
    <t>柳辰苇</t>
  </si>
  <si>
    <t>霜林出现了厉害的吊睛白虎，正在狩猎的侠士们可以找到这猛兽一试身手！</t>
  </si>
  <si>
    <t>{nClass=14,nIcon=17135,nFrame=3,szName="门派事件·{$N55356}·出现",nTime=20,key="门派事件·{$N55356}",},</t>
  </si>
  <si>
    <t>你获得了事件【霸刀·杀意四伏】的奖励。</t>
  </si>
  <si>
    <t>{nClass=14,nIcon=17135,nFrame=3,szName="门派事件1·杀意四伏·结束",nTime=5,key="门派事件1",},</t>
  </si>
  <si>
    <t>唐花</t>
  </si>
  <si>
    <t>可惜尔等管了这不该管的闲事，我便留不得你们了！</t>
  </si>
  <si>
    <t>{nClass=14,nIcon=17135,nFrame=3,szName="门派事件2·机关重重·唐花",nTime=10,key="门派事件2",},</t>
  </si>
  <si>
    <t>咳咳……</t>
  </si>
  <si>
    <t>{nClass=14,nIcon=17135,nFrame=3,szName="门派事件2·机关重重·结束",nTime=5,key="门派事件2",},</t>
  </si>
  <si>
    <t>重楼子</t>
  </si>
  <si>
    <t>说甚么胡话！唐家妹子，你且先去！速速将此处情形告知蛇仙！咱尚能抵得一时！</t>
  </si>
  <si>
    <t>{nClass=14,nIcon=17135,nFrame=3,szName="门派事件3·星暗长林·重楼子",nTime=10,key="门派事件3",},</t>
  </si>
  <si>
    <t>{nClass=14,nIcon=17135,nFrame=3,szName="门派事件3·星暗长林·结束",nTime=5,key="门派事件2",},</t>
  </si>
  <si>
    <t>蛇仙女</t>
  </si>
  <si>
    <t>哎呀哎呀，将军不要那么凶嘛。</t>
  </si>
  <si>
    <t>{nClass=14,nIcon=17135,nFrame=3,szName="门派事件1·蛇魅狼影·蛇仙女",nTime=10,key="门派事件1",},</t>
  </si>
  <si>
    <t>哎呀哎呀，原来是夫人来了。</t>
  </si>
  <si>
    <t>{nClass=14,nIcon=17135,nFrame=3,szName="门派事件1·蛇魅狼影·结束",nTime=5,key="门派事件1",},</t>
  </si>
  <si>
    <t>狼牙堡_战兽山</t>
  </si>
  <si>
    <t>也漠河</t>
  </si>
  <si>
    <t>哈哈哈哈！</t>
  </si>
  <si>
    <t>{nClass=14,nIcon=17135,nFrame=5,szName="剧情·也漠河",nTime=37,key="剧情",},</t>
  </si>
  <si>
    <t>这里能看见山下的村庄呢。</t>
  </si>
  <si>
    <t>{nClass=14,nIcon=293,nFrame=5,szName="可以去周围商铺看看",nTime=20,key="雪雪·旅行介绍1",},</t>
  </si>
  <si>
    <t>{nClass=14,nIcon=293,nFrame=5,szName="可以去祈梦台大树下许愿",nTime=20,key="雪雪·旅行介绍2",},</t>
  </si>
  <si>
    <t>啊，雪雪的发簪不见了，可能是玩耍的时候弄丢了，雪雪要回去找找。大姐姐若是要找我的话，我就在停云居门口。</t>
  </si>
  <si>
    <t>{nClass=14,nIcon=17135,nFrame=3,szName="雪雪·剧情阶段3·停云居门口河边",nTime=10,key="雪雪·剧情",},</t>
  </si>
  <si>
    <t>啊，雪雪突然想起来还有件要紧的事情要做。大姐姐若是要找我的话，我就在停云居门口的河边。</t>
  </si>
  <si>
    <t>{nClass=14,nIcon=17135,nFrame=3,szName="雪雪·剧情阶段2·停云居门口河边",nTime=10,key="雪雪·剧情",},</t>
  </si>
  <si>
    <t>原来冬瓜烧肉是这样做的啊，我好像学到了一点呢。</t>
  </si>
  <si>
    <t>{nClass=14,nIcon=7622,nFrame=6,szName="冬瓜烧肉·根骨·熟练度+1",nTime=10.1,nRefresh=9,key="做菜提示·冬瓜烧肉",},</t>
  </si>
  <si>
    <t>这冬瓜烧肉我终于学会啦！</t>
  </si>
  <si>
    <t>{nClass=14,nIcon=7622,nFrame=0,szName="雪雪·学会·冬瓜烧肉·根骨",nTime=10.1,key="做菜提示·冬瓜烧肉",},</t>
  </si>
  <si>
    <t>原来黄瓜烧肉是这样做的啊，我好像学到了一点呢。</t>
  </si>
  <si>
    <t>{nClass=14,nIcon=7533,nFrame=6,szName="黄瓜烧肉·力道·熟练度+1",nTime=10.1,key="做菜提示·黄瓜烧肉",},</t>
  </si>
  <si>
    <t>这黄瓜烧肉我终于学会啦！</t>
  </si>
  <si>
    <t>{nClass=14,nIcon=7533,nFrame=0,szName="雪雪·学会·黄瓜烧肉·力道",nTime=10.1,key="做菜提示·黄瓜烧肉",},</t>
  </si>
  <si>
    <t>原来肉粥是这样做的啊，我好像学到了一点呢。</t>
  </si>
  <si>
    <t>{nClass=14,nIcon=7659,nFrame=6,szName="肉 　粥 ·元气·熟练度+1",nTime=10.1,key="做菜提示·肉粥",},</t>
  </si>
  <si>
    <t>这肉粥我终于学会啦！</t>
  </si>
  <si>
    <t>{nClass=14,nIcon=7659,nFrame=0,szName="雪雪·学会·肉粥·元气",nTime=10.1,key="做菜提示·肉粥",},</t>
  </si>
  <si>
    <t>原来蘑菇炖肉是这样做的啊，我好像学到了一点呢。</t>
  </si>
  <si>
    <t>{nClass=14,nIcon=7613,nFrame=6,szName="蘑菇炖肉·身法·熟练度+1",nTime=10.1,key="做菜提示·蘑菇炖肉",},</t>
  </si>
  <si>
    <t>这蘑菇炖肉我终于学会啦！</t>
  </si>
  <si>
    <t>{nClass=14,nIcon=7613,nFrame=0,szName="雪雪·学会·蘑菇炖肉·身法",nTime=10.1,key="做菜提示·蘑菇炖肉",},</t>
  </si>
  <si>
    <t>原来馄饨是这样做的啊，我好像学到了一点呢。</t>
  </si>
  <si>
    <t>{nClass=14,nIcon=545,nFrame=6,szName="混沌·精力·熟练度+1",nTime=10.1,key="做菜提示·混沌",},</t>
  </si>
  <si>
    <t>这馄饨我终于学会啦！</t>
  </si>
  <si>
    <t>{nClass=14,nIcon=545,nFrame=0,szName="雪雪·学会·混沌·精力",nTime=10.1,key="做菜提示·混沌",},</t>
  </si>
  <si>
    <t>原来肉馅团子是这样做的啊，我好像学到了一点呢。</t>
  </si>
  <si>
    <t>{nClass=14,nIcon=7635,nFrame=0,szName="肉馅团子·体质·熟练度+1",nTime=10.1,key="做菜提示·肉馅团子",},</t>
  </si>
  <si>
    <t>这肉馅团子我终于学会啦！</t>
  </si>
  <si>
    <t>{nClass=14,nIcon=7635,nFrame=0,szName="雪雪·学会·肉馅团子·体质",nTime=10.1,key="做菜提示·肉馅团子",},</t>
  </si>
  <si>
    <t>原来鲜肉包子是这样做的啊，我好像学到了一点呢。</t>
  </si>
  <si>
    <t>{nClass=14,nIcon=259,nFrame=0,szName="鲜肉包子·内力·熟练度+1",nTime=10.1,key="做菜提示·鲜肉包子",},</t>
  </si>
  <si>
    <t>这鲜肉包子我终于学会啦！</t>
  </si>
  <si>
    <t>{nClass=14,nIcon=259,nFrame=0,szName="雪雪·学会·鲜肉包子·内力",nTime=10.1,key="做菜提示·鲜肉包子",},</t>
  </si>
  <si>
    <t>这稻香饼我终于学会啦！</t>
  </si>
  <si>
    <t>{nClass=14,nIcon=259,nFrame=0,szName="雪雪·学会·稻香饼·气血",nTime=10.1,key="做菜提示·稻香饼",},</t>
  </si>
  <si>
    <t>稻香饼好好吃呀！</t>
  </si>
  <si>
    <t>{nClass=14,nIcon=100,nFrame=5,szName="雪雪·已学会·稻香饼·气血",nTime=10.1,key="做菜提示·稻香饼",},</t>
  </si>
  <si>
    <t>馄饨好好吃呀！</t>
  </si>
  <si>
    <t>{nClass=14,nIcon=545,nFrame=0,szName="雪雪·已学会·混沌·精力",nTime=10.1,key="做菜提示·混沌",},</t>
  </si>
  <si>
    <t>肉馅团子好好吃呀！</t>
  </si>
  <si>
    <t>{nClass=14,nIcon=7635,nFrame=0,szName="雪雪·已学会·肉馅团子·体质",nTime=10.1,key="做菜提示·肉馅团子",},</t>
  </si>
  <si>
    <t>冬瓜烧肉好好吃呀！</t>
  </si>
  <si>
    <t>{nClass=14,nIcon=7622,nFrame=0,szName="雪雪·已学会·冬瓜烧肉·根骨",nTime=10.1,key="做菜提示·冬瓜烧肉",},</t>
  </si>
  <si>
    <t>黄瓜烧肉好好吃呀！</t>
  </si>
  <si>
    <t>{nClass=14,nIcon=7533,nFrame=0,szName="雪雪·已学会·黄瓜烧肉·力道",nTime=10.1,key="做菜提示·黄瓜烧肉",},</t>
  </si>
  <si>
    <t>肉粥好好吃呀！</t>
  </si>
  <si>
    <t>{nClass=14,nIcon=7659,nFrame=0,szName="雪雪·已学会·肉粥·元气",nTime=10.1,key="做菜提示·肉粥",},</t>
  </si>
  <si>
    <t>蘑菇炖肉好好吃呀！</t>
  </si>
  <si>
    <t>{nClass=14,nIcon=7613,nFrame=0,szName="雪雪·已学会·蘑菇炖肉·身法",nTime=10.1,key="做菜提示·蘑菇炖肉",},</t>
  </si>
  <si>
    <t>鲜肉包子好好吃呀！</t>
  </si>
  <si>
    <t>{nClass=14,nIcon=259,nFrame=0,szName="雪雪·已学会·鲜肉包子·内力",nTime=10.1,key="做菜提示·鲜肉包子",},</t>
  </si>
  <si>
    <t>需要离灶台近一些。</t>
  </si>
  <si>
    <t>{nClass=14,nIcon=1259,nFrame=5,szName="雪雪学会后逢年过节会送",nTime=10,nRefresh=9,key="做菜提示",},</t>
  </si>
  <si>
    <t>{nClass=14,nIcon=100,nFrame=5,szName="稻 香 饼 ·恢复气血2点",nTime=10,nRefresh=9,key="做菜提示·稻香饼",},</t>
  </si>
  <si>
    <t>{nClass=14,nIcon=259,nFrame=5,szName="鲜肉包子·恢复内力2点",nTime=10,nRefresh=9,key="做菜提示·鲜肉包子",},</t>
  </si>
  <si>
    <t>{nClass=14,nIcon=545,nFrame=5,szName=" 混 　沌 ·恢复精力5点",nTime=10,nRefresh=9,key="做菜提示·混沌",},</t>
  </si>
  <si>
    <t>{nClass=14,nIcon=7635,nFrame=5,szName="肉馅团子·体质",nTime=10,nRefresh=9,key="做菜提示·肉馅团子",},</t>
  </si>
  <si>
    <t>{nClass=14,nIcon=7622,nFrame=5,szName="冬瓜烧肉·根骨",nTime=10,nRefresh=9,key="做菜提示·冬瓜烧肉",},</t>
  </si>
  <si>
    <t>{nClass=14,nIcon=7533,nFrame=5,szName="黄瓜烧肉·力道",nTime=10,nRefresh=9,key="做菜提示·黄瓜烧肉",},</t>
  </si>
  <si>
    <t>{nClass=14,nIcon=7659,nFrame=5,szName=" 肉 　粥 ·元气",nTime=10,nRefresh=9,key="做菜提示·肉粥",},</t>
  </si>
  <si>
    <t>{nClass=14,nIcon=7613,nFrame=5,szName="蘑菇炖肉·身法",nTime=10,nRefresh=9,key="做菜提示·蘑菇炖肉",},</t>
  </si>
  <si>
    <t>好感度等级已满。</t>
  </si>
  <si>
    <t>此任务完成后，雪雪的命途不可再改变。</t>
  </si>
  <si>
    <t>{nClass=14,nIcon=17135,nFrame=7,szName="任务完成则命途不可再改变",nTime=10.1,key="雪雪·命途1",},</t>
  </si>
  <si>
    <t>{nClass=14,nIcon=17135,nFrame=7,szName="可放弃任务继续游玩修改命途",nTime=10.1,key="雪雪·命途2",},</t>
  </si>
  <si>
    <t>那……山高路远，后会有期啦。</t>
  </si>
  <si>
    <t>{nClass=14,nIcon=17135,nFrame=7,szName="雪雪养成·结束",nTime=10.1,key="雪雪·命途1",},</t>
  </si>
  <si>
    <t>{nClass=14,nIcon=17135,nFrame=7,szName="在任意水中乘坐停云雪霁有概率相遇",nTime=10.1,key="雪雪·命途2",},</t>
  </si>
  <si>
    <t>货运雪橇</t>
  </si>
  <si>
    <t>汪！汪！汪！</t>
  </si>
  <si>
    <t>{nClass=14,nIcon=17135,nFrame=3,szName="雪国冬猎·木柴6分·需17个",nTime=20,key="公共事件1·提示1",},</t>
  </si>
  <si>
    <t>{nClass=14,nIcon=17135,nFrame=3,szName="雪国冬猎·雪原鹿10分",nTime=20,key="公共事件1·提示2",},</t>
  </si>
  <si>
    <t>{nClass=14,nIcon=17135,nFrame=3,szName="雪国冬猎·雪原兔6分",nTime=20,key="公共事件1·提示3",},</t>
  </si>
  <si>
    <t>{nClass=14,nIcon=17135,nFrame=3,szName="雪国冬猎·野人参20分",nTime=20,key="公共事件1·提示4",},</t>
  </si>
  <si>
    <t>{nClass=14,nIcon=17135,nFrame=6,szName="采集木柴·贺沛福上交更近",nTime=20,key="公共事件1·提示5",},</t>
  </si>
  <si>
    <t>贺沛福</t>
  </si>
  <si>
    <t>贺氏商会广收各类物资，还请各位侠士前来相助！</t>
  </si>
  <si>
    <t>{nClass=14,nIcon=17135,nFrame=3,szName="公共事件1·雪国冬猎·开启",nTime=10,key="公共事件1",},</t>
  </si>
  <si>
    <t>物资已收集了许多，感谢诸位侠士的鼎力相助！</t>
  </si>
  <si>
    <t>{nClass=14,nIcon=17135,nFrame=3,szName="公共事件1·雪国冬猎·结束",nTime=5,key="公共事件1",},</t>
  </si>
  <si>
    <t>{nClass=14,nIcon=293,nFrame=5,szName="可以直走·看小桥",nTime=20,nRefresh=15,key="雪雪·旅行介绍1",},</t>
  </si>
  <si>
    <t>{nClass=14,nIcon=293,nFrame=5,szName="可以去上方·看小亭子",nTime=20,nRefresh=15,key="雪雪·旅行介绍2",},</t>
  </si>
  <si>
    <t>你获得了事件【雾岛寻丹】的奖励。</t>
  </si>
  <si>
    <t>{nClass=14,nIcon=17135,nFrame=5,szName="雾岛寻丹",nTime=0,key="雾岛寻丹",},</t>
  </si>
  <si>
    <t>你记得易珍集那里有个伙房，不如去试试。</t>
  </si>
  <si>
    <t>{nClass=14,nIcon=17135,nFrame=7,szName="易珍集·蒋大厨·灶台",nTime=20,key="奇遇·滴水恩·提示1",},</t>
  </si>
  <si>
    <t>{nClass=14,nIcon=17135,nFrame=7,szName="不要点太快·避免错选5k金",nTime=20.1,key="奇遇·滴水恩·提示2",},</t>
  </si>
  <si>
    <t>{nClass=14,nIcon=17135,nFrame=7,szName="可直接交互·灶台",nTime=20.1,key="奇遇·滴水恩·提示3",},</t>
  </si>
  <si>
    <t>{nClass=14,nIcon=17135,nFrame=7,szName="烹饪专精|95级以上·六炉金龙丹",nTime=20.1,key="奇遇·滴水恩·提示4",},</t>
  </si>
  <si>
    <t>方问</t>
  </si>
  <si>
    <t>鲲鹏岛·的卢</t>
  </si>
  <si>
    <t>{nClass=14,nIcon=21034,nFrame=3,szName="鲲鹏岛·的卢·已出山",nTime=30,key="的卢",},</t>
  </si>
  <si>
    <t>{nClass=14,nIcon=1899,nFrame=6,szName="鲲鹏岛·良驹出山",nTime=20,key="良驹·出山",},</t>
  </si>
  <si>
    <t>队长开始了游戏，三十秒后游戏开始，请做好准备</t>
  </si>
  <si>
    <t>{nClass=14,nIcon=17135,nFrame=5,szName="游戏已开启·请准备",nTime=30,key="原野奇踪",},</t>
  </si>
  <si>
    <t>已完成本波守护，下一波将提前开始</t>
  </si>
  <si>
    <t>{nClass=14,nIcon=17135,nFrame=5,szName="提前开始",nTime=5,key="原野奇踪",},</t>
  </si>
  <si>
    <t>满员守护宝物，获得最高档奖励！</t>
  </si>
  <si>
    <t>{nClass=14,nIcon=17135,nFrame=2,szName="获得最高档奖励",nTime=10,key="原野奇踪",},</t>
  </si>
  <si>
    <t>{nClass=14,nIcon=17135,nFrame=2,szName="记得领取奖励！！",nTime=10.1,key="原野奇踪2",},</t>
  </si>
  <si>
    <t>{nClass=14,nIcon=17135,nFrame=2,szName="记得领取奖励！！",nTime=10.1,key="原野奇踪3",},</t>
  </si>
  <si>
    <t>不满员守护宝物，获得普通奖励！</t>
  </si>
  <si>
    <t>领取的奖励已经放入少侠背包，请注意查看！</t>
  </si>
  <si>
    <t>{nClass=14,nIcon=17135,nFrame=2,szName="奖励已经放入背包",nTime=2,key="原野奇踪2",},</t>
  </si>
  <si>
    <t>{nClass=14,nIcon=17135,nFrame=2,szName="奖励已经放入背包",nTime=2,key="原野奇踪3",},</t>
  </si>
  <si>
    <t>在呢。</t>
  </si>
  <si>
    <t>{nClass=14,nIcon=340,nFrame=5,szName="{$sender}",nTime=10,},</t>
  </si>
  <si>
    <t>神拳帮费大劲为尊客效劳。</t>
  </si>
  <si>
    <t>老书生</t>
  </si>
  <si>
    <t>咳咳……咳……你们！</t>
  </si>
  <si>
    <t>{nClass=14,nIcon=17135,nFrame=0,szName="奇遇提示0",nTime="5,恭喜触发·寓天涯·莓莓;15,奇遇不封印·约10分钟完成;30,1.对话·附近·老书生;90,2.前往·流木村·阿玉;150,3.前往·白水村·对话·老书生;210,4.礼礼附近黄圈·寻找海螺壳;240,5.返回白水村·交互莓莓;300,6.进入老书生家里等待剧情;330,7.杂货商卢芦取药返回老书生;360,8.附近靠近阿玉等待剧情;420,9.返回老书生家里等待剧情;440,完成奇遇·寓天涯·莓莓",nRefresh=0,key="奇遇提示0",},</t>
  </si>
  <si>
    <t>{nClass=14,nIcon=17135,nFrame=7,szName="对话·老书生·流木村·阿玉",nTime=600,key="奇遇提示1",},</t>
  </si>
  <si>
    <t>{nClass=14,nIcon=17135,nFrame=7,szName="前往·白水村·对话·老书生",nTime=600,key="奇遇提示2",},</t>
  </si>
  <si>
    <t>{nClass=14,nIcon=17135,nFrame=7,szName="寻找·海螺壳·礼礼附近黄圈",nTime=600,key="奇遇提示3",},</t>
  </si>
  <si>
    <t>{nClass=14,nIcon=17135,nFrame=7,szName="返回·白水村·交互·莓莓",nTime=600,key="奇遇提示4",},</t>
  </si>
  <si>
    <t>阿香</t>
  </si>
  <si>
    <t>王老先生，我方才在船上干活，没看好阿玉。没承想这孩子居然又闯下祸事，是我疏忽了，平日没将他教好。在这儿给您赔罪了。</t>
  </si>
  <si>
    <t>{nClass=14,nIcon=17135,nFrame=0,szName="奇遇提示0",nTime="60,6.进入老书生家里等待剧情;90,7.杂货商卢芦取药返回老书生;120,8.附近靠近阿玉等待剧情;180,9.返回老书生家里等待剧情;200,完成奇遇·寓天涯·莓莓",nRefresh=0,key="奇遇提示0",},</t>
  </si>
  <si>
    <t>{nClass=14,nIcon=17135,nFrame=7,szName="进入·老书生家里·等待剧情",nTime=600,key="奇遇提示1",},</t>
  </si>
  <si>
    <t>{nClass=14,nIcon=17135,nFrame=7,szName="附近·卢芦·取药·老书生",nTime=600,key="奇遇提示2",},</t>
  </si>
  <si>
    <t>{nClass=14,nIcon=17135,nFrame=7,szName="附近·阿玉·返回·老书生",nTime=600,key="奇遇提示3",},</t>
  </si>
  <si>
    <t>{nClass=14,nIcon=17135,nFrame=7,szName="等待·剧情·完成·寓天涯",nTime=600,key="奇遇提示4",},</t>
  </si>
  <si>
    <t>阿玉</t>
  </si>
  <si>
    <t>只会告状，有本事你便和我打一架！</t>
  </si>
  <si>
    <t>{nClass=14,nIcon=17135,nFrame=0,szName="奇遇提示0",nTime="30,7.杂货商卢芦取药返回老书生;90,8.附近靠近阿玉等待剧情;120,9.返回老书生家里等待剧情;140,完成奇遇·寓天涯·莓莓",nRefresh=0,key="奇遇提示0",},</t>
  </si>
  <si>
    <t>{nClass=14,nIcon=17135,nFrame=7,szName="附近·卢芦·取药·老书生",nTime=600,key="奇遇提示1",},</t>
  </si>
  <si>
    <t>{nClass=14,nIcon=17135,nFrame=7,szName="附近·阿玉·返回·老书生",nTime=600,key="奇遇提示2",},</t>
  </si>
  <si>
    <t>{nClass=14,nIcon=17135,nFrame=7,szName="等待·剧情·完成·寓天涯",nTime=600,key="奇遇提示3",},</t>
  </si>
  <si>
    <t>黄崎帮帮众</t>
  </si>
  <si>
    <t>消消气儿消消气儿，您可千万别发火，（扯上同伴）咱们这就走，这就走。</t>
  </si>
  <si>
    <t>{nClass=14,nIcon=17135,nFrame=0,szName="奇遇提示0",nTime="90,9.返回老书生家里等待剧情;110,完成奇遇·寓天涯·莓莓",nRefresh=0,key="奇遇提示0",},</t>
  </si>
  <si>
    <t>{nClass=14,nIcon=17135,nFrame=7,szName="返回·老书生·等待·剧情",nTime=120,key="奇遇提示1",},</t>
  </si>
  <si>
    <t>有意气才可行江湖，待变成我这般枯槁老头子便来不及了……我时日不多，莓莓便托付给你照顾了。你云游四方，便带着它一同见识天涯海角盛景吧，它见了，便等同于我也见了……</t>
  </si>
  <si>
    <t>{nClass=14,nIcon=17135,nFrame=7,szName="完成奇遇·寓天涯·莓莓",nTime=20,key="奇遇提示1",},</t>
  </si>
  <si>
    <t>你突然感觉后颈一痛</t>
  </si>
  <si>
    <t>{nClass=14,nIcon=17135,nFrame=0,szName="奇遇提示0",nTime="5,恭喜触发·乱红鸾;15,奇遇不封印·全程5-10分钟;60,1.等待2次QTE",nRefresh=0,key="奇遇提示0",},</t>
  </si>
  <si>
    <t>{nClass=14,nIcon=17135,nFrame=7,szName="1.两次QTE",nTime=60,key="奇遇提示1",},</t>
  </si>
  <si>
    <t>{nClass=14,nIcon=17135,nFrame=7,szName="2.传送·婚宴·QTE",nTime=60,key="奇遇提示2",},</t>
  </si>
  <si>
    <t>{nClass=14,nIcon=17135,nFrame=7,szName="3.交互·小牛·前往·摸宠点附近",nTime=60,key="奇遇提示3",},</t>
  </si>
  <si>
    <t>{nClass=14,nIcon=17135,nFrame=7,szName="4.摸宠点后方·盆盆船附近·光圈",nTime=60,key="奇遇提示4",},</t>
  </si>
  <si>
    <t>不如先运气吐纳，试试能否冲破经络限制。</t>
  </si>
  <si>
    <t>恭喜侠士，成功冲破经络限制！</t>
  </si>
  <si>
    <t>{nClass=14,nIcon=17135,nFrame=7,szName="等待下一次QTE",nTime=10,key="奇遇提示1",},</t>
  </si>
  <si>
    <t>恭喜侠士，成功冲破内府限制！</t>
  </si>
  <si>
    <t>{nClass=14,nIcon=17135,nFrame=7,szName="等待·剧情·约3分钟",nTime=10,key="奇遇提示1",},</t>
  </si>
  <si>
    <t>你冲破了无名毒药的束缚！趁此机会快去右边带着小牛前往白水村乘盆盆船逃跑吧！</t>
  </si>
  <si>
    <t>{nClass=14,nIcon=17135,nFrame=0,szName="奇遇提示0",nTime="15,互动·小牛;30,等待进度·归去来;60,前往摸宠点附近·盆盆船;90,盆盆船附近·交互·光圈;120,等待剧情·结束",nRefresh=0,key="奇遇提示0",},</t>
  </si>
  <si>
    <t>{nClass=14,nIcon=17135,nFrame=7,szName="互动·小牛",nTime=60,key="奇遇提示1",},</t>
  </si>
  <si>
    <t>{nClass=14,nIcon=17135,nFrame=7,szName="等待进度·归去来·前往摸宠点",nTime=60,key="奇遇提示2",},</t>
  </si>
  <si>
    <t>孙千琳</t>
  </si>
  <si>
    <t>嘁，燕燕，走了。</t>
  </si>
  <si>
    <t>{nClass=14,nIcon=17135,nFrame=7,szName="宠物奇遇·乱红鸾·结束",nTime=10,key="奇遇提示1",},</t>
  </si>
  <si>
    <t>逗逗</t>
  </si>
  <si>
    <t>我回忆了一下，似乎……确实有可怕的声音，会不会是闹鬼呀！我们一起去找晚霖姐姐吧。</t>
  </si>
  <si>
    <t>{nClass=14,nIcon=17135,nFrame=0,szName="奇遇提示0",nTime="5,恭喜触发夜哀鸣;15,奇遇不封印·约15分钟完成;30,1.西南方·寻找·晚霖;60,2.树下光圈蹲点·交互·猴子;120,3.对话·晚霖·找段方北;150,4.采摘·止血草并使用;180,5.武狱黑牢山顶·寻找·和光;240,6.武狱黑牢东北·采摘·甜果;300,7.返回山顶·领狐猴·使用甜果;360,8.对话·和光·交互·领狐猴;390,9.对话·和光;400,夜哀鸣·结束",nRefresh=0,key="奇遇提示0",},</t>
  </si>
  <si>
    <t>{nClass=14,nIcon=17135,nFrame=7,szName="1.西南方·寻找·晚霖",nTime=60,key="奇遇提示1",},</t>
  </si>
  <si>
    <t>{nClass=14,nIcon=17135,nFrame=7,szName="2.树下光圈蹲点·交互·猴子",nTime=60,key="奇遇提示2",},</t>
  </si>
  <si>
    <t>你捉住了这只小家伙，带给晚霖看看吧</t>
  </si>
  <si>
    <t>{nClass=14,nIcon=17135,nFrame=7,szName="3.对话·晚霖·找段方北",nTime=60,key="奇遇提示1",},</t>
  </si>
  <si>
    <t>{nClass=14,nIcon=17135,nFrame=7,szName="4.找止血草并使用·再找和光",nTime=60,key="奇遇提示2",},</t>
  </si>
  <si>
    <t>段方北建议你带着猴儿去找和光。</t>
  </si>
  <si>
    <t>{nClass=14,nIcon=17135,nFrame=7,szName="5.武狱黑牢山顶·寻找·和光",nTime=60,key="奇遇提示1",},</t>
  </si>
  <si>
    <t>{nClass=14,nIcon=17135,nFrame=7,szName="6.武狱黑牢东北·采摘·甜果",nTime=60,key="奇遇提示2",},</t>
  </si>
  <si>
    <t>和光</t>
  </si>
  <si>
    <t>但修习如何医治动物，又何须血脉？</t>
  </si>
  <si>
    <t>{nClass=14,nIcon=17135,nFrame=7,szName="6.武狱黑牢东北·采摘·甜果",nTime=60,key="奇遇提示1",},</t>
  </si>
  <si>
    <t>{nClass=14,nIcon=17135,nFrame=7,szName="7.返回山顶·领狐猴·使用甜果",nTime=60,key="奇遇提示2",},</t>
  </si>
  <si>
    <t>小猴果然被甜果吸引</t>
  </si>
  <si>
    <t>{nClass=14,nIcon=17135,nFrame=7,szName="8.对话·和光·交互·领狐猴",nTime=60,key="奇遇提示1",},</t>
  </si>
  <si>
    <t>{nClass=14,nIcon=17135,nFrame=7,szName="9.对话·和光·结束",nTime=60,key="奇遇提示2",},</t>
  </si>
  <si>
    <t>纪小橙</t>
  </si>
  <si>
    <t>此后我也到了差不多能收个徒弟的年纪，虽然没有名气响亮的门派，我自己也没有厉害的称号，但我运气可好了，收到了一大堆不嫌弃我的徒弟。</t>
  </si>
  <si>
    <t>{nClass=14,nIcon=17135,nFrame=0,szName="奇遇提示0",nTime="5,恭喜触发·侠者成歌;15,奇遇不封印·约10分钟完成;30,1.对话封演·前往晟江茶馆;120,2.对话纪小橙·前往兴威寨;150,3.靠近司空淮·攻击喽啰;160,4.对话司空淮·前往白菰里;210,5.名望区域信使旁·寻找苏舒;240,6.进入光圈·对话苏舒;420,7.对话苏舒·等待剧情;450,8.返回黄槲镇·对话封演;470,完成奇遇·侠者成歌",nRefresh=0,key="奇遇提示0",},</t>
  </si>
  <si>
    <t>{nClass=14,nIcon=17135,nFrame=7,szName="对话·纪小橙·前往·兴威寨",nTime=600,key="奇遇提示1",},</t>
  </si>
  <si>
    <t>{nClass=14,nIcon=17135,nFrame=7,szName="靠近·司空淮·攻击·喽啰",nTime=600,key="奇遇提示2",},</t>
  </si>
  <si>
    <t>{nClass=14,nIcon=17135,nFrame=7,szName="对话·司空淮·前往·白菰里",nTime=600,key="奇遇提示3",},</t>
  </si>
  <si>
    <t>喽啰</t>
  </si>
  <si>
    <t>打不过！快跑！</t>
  </si>
  <si>
    <t>{nClass=14,nIcon=17135,nFrame=0,szName="奇遇提示0",nTime="10,4.对话司空淮·前往白菰里;60,5.名望区域信使旁·寻找苏舒;90,6.进入光圈·对话苏舒;270,7.对话苏舒·等待剧情;300,8.返回黄槲镇·对话封演;320,完成奇遇·侠者成歌",nRefresh=0,key="奇遇提示0",},</t>
  </si>
  <si>
    <t>{nClass=14,nIcon=17135,nFrame=7,szName="对话·司空淮·前往·白菰里",nTime=600,key="奇遇提示1",},</t>
  </si>
  <si>
    <t>{nClass=14,nIcon=17135,nFrame=7,szName="寻找·苏舒·名望区域信使旁",nTime=600,key="奇遇提示2",},</t>
  </si>
  <si>
    <t>{nClass=14,nIcon=17135,nFrame=7,szName="进入·光圈·对话·苏舒",nTime=600,key="奇遇提示3",},</t>
  </si>
  <si>
    <t>苏舒</t>
  </si>
  <si>
    <t>哎……别提了……</t>
  </si>
  <si>
    <t>{nClass=14,nIcon=17135,nFrame=0,szName="奇遇提示0",nTime="30,6.进入光圈·对话苏舒;210,7.对话苏舒·等待剧情;240,8.返回黄槲镇·对话封演;260,完成奇遇·侠者成歌",nRefresh=0,key="奇遇提示0",},</t>
  </si>
  <si>
    <t>{nClass=14,nIcon=17135,nFrame=7,szName="对话·苏舒·等待剧情",nTime=600,key="奇遇提示1",},</t>
  </si>
  <si>
    <t>{nClass=14,nIcon=17135,nFrame=7,szName="返回·黄槲镇·封演",nTime=600,key="奇遇提示2",},</t>
  </si>
  <si>
    <t>{nClass=14,nIcon=17135,nFrame=7,szName="完成·奇遇·侠者成歌",nTime=600,key="奇遇提示3",},</t>
  </si>
  <si>
    <t>将收集到的三个故事交给封演。</t>
  </si>
  <si>
    <t>{nClass=14,nIcon=17135,nFrame=0,szName="奇遇提示0",nTime="30,8.返回黄槲镇·对话封演;50,完成奇遇·侠者成歌",nRefresh=0,key="奇遇提示0",},</t>
  </si>
  <si>
    <t>{nClass=14,nIcon=17135,nFrame=7,szName="返回·黄槲镇·封演",nTime=60,key="奇遇提示1",},</t>
  </si>
  <si>
    <t>{nClass=14,nIcon=17135,nFrame=7,szName="完成·奇遇·侠者成歌",nTime=60,key="奇遇提示2",},</t>
  </si>
  <si>
    <t>槲生</t>
  </si>
  <si>
    <t>大侠，岁岁不见了！</t>
  </si>
  <si>
    <t>{nClass=14,nIcon=17135,nFrame=0,szName="奇遇提示0",nTime="5,恭喜触发·故岁辞·岁岁;15,奇遇不封印·约10分钟完成;30,1.对话槲生·寻找散落的羽毛;60,2.羽毛在东南方屋子下;90,3.返回对话槲生;180,4.对话赵永·潘春·何实;210,5.对话槲生·前往光圈;240,6.光圈在散落的羽毛附近;300,7.对话龙俊华·等待剧情;330,8.对话龙俊华·前往车夫北面溪水;360,9.交互光圈·交互鸟笼;390,10.对话龙俊华·对话槲生;410,完成奇遇·故岁辞·岁岁",nRefresh=0,key="奇遇提示0",},</t>
  </si>
  <si>
    <t>{nClass=14,nIcon=17135,nFrame=7,szName="对话·槲生·寻找·散落的羽毛",nTime=600,key="奇遇提示1",},</t>
  </si>
  <si>
    <t>{nClass=14,nIcon=17135,nFrame=7,szName="对话·槲生·对话·赵永",nTime=600,key="奇遇提示2",},</t>
  </si>
  <si>
    <t>{nClass=14,nIcon=17135,nFrame=7,szName="对话·潘春·对话·何实",nTime=600,key="奇遇提示3",},</t>
  </si>
  <si>
    <t>去问问镇长吧。</t>
  </si>
  <si>
    <t>{nClass=14,nIcon=17135,nFrame=0,szName="奇遇提示0",nTime="30,4.对话·何实;60,5.对话槲生·前往光圈;120,6.光圈在散落的羽毛附近;150,7.对话龙俊华·等待剧情;210,8.对话龙俊华·前往车夫北面溪水;240,9.交互光圈·交互鸟笼;270,10.对话龙俊华·对话槲生;290,完成奇遇·故岁辞·岁岁",nRefresh=0,key="奇遇提示0",},</t>
  </si>
  <si>
    <t>{nClass=14,nIcon=17135,nFrame=7,szName="对话·何实·对话·槲生",nTime=600,key="奇遇提示1",},</t>
  </si>
  <si>
    <t>{nClass=14,nIcon=17135,nFrame=7,szName="交互·光圈·等待·剧情",nTime=600,key="奇遇提示2",},</t>
  </si>
  <si>
    <t>{nClass=14,nIcon=17135,nFrame=7,szName="光圈·散落的羽毛·附近",nTime=600,key="奇遇提示3",},</t>
  </si>
  <si>
    <t>龙俊华</t>
  </si>
  <si>
    <t>何人在此鬼鬼祟祟！</t>
  </si>
  <si>
    <t>{nClass=14,nIcon=17135,nFrame=0,szName="奇遇提示0",nTime="30,7.对话龙俊华·等待剧情;90,8.对话龙俊华·前往车夫北面溪水;120,9.交互光圈·交互鸟笼;150,10.对话龙俊华·对话槲生;170,完成奇遇·故岁辞·岁岁",nRefresh=0,key="奇遇提示0",},</t>
  </si>
  <si>
    <t>{nClass=14,nIcon=17135,nFrame=7,szName="对话·龙俊华·等待·剧情",nTime=600,key="奇遇提示1",},</t>
  </si>
  <si>
    <t>{nClass=14,nIcon=17135,nFrame=7,szName="出门·龙俊华·交互·光圈",nTime=600,key="奇遇提示2",},</t>
  </si>
  <si>
    <t>{nClass=14,nIcon=17135,nFrame=7,szName="光圈·车夫北面溪水·附近",nTime=600,key="奇遇提示3",},</t>
  </si>
  <si>
    <t>爹娘也不会乐意我执着于仇恨的，那太傻了，人还是活的洒脱点好。</t>
  </si>
  <si>
    <t>{nClass=14,nIcon=17135,nFrame=0,szName="奇遇提示0",nTime="30,8.对话龙俊华·前往车夫北面溪水;90,9.交互光圈·交互鸟笼;120,10.对话龙俊华·对话槲生;140,完成奇遇·故岁辞·岁岁",nRefresh=0,key="奇遇提示0",},</t>
  </si>
  <si>
    <t>{nClass=14,nIcon=17135,nFrame=7,szName="光圈·车夫北面溪水·附近",nTime=600,key="奇遇提示1",},</t>
  </si>
  <si>
    <t>{nClass=14,nIcon=17135,nFrame=7,szName="交互·鸟笼·对话·龙俊华",nTime=600,key="奇遇提示2",},</t>
  </si>
  <si>
    <t>{nClass=14,nIcon=17135,nFrame=7,szName="对话·槲生·完成·故岁辞",nTime=600,key="奇遇提示3",},</t>
  </si>
  <si>
    <t>这么多东西居然只有这几个人护送，也真够心大的。我不擅长匿形，把他们都打一顿算了，我来牵制看守，你去释放鸟兽？</t>
  </si>
  <si>
    <t>{nClass=14,nIcon=17135,nFrame=7,szName="交互·鸟笼·对话·龙俊华",nTime=60,key="奇遇提示1",},</t>
  </si>
  <si>
    <t>{nClass=14,nIcon=17135,nFrame=7,szName="对话·槲生·完成·故岁辞",nTime=60,key="奇遇提示2",},</t>
  </si>
  <si>
    <t>司仪</t>
  </si>
  <si>
    <t>没想到侠士武功如此高妙！竟然破解了“刃鬼”的招数，恭喜侠士斩获首胜！</t>
  </si>
  <si>
    <t>{nClass=14,nIcon=904,nFrame=-1,szName="KEY·左旋右转",nTime=0.01,nRefresh=60,key="KEY·左旋右转",},</t>
  </si>
  <si>
    <t>{nClass=14,nIcon=15692,nFrame=-1,szName="KEY·飘黄",nTime=0.01,nRefresh=80,key="KEY·飘黄",},</t>
  </si>
  <si>
    <t>吕一平</t>
  </si>
  <si>
    <t>吃我一锤!</t>
  </si>
  <si>
    <t>时风</t>
  </si>
  <si>
    <t>呃......</t>
  </si>
  <si>
    <t>你们进门后左转，主事吩咐我带你们前往竞技场。</t>
  </si>
  <si>
    <t>{nClass=14,nIcon=13,nFrame=5,szName="剧情·时风",nTime=16,key="剧情",},</t>
  </si>
  <si>
    <t>若雪</t>
  </si>
  <si>
    <t>主人！侠士！你们没事就好！我们这就离开沃石院吧。</t>
  </si>
  <si>
    <t>这沃石院地势复杂，我们又是偷偷潜入，据我所知，前面左侧有栅栏，需从右侧的通风管道之上行走，穿过斗技场，再进入另一侧的通风口，方能继续探寻沃石院。侠士一路小心，我会一直在此处接应！</t>
  </si>
  <si>
    <t>{nClass=14,nIcon=13,nFrame=5,szName="若雪·传送·风道出口",nTime=10,key="剧情·提示0",},</t>
  </si>
  <si>
    <t>关八天</t>
  </si>
  <si>
    <t>我还没有当上守卫长，怎么会……</t>
  </si>
  <si>
    <t>苍森</t>
  </si>
  <si>
    <t>啐，打不过了。大小姐说过，打不过就跑！</t>
  </si>
  <si>
    <t>方子游</t>
  </si>
  <si>
    <t>何罗兽退了，咳……</t>
  </si>
  <si>
    <t>发现取水点，快去收集起来吧！</t>
  </si>
  <si>
    <t>{nClass=14,nIcon=17135,nFrame=6,szName="小橙武·取水点·桥边瀑布",nTime=30,nRefresh=10,key="小橙武·升级",},</t>
  </si>
  <si>
    <t>吴添明</t>
  </si>
  <si>
    <t>我这一生，终究是与顶峰无缘……</t>
  </si>
  <si>
    <t>甘青阳</t>
  </si>
  <si>
    <t>舟大叔……舟大叔被他们带进那个指月楼了，我们得快去救他！</t>
  </si>
  <si>
    <t>藤原广嗣</t>
  </si>
  <si>
    <t>村正先生，快出手吧</t>
  </si>
  <si>
    <t>{nClass=14,nIcon=13,nFrame=5,szName="剧情倒计时",nTime=57.5,},</t>
  </si>
  <si>
    <t>{nClass=14,nIcon=17135,nFrame=6,szName="小橙武·取水点·雕像水池",nTime=30,nRefresh=10,key="小橙武·升级",},</t>
  </si>
  <si>
    <t>笑妆娘</t>
  </si>
  <si>
    <t>好疼……阿娘、阿姊……乐娘打不过他们……</t>
  </si>
  <si>
    <t>白兆霆</t>
  </si>
  <si>
    <t>十年一梦……我、不甘……</t>
  </si>
  <si>
    <t>邙赫达</t>
  </si>
  <si>
    <t>就陪你们玩到这里吧！</t>
  </si>
  <si>
    <t>纪平</t>
  </si>
  <si>
    <t>老伙计们！这一车可得小心点，这路上可有不少浩气盟的探子，有劲的一会使出来！</t>
  </si>
  <si>
    <t>恶人·出车</t>
  </si>
  <si>
    <t>{nClass=14,nIcon=15380,nFrame=3,szName="恶人·押送物资",nTime=347,key="押送物资",},</t>
  </si>
  <si>
    <t>周也</t>
  </si>
  <si>
    <t>诸位兄弟们，瓷器可换银钱，壮大我方势力，请与我一道运送回浩气盟！</t>
  </si>
  <si>
    <t>浩气·出车</t>
  </si>
  <si>
    <t>{nClass=14,nIcon=15384,nFrame=7,szName="浩气·押送物资",nTime=347,key="押送物资",},</t>
  </si>
  <si>
    <t>恶人谷的老伙计们！一路上可算没有出啥岔子。这是洒家给伙计们的报酬，且拿好。</t>
  </si>
  <si>
    <t>恶人·跟车奖励</t>
  </si>
  <si>
    <t>{nClass=14,nIcon=2398,nFrame=3,szName="恶人·跟车奖励",nTime=90,nRefresh=5,key="恶人事件",},</t>
  </si>
  <si>
    <t>{nClass=14,nIcon=15380,nFrame=3,szName="烂柯争锋拒鬼楼·押送物资",nTime=0,key="押送物资",},</t>
  </si>
  <si>
    <t>浩气盟的众兄弟们，辛苦了！这是盟里给众兄弟们的奖赏，请各位收下。</t>
  </si>
  <si>
    <t>浩气·跟车奖励</t>
  </si>
  <si>
    <t>{nClass=14,nIcon=2397,nFrame=7,szName="浩气·跟车奖励",nTime=90,nRefresh=5,key="浩气事件",},</t>
  </si>
  <si>
    <t>{nClass=14,nIcon=15384,nFrame=5,szName="烂柯争锋拒鬼楼·押送物资",nTime=0,key="押送物资",},</t>
  </si>
  <si>
    <t>【恶人·运送物资】事件已经结束，由于你没有贡献，没有获得奖励。</t>
  </si>
  <si>
    <t>{nClass=14,nIcon=2397,nFrame=7,szName="浩气·劫车奖励",nTime=58,key="恶人事件",},</t>
  </si>
  <si>
    <t>{nClass=14,nIcon=15380,nFrame=5,szName="烂柯争锋拒鬼楼·押送物资",nTime=0,key="押送物资",},</t>
  </si>
  <si>
    <t>【浩气·运送物资】事件已经结束，由于你没有贡献，没有获得奖励。</t>
  </si>
  <si>
    <t>{nClass=14,nIcon=2398,nFrame=3,szName="恶人·劫车奖励",nTime=58,key="浩气事件",},</t>
  </si>
  <si>
    <t>谢烟客</t>
  </si>
  <si>
    <t>我浩气儿郎，必会拿回此关！</t>
  </si>
  <si>
    <t>{nClass=14,nIcon=10450,nFrame=3,szName="恶人·拾取·隐樵关·宝堆",nTime=180,key="关隘宝箱",},</t>
  </si>
  <si>
    <t>{nClass=14,nIcon=1465,nFrame=-1,szName="　",nTime=0.001,nRefresh=1,key="关隘·拾取·恶人谷",},</t>
  </si>
  <si>
    <t>{nClass=14,nIcon=1465,nFrame=-1,szName="关隘·拾取·恶人谷",nTime=-1,key="关隘·拾取·恶人谷",},</t>
  </si>
  <si>
    <t>司空仲平</t>
  </si>
  <si>
    <t>来日落雁城再会会你！</t>
  </si>
  <si>
    <t>{nClass=14,nIcon=10450,nFrame=3,szName="恶人·拾取·天生关·宝堆",nTime=180,key="关隘宝箱",},</t>
  </si>
  <si>
    <t>穆玄英</t>
  </si>
  <si>
    <t>阁下好武艺。</t>
  </si>
  <si>
    <t>{nClass=14,nIcon=10450,nFrame=3,szName="恶人·拾取·赤岩关·宝堆",nTime=180,key="关隘宝箱",},</t>
  </si>
  <si>
    <t>待我唤我平安客栈众兄弟们前来支援，哼，暂且后退！</t>
  </si>
  <si>
    <t>{nClass=14,nIcon=10449,nFrame=7,szName="浩气·拾取·隐樵关·宝堆",nTime=180,key="关隘宝箱",},</t>
  </si>
  <si>
    <t>{nClass=14,nIcon=1465,nFrame=-1,szName="　",nTime=0.001,nRefresh=1,key="关隘·拾取·浩气盟",},</t>
  </si>
  <si>
    <t>{nClass=14,nIcon=1465,nFrame=-1,szName="关隘·拾取·浩气盟",nTime=-1,key="关隘·拾取·浩气盟",},</t>
  </si>
  <si>
    <t>陶寒亭</t>
  </si>
  <si>
    <t>终究是我小觑了天下英豪。</t>
  </si>
  <si>
    <t>{nClass=14,nIcon=10449,nFrame=7,szName="浩气·拾取·天生关·宝堆",nTime=180,key="关隘宝箱",},</t>
  </si>
  <si>
    <t>白某</t>
  </si>
  <si>
    <t>待我谷中兄弟前来支援。</t>
  </si>
  <si>
    <t>{nClass=14,nIcon=10449,nFrame=7,szName="浩气·拾取·赤岩关·宝堆",nTime=180,key="关隘宝箱",},</t>
  </si>
  <si>
    <t>侠士所在阵营无法拾取此物。</t>
  </si>
  <si>
    <t>{nClass=14,nIcon=15380,nFrame=3,szName="烂柯争锋拒鬼楼·浩气事件",nTime=0,key="浩气事件",},</t>
  </si>
  <si>
    <t>{nClass=14,nIcon=15384,nFrame=7,szName="烂柯争锋拒鬼楼·恶人事件",nTime=0,key="恶人事件",},</t>
  </si>
  <si>
    <t>骨面天君</t>
  </si>
  <si>
    <t>嘁，算你命大。</t>
  </si>
  <si>
    <t>曹毅</t>
  </si>
  <si>
    <t>休走！时间差不多了，去击鼓传讯，围剿入侵者！</t>
  </si>
  <si>
    <t>凌玄</t>
  </si>
  <si>
    <t>成了！趁现在立刻离开，往前走，别回头！</t>
  </si>
  <si>
    <t>不知道为什么，到了这里总想拜一拜。</t>
  </si>
  <si>
    <t>{nClass=14,nIcon=17135,nFrame=5,szName="云从券·陆·大树下上香3次",nTime=10,key="云从券",},</t>
  </si>
  <si>
    <t>宋子尧</t>
  </si>
  <si>
    <t>我给你说！你猜我在客栈看到谁了？金虚子卓凤鸣！不过他身边跟着好多弟子，只能远远看一眼。有生之年居然能亲见武林高人风姿，真是不愧此行啊！</t>
  </si>
  <si>
    <t>{nClass=20,nIcon=17135,nFrame=0,bHold=true,szName="恭喜触发奇遇·白日梦",nTime="5,恭喜触发·破巧言·蛋黄;15,奇遇不封印·约20分钟完成;30,1.对话·宋子尧·等待剧情;120,2.对话·宋子尧身后·赵诚;150,3.对话·客栈角落·大汉;180,4.返回·对话·宋子尧;300,5.前往·客栈外山崖·宋子尧;360,6.往孙易云方向走·等待剧情;420,7.前往对面山崖·对话·胡商;480,8.跟随·胡商·别跳崖;540,9.拾取·包裹·返回·客栈内;600,10.对话·宋子尧·对话·赵诚;660,11.前往·长生雪野·长生右边;720,12.两个帐篷前光圈·捕获小鸟边;780,13.使用·精致的盒子·跟随小鸟;840,13.前往·山洞·直行;900,14.对话·宋子尧·王必言;930,15.返回·客栈·闻千瞬;960,16.对话·闻千瞬·结束",nRefresh=0,key="奇遇监控0",},</t>
  </si>
  <si>
    <t>{nClass=20,nIcon=17135,nFrame=7,bHold=true,szName="对话·宋子尧·等待剧情",nTime=600,key="奇遇提示1",},</t>
  </si>
  <si>
    <t>{nClass=20,nIcon=17135,nFrame=7,bHold=true,szName="对话·宋子尧身后·赵诚",nTime=600,key="奇遇提示2",},</t>
  </si>
  <si>
    <t>{nClass=20,nIcon=17135,nFrame=7,bHold=true,szName="对话·客栈角落·大汉",nTime=600,key="奇遇提示3",},</t>
  </si>
  <si>
    <t>算了算了，还是去问问那位公子哥吧！</t>
  </si>
  <si>
    <t>{nClass=20,nIcon=17135,nFrame=7,bHold=true,szName="对话·宋子尧身后·赵诚",nTime=600,key="奇遇提示1",},</t>
  </si>
  <si>
    <t>{nClass=20,nIcon=17135,nFrame=7,bHold=true,szName="对话·客栈角落·大汉",nTime=600,key="奇遇提示2",},</t>
  </si>
  <si>
    <t>{nClass=20,nIcon=17135,nFrame=7,bHold=true,szName="返回·对话·宋子尧",nTime=600,key="奇遇提示3",},</t>
  </si>
  <si>
    <t>这王二很可疑！回去找宋子尧再商讨商讨。</t>
  </si>
  <si>
    <t>{nClass=20,nIcon=17135,nFrame=0,bHold=true,szName="奇遇监控0",nTime="30,4.返回·对话·宋子尧;150,5.前往·客栈外山崖·宋子尧;240,6.往孙易云方向走·等待剧情;300,7.前往对面山崖·对话·胡商;480,8.跟随·胡商·别跳崖;540,9.拾取·包裹·返回·客栈内;600,10.对话·宋子尧·对话·赵诚;660,11.前往·长生雪野·长生右边;720,12.两个帐篷前光圈·捕获小鸟边;780,13.使用·精致的盒子·跟随小鸟;840,13.前往·山洞·直行;900,14.对话·宋子尧·王必言;930,15.返回·客栈·闻千瞬;960,16.对话·闻千瞬·结束",nRefresh=0,key="奇遇监控0",},</t>
  </si>
  <si>
    <t>{nClass=20,nIcon=17135,nFrame=7,bHold=true,szName="返回·对话·宋子尧",nTime=600,key="奇遇提示1",},</t>
  </si>
  <si>
    <t>{nClass=20,nIcon=17135,nFrame=7,bHold=true,szName="前往·客栈外山崖·宋子尧",nTime=600,key="奇遇提示2",},</t>
  </si>
  <si>
    <t>{nClass=20,nIcon=17135,nFrame=7,bHold=true,szName="往孙易云方向走·等待剧情",nTime=600,key="奇遇提示3",},</t>
  </si>
  <si>
    <t>孙易云</t>
  </si>
  <si>
    <t>你是谁？</t>
  </si>
  <si>
    <t>{nClass=20,nIcon=17135,nFrame=7,bHold=true,szName="等待剧情·前往对面山崖",nTime=600,key="奇遇提示1",},</t>
  </si>
  <si>
    <t>{nClass=20,nIcon=17135,nFrame=7,bHold=true,szName="大石头后·等假药商人·胡商",nTime=600,key="奇遇提示2",},</t>
  </si>
  <si>
    <t>{nClass=20,nIcon=17135,nFrame=7,bHold=true,szName="对话·假药商人·胡商",nTime=600,key="奇遇提示3",},</t>
  </si>
  <si>
    <t>驼背……胡商……！莫非正是那王二！不若前去看看。</t>
  </si>
  <si>
    <t>{nClass=20,nIcon=17135,nFrame=7,bHold=true,szName="前往对面山崖·大石头后",nTime=600,key="奇遇提示1",},</t>
  </si>
  <si>
    <t>{nClass=20,nIcon=17135,nFrame=7,bHold=true,szName="等假药商人·胡商",nTime=600,key="奇遇提示2",},</t>
  </si>
  <si>
    <t>暗号没对上，胡商跑了，快去追他！</t>
  </si>
  <si>
    <t>{nClass=20,nIcon=17135,nFrame=7,bHold=true,szName="跟随·胡商·别跳崖",nTime=600,key="奇遇提示1",},</t>
  </si>
  <si>
    <t>{nClass=20,nIcon=17135,nFrame=7,bHold=true,szName="拾取·包裹·返回·客栈内",nTime=600,key="奇遇提示2",},</t>
  </si>
  <si>
    <t>{nClass=20,nIcon=17135,nFrame=7,bHold=true,szName="对话·宋子尧·对话·赵诚",nTime=600,key="奇遇提示3",},</t>
  </si>
  <si>
    <t>悬崖边上似乎有个精致的盒子，是胡商不小心落下的……</t>
  </si>
  <si>
    <t>{nClass=20,nIcon=17135,nFrame=0,bHold=true,szName="奇遇监控0",nTime="30,9.拾取·包裹·返回·客栈内;60,10.对话·宋子尧·对话·赵诚;120,11.前往·长生雪野·长生右边;240,12.两个帐篷前光圈·捕获小鸟边;360,13.使用·精致的盒子·跟随小鸟;420,13.前往·山洞·直行;480,14.对话·宋子尧·王必言;540,15.返回·客栈·闻千瞬;600,16.对话·闻千瞬·结束",nRefresh=0,key="奇遇监控0",},</t>
  </si>
  <si>
    <t>{nClass=20,nIcon=17135,nFrame=7,bHold=true,szName="拾取·包裹·返回·客栈内",nTime=600,key="奇遇提示1",},</t>
  </si>
  <si>
    <t>{nClass=20,nIcon=17135,nFrame=7,bHold=true,szName="对话·宋子尧·对话·赵诚",nTime=600,key="奇遇提示2",},</t>
  </si>
  <si>
    <t>{nClass=20,nIcon=17135,nFrame=7,bHold=true,szName="对话·宋子尧·前往长生雪野",nTime=600,key="奇遇提示3",},</t>
  </si>
  <si>
    <t>我打听得知那鸟经常出现在长生雪野附近，你先过去，我随后就来。</t>
  </si>
  <si>
    <t>{nClass=20,nIcon=17135,nFrame=7,bHold=true,szName="前往·长生雪野·长生右边",nTime=600,key="奇遇提示1",},</t>
  </si>
  <si>
    <t>{nClass=20,nIcon=17135,nFrame=7,bHold=true,szName="两个帐篷前·光圈·捕获小鸟",nTime=600,key="奇遇提示2",},</t>
  </si>
  <si>
    <t>{nClass=20,nIcon=17135,nFrame=7,bHold=true,szName="使用·精致的盒子·跟随小鸟",nTime=600,key="奇遇提示3",},</t>
  </si>
  <si>
    <t>小胖鸟好像要离开！和宋子尧一起跟随鸟儿</t>
  </si>
  <si>
    <t>{nClass=20,nIcon=17135,nFrame=0,bHold=true,szName="奇遇提示0",nTime="120,13.使用·精致的盒子·跟随小鸟;180,13.前往·山洞·直行;210,14.对话·宋子尧·王必言;240,15.返回·客栈·闻千瞬;300,16.对话·闻千瞬·结束",nRefresh=0,key="奇遇提示0",},</t>
  </si>
  <si>
    <t>{nClass=20,nIcon=17135,nFrame=7,bHold=true,szName="与小鸟·保持4-15尺",nTime=600,key="奇遇提示1",},</t>
  </si>
  <si>
    <t>{nClass=20,nIcon=17135,nFrame=7,bHold=true,szName="山洞在·生字左侧",nTime=600,key="奇遇提示2",},</t>
  </si>
  <si>
    <t>{nClass=20,nIcon=17135,nFrame=7,bHold=true,szName="前往·山洞·直行",nTime=600,key="奇遇提示3",},</t>
  </si>
  <si>
    <t>小胖鸟和宋子尧往那边山洞去了，不若前去看看。</t>
  </si>
  <si>
    <t>{nClass=20,nIcon=17135,nFrame=7,bHold=true,szName="山洞在·生字左侧",nTime=600,key="奇遇提示1",},</t>
  </si>
  <si>
    <t>{nClass=20,nIcon=17135,nFrame=7,bHold=true,szName="前往·山洞·直行",nTime=600,key="奇遇提示2",},</t>
  </si>
  <si>
    <t>{nClass=20,nIcon=17135,nFrame=7,bHold=true,szName="对话·宋子尧·王必言",nTime=600,key="奇遇提示3",},</t>
  </si>
  <si>
    <t>{nClass=14,nIcon=17135,nFrame=6,szName="小橙武·取水点·南方溪边",nTime=30,nRefresh=10,key="小橙武·升级",},</t>
  </si>
  <si>
    <t>辛仕徽</t>
  </si>
  <si>
    <t>咳咳，是我败了，要杀要剐，悉听尊便……</t>
  </si>
  <si>
    <t>{nClass=14,nIcon=13,nFrame=5,szName="宣骄剧情",nTime=116.5,},</t>
  </si>
  <si>
    <t>宣骄</t>
  </si>
  <si>
    <t>虽不能亲眼所见，但魏大人定有飞黄腾达之时……</t>
  </si>
  <si>
    <t>return{CHAT={</t>
  </si>
  <si>
    <t>[团队监控]数据加载成功</t>
  </si>
  <si>
    <t>关闭主场首领计时条·开启奇袭首领计时条</t>
  </si>
  <si>
    <t>{nClass=20,nIcon=13,nFrame=-1,szName="",nTime=0.001,nRefresh=9999,key="谢渊·月弄痕·减伤",},</t>
  </si>
  <si>
    <t>{nClass=20,nIcon=13,nFrame=-1,szName="谢渊·月弄痕·减伤",nTime=-1,key="谢渊·月弄痕·减伤",},</t>
  </si>
  <si>
    <t>{nClass=20,nIcon=13,nFrame=-1,szName="",nTime=0.001,nRefresh=9999,key="谢渊·游驹·减伤",},</t>
  </si>
  <si>
    <t>{nClass=20,nIcon=13,nFrame=-1,szName="谢渊·游驹·减伤",nTime=-1,key="谢渊·游驹·减伤",},</t>
  </si>
  <si>
    <t>{nClass=20,nIcon=13,nFrame=-1,szName="",nTime=0.001,nRefresh=9999,key="谢渊·小七·减伤",},</t>
  </si>
  <si>
    <t>{nClass=20,nIcon=13,nFrame=-1,szName="谢渊·小七·减伤",nTime=-1,key="谢渊·小七·减伤",},</t>
  </si>
  <si>
    <t>{nClass=20,nIcon=13,nFrame=-1,szName="",nTime=0.001,nRefresh=9999,key="谢渊·张桎辕·减伤",},</t>
  </si>
  <si>
    <t>{nClass=20,nIcon=13,nFrame=-1,szName="谢渊·张桎辕·减伤",nTime=-1,key="谢渊·张桎辕·减伤",},</t>
  </si>
  <si>
    <t>{nClass=20,nIcon=13,nFrame=-1,szName="",nTime=0.001,nRefresh=9999,key="谢渊·司空仲平·减伤",},</t>
  </si>
  <si>
    <t>{nClass=20,nIcon=13,nFrame=-1,szName="谢渊·司空仲平·减伤",nTime=-1,key="谢渊·司空仲平·减伤",},</t>
  </si>
  <si>
    <t>{nClass=20,nIcon=13,nFrame=-1,szName="",nTime=0.001,nRefresh=9999,key="王遗风·司徒一一·减伤",},</t>
  </si>
  <si>
    <t>{nClass=20,nIcon=13,nFrame=-1,szName="王遗风·司徒一一·减伤",nTime=-1,key="王遗风·司徒一一·减伤",},</t>
  </si>
  <si>
    <t>{nClass=20,nIcon=13,nFrame=-1,szName="",nTime=0.001,nRefresh=9999,key="王遗风·白某·减伤",},</t>
  </si>
  <si>
    <t>{nClass=20,nIcon=13,nFrame=-1,szName="王遗风·白某·减伤",nTime=-1,key="王遗风·白某·减伤",},</t>
  </si>
  <si>
    <t>{nClass=20,nIcon=13,nFrame=-1,szName="",nTime=0.001,nRefresh=9999,key="王遗风·米丽古丽·减伤",},</t>
  </si>
  <si>
    <t>{nClass=20,nIcon=13,nFrame=-1,szName="王遗风·米丽古丽·减伤",nTime=-1,key="王遗风·米丽古丽·减伤",},</t>
  </si>
  <si>
    <t>{nClass=20,nIcon=13,nFrame=-1,szName="",nTime=0.001,nRefresh=9999,key="王遗风·陶寒亭·减伤",},</t>
  </si>
  <si>
    <t>{nClass=20,nIcon=13,nFrame=-1,szName="王遗风·陶寒亭·减伤",nTime=-1,key="王遗风·陶寒亭·减伤",},</t>
  </si>
  <si>
    <t>{nClass=20,nIcon=13,nFrame=-1,szName="",nTime=0.001,nRefresh=9999,key="王遗风·肖药儿·减伤",},</t>
  </si>
  <si>
    <t>{nClass=20,nIcon=13,nFrame=-1,szName="王遗风·肖药儿·减伤",nTime=-1,key="王遗风·肖药儿·减伤",},</t>
  </si>
  <si>
    <t>{nClass=20,nIcon=13,nFrame=-1,szName="王遗风·伊夜·减伤",nTime=-2,key="王遗风·伊夜·减伤",},</t>
  </si>
  <si>
    <t>{nClass=20,nIcon=13,nFrame=-1,szName="王遗风·丁丁·减伤",nTime=-2,key="王遗风·丁丁·减伤",},</t>
  </si>
  <si>
    <t>{nClass=20,nIcon=13,nFrame=-1,szName="王遗风·岳琅·减伤",nTime=-2,key="王遗风·岳琅·减伤",},</t>
  </si>
  <si>
    <t>{nClass=20,nIcon=13,nFrame=-1,szName="王遗风·毕罗巴·减伤",nTime=-2,key="王遗风·毕罗巴·减伤",},</t>
  </si>
  <si>
    <t>{nClass=20,nIcon=13,nFrame=-1,szName="王遗风·烟·减伤",nTime=-2,key="王遗风·烟·减伤",},</t>
  </si>
  <si>
    <t>{nClass=20,nIcon=13,nFrame=-1,szName="王遗风·独孤修·减伤",nTime=-2,key="王遗风·独孤修·减伤",},</t>
  </si>
  <si>
    <t>{nClass=20,nIcon=13,nFrame=-1,szName="谢渊·韩非池·减伤",nTime=-2,key="谢渊·韩非池·减伤",},</t>
  </si>
  <si>
    <t>{nClass=20,nIcon=13,nFrame=-1,szName="谢渊·赵紫儿·减伤",nTime=-2,key="谢渊·赵紫儿·减伤",},</t>
  </si>
  <si>
    <t>{nClass=20,nIcon=13,nFrame=-1,szName="谢渊·叶镜池·减伤",nTime=-2,key="谢渊·叶镜池·减伤",},</t>
  </si>
  <si>
    <t>{nClass=20,nIcon=13,nFrame=-1,szName="谢渊·郭珠·减伤",nTime=-2,key="谢渊·郭珠·减伤",},</t>
  </si>
  <si>
    <t>{nClass=20,nIcon=13,nFrame=-1,szName="谢渊·穆玄英·减伤",nTime=-2,key="谢渊·穆玄英·减伤",},</t>
  </si>
  <si>
    <t>{nClass=20,nIcon=13,nFrame=-1,szName="谢渊·影·减伤",nTime=-2,key="谢渊·影·减伤",},</t>
  </si>
  <si>
    <t>{nClass=20,nIcon=13,nFrame=5,szName="金水镇",nTime=-1,key="金水镇",},</t>
  </si>
  <si>
    <t>{nClass=20,nIcon=13,nFrame=5,szName="巴陵县",nTime=-1,key="巴陵县",},</t>
  </si>
  <si>
    <t>{nClass=20,nIcon=13,nFrame=5,szName="龙门荒漠",nTime=-1,key="龙门荒漠",},</t>
  </si>
  <si>
    <t>{nClass=20,nIcon=13,nFrame=5,szName="南屏山",nTime=-1,key="南屏山",},</t>
  </si>
  <si>
    <t>{nClass=20,nIcon=13,nFrame=5,szName="昆仑",nTime=-1,key="昆仑",},</t>
  </si>
  <si>
    <t>{nClass=20,nIcon=13,nFrame=5,szName="白龙口",nTime=-1,key="白龙口",},</t>
  </si>
  <si>
    <t>{nClass=20,nIcon=13,nFrame=5,szName="无量山",nTime=-1,key="无量山",},</t>
  </si>
  <si>
    <t>{nClass=20,nIcon=13,nFrame=5,szName="黑龙沼",nTime=-1,key="黑龙沼",},</t>
  </si>
  <si>
    <t>{nClass=20,nIcon=13,nFrame=5,szName="阴山大草原",nTime=-1,key="阴山大草原",},</t>
  </si>
  <si>
    <t>{nClass=20,nIcon=13,nFrame=5,szName="黑戈壁",nTime=-1,key="黑戈壁",},</t>
  </si>
  <si>
    <t>{nClass=20,nIcon=13,nFrame=5,szName="鲲鹏岛",nTime=-1,key="鲲鹏岛",},</t>
  </si>
  <si>
    <t>本场攻防“奇袭场”已结束，浩气盟侠士和恶人谷侠士经过一场恶战，势均力敌，最终打为平手，暂时休战！\n</t>
  </si>
  <si>
    <t>奇袭场·平手</t>
  </si>
  <si>
    <t>{nClass=20,nIcon=2401,nFrame=0,szName="奇袭场·平手",nTime=10,nRefresh=2,key="奇袭场",},</t>
  </si>
  <si>
    <t>{nClass=20,nIcon=17135,nFrame=0,szName="拾取间隔",nTime=0,key="拾取间隔",},</t>
  </si>
  <si>
    <t>本场攻防“主战场”已结束，浩气盟侠士和恶人谷侠士经过一场恶战，势均力敌，最终打为平手，暂时休战！\n</t>
  </si>
  <si>
    <t>主战场·平手</t>
  </si>
  <si>
    <t>{nClass=20,nIcon=2401,nFrame=0,szName="主战场·平手",nTime=10,nRefresh=2,key="主战场",},</t>
  </si>
  <si>
    <t>^本场攻防“([主战奇袭场]+)”已结束，([浩气盟恶人谷]+)[侠士们众志成城和，]-([大完险胜]+)([浩气盟恶人谷]+)[！，]+</t>
  </si>
  <si>
    <t>{$1}·{$2}{$3}</t>
  </si>
  <si>
    <t>{nClass=20,nIcon=2400,nFrame=0,szName="{$1}·{$2}{$3}",nTime=10,nRefresh=2,key="{$1}",},</t>
  </si>
  <si>
    <t>{nClass=20,nIcon=13,nFrame=0,szName="拾取间隔",nTime=0,key="拾取间隔",},</t>
  </si>
  <si>
    <t>本场恶人谷攻防即将结束，昆仑物资运送暂且休整，等待下一场攻防开启！\n</t>
  </si>
  <si>
    <t>攻防即将结束</t>
  </si>
  <si>
    <t>{nClass=20,nIcon=2401,nFrame=0,szName="本场攻防即将结束",nTime=60,nRefresh=2,key="攻防活动",},</t>
  </si>
  <si>
    <t>本场浩气盟攻防即将结束，南屏山物资运送暂且休整，等待下一场攻防开启！\n</t>
  </si>
  <si>
    <t>侠士 [{$me}] 在拾取复活点物资时意外获得了[便携装置·神机车]。</t>
  </si>
  <si>
    <t>便携装置·神机车</t>
  </si>
  <si>
    <t>{nClass=20,nIcon=134,nFrame=0,szName="获得[便携装置·神机车]",nTime=10,nRefresh=1,key="拾取复活点物资",},</t>
  </si>
  <si>
    <t>浩气盟物资车已被拦截，车内装大量物资，望侠士们前来拾取，切莫错过。</t>
  </si>
  <si>
    <t>浩气·物资车·被截</t>
  </si>
  <si>
    <t>{nClass=20,nIcon=2398,nFrame=3,szName="恶人·截车奖励",nTime=10,nRefresh=2,key="恶人·物资车·运达",},</t>
  </si>
  <si>
    <t>恶人谷物资车已被拦截，车内装大量物资，望侠士们前来拾取，切莫错过。</t>
  </si>
  <si>
    <t>恶人·物资车·被截</t>
  </si>
  <si>
    <t>{nClass=20,nIcon=2397,nFrame=7,szName="浩气·截车奖励",nTime=10,nRefresh=2,key="浩气·物资车·运达",},</t>
  </si>
  <si>
    <t>(.-)力不能敌，暂时败退。(.-)进攻顺利，此战有功，请即刻回营，准备下一步战略。</t>
  </si>
  <si>
    <t>{$1}·败退|{$2}·回营</t>
  </si>
  <si>
    <t>{nClass=20,nIcon=13,nFrame=7,szName="浩气·{$2}·助战",nTime=0,key="浩气·{$2}·助战",},</t>
  </si>
  <si>
    <t>{nClass=20,nIcon=13,nFrame=3,szName="恶人·{$2}·助战",nTime=0,key="恶人·{$2}·助战",},</t>
  </si>
  <si>
    <t>(.-)误入埋伏，防守不利，暂时败退。请(.-)暂且撤回驻守之地，务必小心防守。</t>
  </si>
  <si>
    <t>{$1}·败退|{$2}·回防</t>
  </si>
  <si>
    <t>(.-)出手协助众人酣战一场</t>
  </si>
  <si>
    <t>{$1}·回防</t>
  </si>
  <si>
    <t>{nClass=20,nIcon=13,nFrame=7,szName="浩气·{$1}·助战",nTime=0,key="浩气·{$1}·助战",},</t>
  </si>
  <si>
    <t>{nClass=20,nIcon=13,nFrame=3,szName="恶人·{$1}·助战",nTime=0,key="恶人·{$1}·助战",},</t>
  </si>
  <si>
    <t>战况焦灼，瞬息万变，([浩气恶人]+)[盟谷]-侠士%[(.-)%]特请%[(.-)%]前来助战</t>
  </si>
  <si>
    <t>{$1}·正在召请·{$3}</t>
  </si>
  <si>
    <t>{nClass=20,nIcon=13345,nFrame=0,szName="{$1}·正在召请·{$3}",nTime=10,key="{$1}·{$3}·助战",},</t>
  </si>
  <si>
    <t>的带领下，成功击退韩非池！</t>
  </si>
  <si>
    <t>奇袭·恶人·伊夜·击退·浩气·韩非池·首领</t>
  </si>
  <si>
    <t>{nClass=20,nIcon=18829,nFrame=7,szName="浩气·韩非池·退场",nTime=10,key="谢渊·韩非池·减伤",},</t>
  </si>
  <si>
    <t>{nClass=20,nIcon=2399,nFrame=2,szName="召请CD·伊夜",nTime=0,key="召请CD·伊夜",},</t>
  </si>
  <si>
    <t>{nClass=20,nIcon=14724,nFrame=3,szName="王遗风·伊夜·减伤",nTime="300,恶人·伊夜·减伤3层;600,恶人·伊夜·减伤2层;900,恶人·伊夜·减伤1层",nRefresh=0,key="王遗风·伊夜·减伤",},</t>
  </si>
  <si>
    <t>的带领下，成功击退赵紫儿！</t>
  </si>
  <si>
    <t>奇袭·恶人·丁丁·击退·浩气·赵紫儿·首领</t>
  </si>
  <si>
    <t>{nClass=20,nIcon=18829,nFrame=7,szName="浩气·赵紫儿·退场",nTime=10,key="谢渊·赵紫儿·减伤",},</t>
  </si>
  <si>
    <t>{nClass=20,nIcon=2399,nFrame=2,szName="召请CD·丁丁",nTime=0,key="召请CD·丁丁",},</t>
  </si>
  <si>
    <t>{nClass=20,nIcon=14724,nFrame=3,szName="王遗风·丁丁·减伤",nTime="300,恶人·丁丁·减伤3层;600,恶人·丁丁·减伤2层;900,恶人·丁丁·减伤1层",nRefresh=0,key="王遗风·丁丁·减伤",},</t>
  </si>
  <si>
    <t>的带领下，成功击退叶镜池！</t>
  </si>
  <si>
    <t>奇袭·恶人·岳琅·击退·浩气·叶镜池·首领</t>
  </si>
  <si>
    <t>{nClass=20,nIcon=18829,nFrame=7,szName="浩气·叶镜池·退场",nTime=10,key="谢渊·叶镜池·减伤",},</t>
  </si>
  <si>
    <t>{nClass=20,nIcon=2399,nFrame=2,szName="召请CD·岳琅",nTime=0,key="召请CD·岳琅",},</t>
  </si>
  <si>
    <t>{nClass=20,nIcon=14724,nFrame=3,szName="王遗风·岳琅·减伤",nTime="300,恶人·岳琅·减伤3层;600,恶人·岳琅·减伤2层;900,恶人·岳琅·减伤1层",nRefresh=0,key="王遗风·岳琅·减伤",},</t>
  </si>
  <si>
    <t>的带领下，成功击退郭珠！</t>
  </si>
  <si>
    <t>奇袭·恶人·毕罗巴·击退·浩气·郭珠·首领</t>
  </si>
  <si>
    <t>{nClass=20,nIcon=18829,nFrame=7,szName="浩气·郭珠·退场",nTime=10,key="谢渊·郭珠·减伤",},</t>
  </si>
  <si>
    <t>{nClass=20,nIcon=2399,nFrame=2,szName="召请CD·毕罗巴",nTime=0,key="召请CD·毕罗巴",},</t>
  </si>
  <si>
    <t>{nClass=20,nIcon=14724,nFrame=3,szName="王遗风·毕罗巴·减伤",nTime="300,恶人·毕罗巴·减伤3层;600,恶人·毕罗巴·减伤2层;900,恶人·毕罗巴·减伤1层",nRefresh=0,key="王遗风·毕罗巴·减伤",},</t>
  </si>
  <si>
    <t>的带领下，成功击退穆玄英！</t>
  </si>
  <si>
    <t>奇袭·恶人·烟·击退·浩气·穆玄英·首领</t>
  </si>
  <si>
    <t>{nClass=20,nIcon=18829,nFrame=7,szName="浩气·穆玄英·退场",nTime=10,key="谢渊·穆玄英·减伤",},</t>
  </si>
  <si>
    <t>{nClass=20,nIcon=2399,nFrame=2,szName="召请CD·烟",nTime=0,key="召请CD·烟",},</t>
  </si>
  <si>
    <t>{nClass=20,nIcon=14724,nFrame=3,szName="王遗风·烟·减伤",nTime="300,恶人·烟·减伤3层;600,恶人·烟·减伤2层;900,恶人·烟·减伤1层",nRefresh=0,key="王遗风·烟·减伤",},</t>
  </si>
  <si>
    <t>的带领下，成功击退影！</t>
  </si>
  <si>
    <t>奇袭·恶人·独孤修·击退·浩气·影·首领</t>
  </si>
  <si>
    <t>{nClass=20,nIcon=18829,nFrame=7,szName="浩气·影·退场",nTime=10,key="谢渊·影·减伤",},</t>
  </si>
  <si>
    <t>{nClass=20,nIcon=2399,nFrame=2,szName="召请CD·独孤修",nTime=0,key="召请CD·独孤修",},</t>
  </si>
  <si>
    <t>{nClass=20,nIcon=14724,nFrame=3,szName="王遗风·独孤修·减伤",nTime="300,恶人·独孤修·减伤3层;600,恶人·独孤修·减伤2层;900,恶人·独孤修·减伤1层",nRefresh=0,key="王遗风·独孤修·减伤",},</t>
  </si>
  <si>
    <t>的带领下，成功击退谢渊！</t>
  </si>
  <si>
    <t>主场·恶人·王遗风·击退·浩气·谢渊·首领</t>
  </si>
  <si>
    <t>{nClass=20,nIcon=18829,nFrame=7,szName="浩气·谢渊·退场",nTime=10,key="谢渊·谢渊·减伤",},</t>
  </si>
  <si>
    <t>{nClass=20,nIcon=2399,nFrame=2,szName="召请CD·王遗风",nTime=0,key="召请CD·王遗风",},</t>
  </si>
  <si>
    <t>{nClass=20,nIcon=14724,nFrame=3,szName="王遗风·王遗风·减伤",nTime="300,恶人·王遗风·减伤3层;600,恶人·王遗风·减伤2层;900,恶人·王遗风·减伤1层",nRefresh=0,key="王遗风·王遗风·减伤",},</t>
  </si>
  <si>
    <t>的带领下，成功击退司空仲平！</t>
  </si>
  <si>
    <t>主场·恶人·肖药儿·击退·浩气·司空仲平·首领</t>
  </si>
  <si>
    <t>{nClass=20,nIcon=18829,nFrame=7,szName="浩气·司空仲平·退场",nTime=10,key="谢渊·司空仲平·减伤",},</t>
  </si>
  <si>
    <t>{nClass=20,nIcon=2399,nFrame=2,szName="召请CD·肖药儿",nTime=0,key="召请CD·肖药儿",},</t>
  </si>
  <si>
    <t>{nClass=20,nIcon=14724,nFrame=3,szName="王遗风·肖药儿·减伤",nTime="300,恶人·肖药儿·减伤3层;600,恶人·肖药儿·减伤2层;900,恶人·肖药儿·减伤1层",nRefresh=0,key="王遗风·肖药儿·减伤",},</t>
  </si>
  <si>
    <t>的带领下，成功击退月弄痕！</t>
  </si>
  <si>
    <t>主场·恶人·司徒一一·击退·浩气·月弄痕·首领</t>
  </si>
  <si>
    <t>{nClass=20,nIcon=18829,nFrame=7,szName="浩气·月弄痕·退场",nTime=10,key="谢渊·月弄痕·减伤",},</t>
  </si>
  <si>
    <t>{nClass=20,nIcon=2399,nFrame=2,szName="召请CD·司徒一一",nTime=0,key="召请CD·司徒一一",},</t>
  </si>
  <si>
    <t>{nClass=20,nIcon=14724,nFrame=3,szName="王遗风·司徒一一·减伤",nTime="300,恶人·司徒一一·减伤3层;600,恶人·司徒一一·减伤2层;900,恶人·司徒一一·减伤1层",nRefresh=0,key="王遗风·司徒一一·减伤",},</t>
  </si>
  <si>
    <t>的带领下，成功击退张桎辕！</t>
  </si>
  <si>
    <t>主场·恶人·陶寒亭·击退·浩气·张桎辕·首领</t>
  </si>
  <si>
    <t>{nClass=20,nIcon=18829,nFrame=7,szName="浩气·张桎辕·退场",nTime=10,key="谢渊·张桎辕·减伤",},</t>
  </si>
  <si>
    <t>{nClass=20,nIcon=2399,nFrame=2,szName="召请CD·陶寒亭",nTime=0,key="召请CD·陶寒亭",},</t>
  </si>
  <si>
    <t>{nClass=20,nIcon=14724,nFrame=3,szName="王遗风·陶寒亭·减伤",nTime="300,恶人·陶寒亭·减伤3层;600,恶人·陶寒亭·减伤2层;900,恶人·陶寒亭·减伤1层",nRefresh=0,key="王遗风·陶寒亭·减伤",},</t>
  </si>
  <si>
    <t>的带领下，成功击退小七！</t>
  </si>
  <si>
    <t>主场·恶人·米丽古丽·击退·浩气·小七·首领</t>
  </si>
  <si>
    <t>{nClass=20,nIcon=18829,nFrame=7,szName="浩气·小七·退场",nTime=10,key="谢渊·小七·减伤",},</t>
  </si>
  <si>
    <t>{nClass=20,nIcon=2399,nFrame=2,szName="召请CD·米丽古丽",nTime=0,key="召请CD·米丽古丽",},</t>
  </si>
  <si>
    <t>{nClass=20,nIcon=14724,nFrame=3,szName="王遗风·米丽古丽·减伤",nTime="300,恶人·米丽古丽·减伤3层;600,恶人·米丽古丽·减伤2层;900,恶人·米丽古丽·减伤1层",nRefresh=0,key="王遗风·米丽古丽·减伤",},</t>
  </si>
  <si>
    <t>的带领下，成功击退游驹！</t>
  </si>
  <si>
    <t>主场·恶人·白某·击退·浩气·游驹·首领</t>
  </si>
  <si>
    <t>{nClass=20,nIcon=18829,nFrame=7,szName="浩气·游驹·退场",nTime=10,key="谢渊·游驹·减伤",},</t>
  </si>
  <si>
    <t>{nClass=20,nIcon=2399,nFrame=2,szName="召请CD·白某",nTime=0,key="召请CD·白某",},</t>
  </si>
  <si>
    <t>{nClass=20,nIcon=14724,nFrame=3,szName="王遗风·白某·减伤",nTime="300,恶人·白某·减伤3层;600,恶人·白某·减伤2层;900,恶人·白某·减伤1层",nRefresh=0,key="王遗风·白某·减伤",},</t>
  </si>
  <si>
    <t>的带领下，成功击退伊夜！</t>
  </si>
  <si>
    <t>奇袭·浩气·韩非池·击退·恶人·伊夜·首领</t>
  </si>
  <si>
    <t>{nClass=20,nIcon=18830,nFrame=5,szName="恶人·伊夜·退场",nTime=10,key="王遗风·伊夜·减伤",},</t>
  </si>
  <si>
    <t>{nClass=20,nIcon=2399,nFrame=2,szName="召请CD·韩非池",nTime=0,key="召请CD·韩非池",},</t>
  </si>
  <si>
    <t>{nClass=20,nIcon=14724,nFrame=7,szName="谢渊·韩非池·减伤",nTime="300,浩气·韩非池·减伤3层;600,浩气·韩非池·减伤2层;900,浩气·韩非池·减伤1层",nRefresh=0,key="谢渊·韩非池·减伤",},</t>
  </si>
  <si>
    <t>的带领下，成功击退烟！</t>
  </si>
  <si>
    <t>奇袭·浩气·穆玄英·击退·恶人·烟·首领</t>
  </si>
  <si>
    <t>{nClass=20,nIcon=18830,nFrame=5,szName="恶人·烟·退场",nTime=10,key="王遗风·烟·减伤",},</t>
  </si>
  <si>
    <t>{nClass=20,nIcon=2399,nFrame=2,szName="召请CD·穆玄英",nTime=0,key="召请CD·穆玄英",},</t>
  </si>
  <si>
    <t>{nClass=20,nIcon=14724,nFrame=7,szName="谢渊·穆玄英·减伤",nTime="300,浩气·穆玄英·减伤3层;600,浩气·穆玄英·减伤2层;900,浩气·穆玄英·减伤1层",nRefresh=0,key="谢渊·穆玄英·减伤",},</t>
  </si>
  <si>
    <t>的带领下，成功击退岳琅！</t>
  </si>
  <si>
    <t>奇袭·浩气·叶镜池·击退·恶人·岳琅·首领</t>
  </si>
  <si>
    <t>{nClass=20,nIcon=18830,nFrame=5,szName="恶人·岳琅·退场",nTime=10,key="王遗风·岳琅·减伤",},</t>
  </si>
  <si>
    <t>{nClass=20,nIcon=2399,nFrame=2,szName="召请CD·叶镜池",nTime=0,key="召请CD·叶镜池",},</t>
  </si>
  <si>
    <t>{nClass=20,nIcon=14724,nFrame=7,szName="谢渊·叶镜池·减伤",nTime="300,浩气·叶镜池·减伤3层;600,浩气·叶镜池·减伤2层;900,浩气·叶镜池·减伤1层",nRefresh=0,key="谢渊·叶镜池·减伤",},</t>
  </si>
  <si>
    <t>的带领下，成功击退丁丁！</t>
  </si>
  <si>
    <t>奇袭·浩气·赵紫儿·击退·恶人·丁丁·首领</t>
  </si>
  <si>
    <t>{nClass=20,nIcon=18830,nFrame=5,szName="恶人·丁丁·退场",nTime=10,key="王遗风·丁丁·减伤",},</t>
  </si>
  <si>
    <t>{nClass=20,nIcon=2399,nFrame=2,szName="召请CD·赵紫儿",nTime=0,key="召请CD·赵紫儿",},</t>
  </si>
  <si>
    <t>{nClass=20,nIcon=14724,nFrame=7,szName="谢渊·赵紫儿·减伤",nTime="300,浩气·赵紫儿·减伤3层;600,浩气·赵紫儿·减伤2层;900,浩气·赵紫儿·减伤1层",nRefresh=0,key="谢渊·赵紫儿·减伤",},</t>
  </si>
  <si>
    <t>的带领下，成功击退毕罗巴！</t>
  </si>
  <si>
    <t>奇袭·浩气·郭珠·击退·恶人·毕罗巴·首领</t>
  </si>
  <si>
    <t>{nClass=20,nIcon=18830,nFrame=5,szName="恶人·毕罗巴·退场",nTime=10,key="王遗风·毕罗巴·减伤",},</t>
  </si>
  <si>
    <t>{nClass=20,nIcon=2399,nFrame=2,szName="召请CD·郭珠",nTime=0,key="召请CD·郭珠",},</t>
  </si>
  <si>
    <t>{nClass=20,nIcon=14724,nFrame=7,szName="谢渊·郭珠·减伤",nTime="300,浩气·郭珠·减伤3层;600,浩气·郭珠·减伤2层;900,浩气·郭珠·减伤1层",nRefresh=0,key="谢渊·郭珠·减伤",},</t>
  </si>
  <si>
    <t>的带领下，成功击退独孤修！</t>
  </si>
  <si>
    <t>奇袭·浩气·影·击退·恶人·独孤修·首领</t>
  </si>
  <si>
    <t>{nClass=20,nIcon=18830,nFrame=5,szName="恶人·独孤修·退场",nTime=10,key="王遗风·独孤修·减伤",},</t>
  </si>
  <si>
    <t>{nClass=20,nIcon=2399,nFrame=2,szName="召请CD·影",nTime=0,key="召请CD·影",},</t>
  </si>
  <si>
    <t>{nClass=20,nIcon=14724,nFrame=7,szName="谢渊·影·减伤",nTime="300,浩气·影·减伤3层;600,浩气·影·减伤2层;900,浩气·影·减伤1层",nRefresh=0,key="谢渊·影·减伤",},</t>
  </si>
  <si>
    <t>的带领下，成功击退王遗风！</t>
  </si>
  <si>
    <t>主场·浩气·谢渊·击退·恶人·王遗风·首领</t>
  </si>
  <si>
    <t>{nClass=20,nIcon=18830,nFrame=5,szName="恶人·王遗风·退场",nTime=10,key="王遗风·王遗风·减伤",},</t>
  </si>
  <si>
    <t>{nClass=20,nIcon=2399,nFrame=2,szName="召请CD·谢渊",nTime=0,key="召请CD·谢渊",},</t>
  </si>
  <si>
    <t>{nClass=20,nIcon=14724,nFrame=7,szName="谢渊·谢渊·减伤",nTime="300,浩气·谢渊·减伤3层;600,浩气·谢渊·减伤2层;900,浩气·谢渊·减伤1层",nRefresh=0,key="谢渊·谢渊·减伤",},</t>
  </si>
  <si>
    <t>的带领下，成功击退司徒一一！</t>
  </si>
  <si>
    <t>主场·浩气·月弄痕·击退·恶人·司徒一一·首领</t>
  </si>
  <si>
    <t>{nClass=20,nIcon=18830,nFrame=5,szName="恶人·司徒一一·退场",nTime=10,key="王遗风·司徒一一·减伤",},</t>
  </si>
  <si>
    <t>{nClass=20,nIcon=2399,nFrame=2,szName="召请CD·月弄痕",nTime=0,key="召请CD·月弄痕",},</t>
  </si>
  <si>
    <t>{nClass=20,nIcon=14724,nFrame=7,szName="谢渊·月弄痕·减伤",nTime="300,浩气·月弄痕·减伤3层;600,浩气·月弄痕·减伤2层;900,浩气·月弄痕·减伤1层",nRefresh=0,key="谢渊·月弄痕·减伤",},</t>
  </si>
  <si>
    <t>的带领下，成功击退白某！</t>
  </si>
  <si>
    <t>主场·浩气·游驹·击退·恶人·白某·首领</t>
  </si>
  <si>
    <t>{nClass=20,nIcon=18830,nFrame=5,szName="恶人·白某·退场",nTime=10,key="王遗风·白某·减伤",},</t>
  </si>
  <si>
    <t>{nClass=20,nIcon=2399,nFrame=2,szName="召请CD·游驹",nTime=0,key="召请CD·游驹",},</t>
  </si>
  <si>
    <t>{nClass=20,nIcon=14724,nFrame=7,szName="谢渊·游驹·减伤",nTime="300,浩气·游驹·减伤3层;600,浩气·游驹·减伤2层;900,浩气·游驹·减伤1层",nRefresh=0,key="谢渊·游驹·减伤",},</t>
  </si>
  <si>
    <t>的带领下，成功击退米丽古丽！</t>
  </si>
  <si>
    <t>主场·浩气·小七·击退·恶人·米丽古丽·首领</t>
  </si>
  <si>
    <t>{nClass=20,nIcon=18830,nFrame=5,szName="恶人·米丽古丽·退场",nTime=10,key="王遗风·米丽古丽·减伤",},</t>
  </si>
  <si>
    <t>{nClass=20,nIcon=2399,nFrame=2,szName="召请CD·小七",nTime=0,key="召请CD·小七",},</t>
  </si>
  <si>
    <t>{nClass=20,nIcon=14724,nFrame=7,szName="谢渊·小七·减伤",nTime="300,浩气·小七·减伤3层;600,浩气·小七·减伤2层;900,浩气·小七·减伤1层",nRefresh=0,key="谢渊·小七·减伤",},</t>
  </si>
  <si>
    <t>的带领下，成功击退陶寒亭！</t>
  </si>
  <si>
    <t>主场·浩气·张桎辕·击退·恶人·陶寒亭·首领</t>
  </si>
  <si>
    <t>{nClass=20,nIcon=18830,nFrame=5,szName="恶人·陶寒亭·退场",nTime=10,key="王遗风·陶寒亭·减伤",},</t>
  </si>
  <si>
    <t>{nClass=20,nIcon=2399,nFrame=2,szName="召请CD·张桎辕",nTime=0,key="召请CD·张桎辕",},</t>
  </si>
  <si>
    <t>{nClass=20,nIcon=14724,nFrame=7,szName="谢渊·张桎辕·减伤",nTime="300,浩气·张桎辕·减伤3层;600,浩气·张桎辕·减伤2层;900,浩气·张桎辕·减伤1层",nRefresh=0,key="谢渊·张桎辕·减伤",},</t>
  </si>
  <si>
    <t>的带领下，成功击退肖药儿！</t>
  </si>
  <si>
    <t>主场·浩气·司空仲平·击退·恶人·肖药儿·首领</t>
  </si>
  <si>
    <t>{nClass=20,nIcon=18830,nFrame=5,szName="恶人·肖药儿·退场",nTime=10,key="王遗风·肖药儿·减伤",},</t>
  </si>
  <si>
    <t>{nClass=20,nIcon=2399,nFrame=2,szName="召请CD·司空仲平",nTime=0,key="召请CD·司空仲平",},</t>
  </si>
  <si>
    <t>{nClass=20,nIcon=14724,nFrame=7,szName="谢渊·司空仲平·减伤",nTime="300,浩气·司空仲平·减伤3层;600,浩气·司空仲平·减伤2层;900,浩气·司空仲平·减伤1层",nRefresh=0,key="谢渊·司空仲平·减伤",},</t>
  </si>
  <si>
    <t>^本周还可通过配置香膏获得调香经验(%d+)次</t>
  </si>
  <si>
    <t>{nClass=20,nIcon=21596,nFrame=6,szName="本周配置香膏剩余{$1}次",nTime=15,key="调香",},</t>
  </si>
  <si>
    <t>{nClass=20,nIcon=17135,nFrame=2,szName="",nTime=0.01,nRefresh=2,key="调香·0",},</t>
  </si>
  <si>
    <t>{nClass=20,nIcon=17135,nFrame=2,szName="调香·0",nTime=-1,key="调香·0",},</t>
  </si>
  <si>
    <t>{nClass=20,nIcon=17135,nFrame=2,szName="调香·{$1}",nTime=0,key="调香·{$1}",},</t>
  </si>
  <si>
    <t>{nClass=20,nIcon=21596,nFrame=2,szName="配置香膏获得经验已达周上限",nTime=20,nRefresh=1,key="调香·0",},</t>
  </si>
  <si>
    <t>^家园储物箱增加(%d+)个【(.-)】。</t>
  </si>
  <si>
    <t>{nClass=20,nIcon=13556,nFrame=6,szName="储物箱【{$2}】{$1}个",nTime=2,nRefresh=1,key="储物箱·{$2}",},</t>
  </si>
  <si>
    <t>物件已自动收集到[桑木书柜]中，交互书柜家具可再次查阅。\n</t>
  </si>
  <si>
    <t>{nClass=20,nIcon=13556,nFrame=5,szName="物件已收集到[桑木书柜]中",nTime=2,key="通用提示",},</t>
  </si>
  <si>
    <t>建造成功\n</t>
  </si>
  <si>
    <t>{nClass=20,nIcon=17135,nFrame=0,szName="建造成功",nTime=5,nRefresh=1,key="家园·建造",},</t>
  </si>
  <si>
    <t>他人床，鼾震天，还睡，还睡？“{$me}”侠士在</t>
  </si>
  <si>
    <t>触发奇遇·白日梦</t>
  </si>
  <si>
    <t>{nClass=20,nIcon=17135,nFrame=0,bHold=true,szName="恭喜触发奇遇·白日梦",nTime="10,恭喜触发奇遇·白日梦;20,该奇遇不封印;30,预计10分钟完成;60,1.家园市集找·裴草;90,2.前往·稻香村(敬师堂)·稻山野林;120,3.稻山野林\"野\"左边使用·游梦仙枕;150,4.按1变凝血草·对话阿大阿二阿三;180,5.回到·家园市集·裴草",nRefresh=0,key="奇遇提示0",},</t>
  </si>
  <si>
    <t>{nClass=20,nIcon=17135,nFrame=6,bHold=true,szName="前往·家园集市·裴草",nTime=600,key="奇遇提示1",},</t>
  </si>
  <si>
    <t>{nClass=20,nIcon=17135,nFrame=7,bHold=true,szName="稻香村(敬师堂)·稻山野林",nTime=600,key="奇遇提示2",},</t>
  </si>
  <si>
    <t>{nClass=20,nIcon=17135,nFrame=7,bHold=true,szName="\"野\"左边·使用·游梦仙枕",nTime=600,key="奇遇提示3",},</t>
  </si>
  <si>
    <t>“{$me}”侠士的睡姿过于奇葩成功引起裴草注意，裴草触发奇遇【白日梦】作为交换，强行将这个睡姿据为己有，取名裴草睡。\n</t>
  </si>
  <si>
    <t>园宅啾鸣，主人幸得兔啾青睐。“{$me}”侠士触发奇遇【兔江湖】，真是奇哉！\n</t>
  </si>
  <si>
    <t>{nClass=20,nIcon=17135,nFrame=0,bHold=true,szName="恭喜触发奇遇·白日梦",nTime="5,恭喜触发奇遇·兔江湖;15,该奇遇封印5日;30,每日预计10分钟完成;60,1.前往·广陵邑集市·阎规;90,2.洛阳·战乱·洛阳城门;120,3.茶馆附近·对话·神秘人;150,4.对话·阎规·对话·鲁小兔;180,5.佛塔前·再对话·鲁小兔",nRefresh=0,key="奇遇提示0",},</t>
  </si>
  <si>
    <t>{nClass=20,nIcon=17135,nFrame=6,bHold=true,szName="前往·广陵邑集市·阎规",nTime=600,key="奇遇提示1",},</t>
  </si>
  <si>
    <t>江湖快马飞报！段氏马场发布最新《九州寻驹图》消息：约五到十分钟后，将有宝马良驹在阴山大草原出没！各位侠士可以前往捕捉！切莫错过！\n</t>
  </si>
  <si>
    <t>{nClass=20,nIcon=1899,nFrame=5,bHold=true,szName="阴山大草原·刷马",nTime=300,key="阴山大草原",},</t>
  </si>
  <si>
    <t>江湖快马飞报！段氏马场发布最新《九州寻驹图》消息：约五到十分钟后，将有宝马良驹在黑戈壁出没！各位侠士可以前往捕捉！切莫错过！\n</t>
  </si>
  <si>
    <t>{nClass=20,nIcon=1899,nFrame=5,bHold=true,szName="黑戈壁·刷马",nTime=300,key="黑戈壁",},</t>
  </si>
  <si>
    <t>江湖快马飞报！段氏马场发布最新《九州寻驹图》消息：约五到十分钟后，将有宝马良驹在鲲鹏岛出没！各位侠士可以前往捕捉！切莫错过！\n</t>
  </si>
  <si>
    <t>{nClass=20,nIcon=1899,nFrame=5,bHold=true,szName="鲲鹏岛·刷马",nTime=300,key="鲲鹏岛",},</t>
  </si>
  <si>
    <t>江湖快马飞报！段氏马场发布最新《九州寻驹图》消息：约五到十分钟后，将有宝马良驹在金水镇出没！各位侠士可以前往捕捉！切莫错过！\n</t>
  </si>
  <si>
    <t>{nClass=20,nIcon=1897,nFrame=5,bHold=true,szName="金水镇·刷马",nTime=300,key="金水镇",},</t>
  </si>
  <si>
    <t>江湖快马飞报！段氏马场发布最新《九州寻驹图》消息：约五到十分钟后，将有宝马良驹在巴陵县出没！各位侠士可以前往捕捉！切莫错过！\n</t>
  </si>
  <si>
    <t>{nClass=20,nIcon=1897,nFrame=5,bHold=true,szName="巴陵县·刷马",nTime=300,key="巴陵县",},</t>
  </si>
  <si>
    <t>江湖快马飞报！段氏马场发布最新《九州寻驹图》消息：约五到十分钟后，将有宝马良驹在龙门荒漠出没！各位侠士可以前往捕捉！切莫错过！\n</t>
  </si>
  <si>
    <t>{nClass=20,nIcon=1897,nFrame=5,bHold=true,szName="龙门荒漠·刷马",nTime=300,key="龙门荒漠",},</t>
  </si>
  <si>
    <t>江湖快马飞报！段氏马场发布最新《九州寻驹图》消息：约五到十分钟后，将有宝马良驹在昆仑出没！各位侠士可以前往捕捉！切莫错过！\n</t>
  </si>
  <si>
    <t>{nClass=20,nIcon=1894,nFrame=5,bHold=true,szName="昆仑·刷马",nTime=300,key="昆仑",},</t>
  </si>
  <si>
    <t>江湖快马飞报！段氏马场发布最新《九州寻驹图》消息：约五到十分钟后，将有宝马良驹在南屏山出没！各位侠士可以前往捕捉！切莫错过！\n</t>
  </si>
  <si>
    <t>{nClass=20,nIcon=1894,nFrame=5,bHold=true,szName="南屏山·刷马",nTime=300,key="南屏山",},</t>
  </si>
  <si>
    <t>江湖快马飞报！段氏马场发布最新《九州寻驹图》消息：约五到十分钟后，将有宝马良驹在无量山出没！各位侠士可以前往捕捉！切莫错过！\n</t>
  </si>
  <si>
    <t>{nClass=20,nIcon=1894,nFrame=5,bHold=true,szName="无量山·刷马",nTime=300,key="无量山",},</t>
  </si>
  <si>
    <t>江湖快马飞报！段氏马场发布最新《九州寻驹图》消息：约五到十分钟后，将有宝马良驹在白龙口出没！各位侠士可以前往捕捉！切莫错过！\n</t>
  </si>
  <si>
    <t>{nClass=20,nIcon=1894,nFrame=5,bHold=true,szName="白龙口·刷马",nTime=300,key="白龙口",},</t>
  </si>
  <si>
    <t>江湖快马飞报！段氏马场发布最新《九州寻驹图》消息：约五到十分钟后，将有宝马良驹在黑龙沼出没！各位侠士可以前往捕捉！切莫错过！\n</t>
  </si>
  <si>
    <t>{nClass=20,nIcon=1898,nFrame=5,bHold=true,szName="黑龙沼·刷马",nTime=300,key="黑龙沼",},</t>
  </si>
  <si>
    <t>南宫麒：随着暮色降临，扬州、五毒、明教、苍云、战乱天策魂虚场景中的魂灵变得活跃起来，各位方士不妨出魂一探究竟，说不定有意外收获！\n</t>
  </si>
  <si>
    <t>{nClass=20,nIcon=16565,nFrame=5,szName="方士·扬州|五毒|明教",nTime=15,key="方士·开启1",},</t>
  </si>
  <si>
    <t>{nClass=20,nIcon=16565,nFrame=5,szName="方士·苍云|战乱·天策",nTime=15,key="方士·开启2",},</t>
  </si>
  <si>
    <t>小马驹的饱食度好像不够了，请及时补充草料。\n</t>
  </si>
  <si>
    <t>{nClass=20,nIcon=219,nFrame=6,szName="该给小马驹补充草料了",nTime=15,nRefresh=600,key="马驹·饱食",},</t>
  </si>
  <si>
    <t>隐元密报：狼牙军即将押送颜氏老妇到内城西市法场斩首示众！颜氏一门满门忠烈，还望各路侠士即刻前往搭救！\n</t>
  </si>
  <si>
    <t>{nClass=20,nIcon=3320,nFrame=0,szName="长安城·搭救颜老太太",nTime=10,key="系统事件",},</t>
  </si>
  <si>
    <t>交易行私货正在拍卖九寨沟·镜海7200平【万年金券】，侠士们切勿错过！\n</t>
  </si>
  <si>
    <t>{nClass=20,nIcon=11432,nFrame=0,szName="私货·九寨沟·镜海·万年金券",nTime=10,key="私货",},</t>
  </si>
  <si>
    <t>交易行私货正在拍卖广陵邑7200平【园宅置业·天苑】，侠士们切勿错过！\n</t>
  </si>
  <si>
    <t>{nClass=20,nIcon=12461,nFrame=0,szName="私货·广陵邑·天苑·园宅置业",nTime=10,key="私货",},</t>
  </si>
  <si>
    <t>帮会领地唱晚池突现异常，各类鱼儿异常活跃，鱼儿上钩时间大大缩短！各路已满80级的侠士可前往一试，定能收获不菲。\n</t>
  </si>
  <si>
    <t>{nClass=20,nIcon=2678,nFrame=6,szName="帮会钓鱼活动·开启",nTime=15,nRefresh=1,key="帮会钓鱼",},</t>
  </si>
  <si>
    <t>(.*)已经添加你为敌对，将在5秒后对你开启战斗。</t>
  </si>
  <si>
    <t>{$1}·仇敌</t>
  </si>
  <si>
    <t>{nClass=20,nIcon=20116,nFrame=5,szName="{$1}·添加你为仇敌",nTime=10,key="仇敌",},</t>
  </si>
  <si>
    <t>江湖快报！卫栖梧正在寻找绝世轻功之人，其友[唐文羽]已在少林举办梅花桩试炼大赛，望广大轻功能人速来少林参赛！\n</t>
  </si>
  <si>
    <t>扶摇九天·开启</t>
  </si>
  <si>
    <t>{nClass=20,nIcon=12372,nFrame=3,szName="少林·扶摇九天·开启",nTime=20,key="扶摇九天",},</t>
  </si>
  <si>
    <t>关闭阵营模式失败。\n</t>
  </si>
  <si>
    <t>{nClass=20,nIcon=3536,nFrame=4,szName="阵营模式",nTime=0,key="阵营模式",},</t>
  </si>
  <si>
    <t>{nClass=20,nIcon=3536,nFrame=5,szName="关闭阵营剩余",nTime=0,key="关闭阵营剩余",},</t>
  </si>
  <si>
    <t>{nClass=20,nIcon=3536,nFrame=3,szName="关闭阵营模式失败",nTime=2,nRefresh=600,key="关阵营·失败提示1",},</t>
  </si>
  <si>
    <t>关闭阵营模式剩余时间：5分钟。\n</t>
  </si>
  <si>
    <t>{nClass=20,nIcon=13,nFrame=4,szName="关闭阵营模式",nTime=300,key="阵营模式",},</t>
  </si>
  <si>
    <t>关闭阵营模式剩余时间：4分钟。\n</t>
  </si>
  <si>
    <t>{nClass=20,nIcon=13,nFrame=4,szName="关闭阵营模式",nTime=240,key="阵营模式",},</t>
  </si>
  <si>
    <t>关闭阵营模式剩余时间：3分钟。\n</t>
  </si>
  <si>
    <t>{nClass=20,nIcon=13,nFrame=4,szName="关闭阵营模式",nTime=180,key="阵营模式",},</t>
  </si>
  <si>
    <t>关闭阵营模式剩余时间：2分钟。\n</t>
  </si>
  <si>
    <t>{nClass=20,nIcon=13,nFrame=4,szName="关闭阵营模式",nTime=120,key="阵营模式",},</t>
  </si>
  <si>
    <t>关闭阵营模式剩余时间：1分钟。\n</t>
  </si>
  <si>
    <t>{nClass=20,nIcon=13,nFrame=4,szName="关闭阵营模式",nTime=60.2,key="阵营模式",},</t>
  </si>
  <si>
    <t>^密探来报：\"(.-)\"(.-)出现在(跨服烂柯山)[前尘影事]-[“]-([峥嵘振武]-)[”]-([主分线]-)，</t>
  </si>
  <si>
    <t>世界首领·出现</t>
  </si>
  <si>
    <t>{nClass=20,nIcon=17135,nFrame=3,szName="{$1}·{$2}·{$3}·{$5}{$4}",nTime=20,nRefresh=60,key="世界首领",},</t>
  </si>
  <si>
    <t>江湖急报：巴陵县出现罕见异兽，请深通驭兽秘术之侠客前往收服，以解百姓之忧。\n</t>
  </si>
  <si>
    <t>巴陵御兽·开启</t>
  </si>
  <si>
    <t>{nClass=20,nIcon=17135,nFrame=3,szName="巴陵·御兽挑战·开启",nTime=10,key="巴陵县御兽挑战",},</t>
  </si>
  <si>
    <t>阴山商路运输物资成功开启！请帮会有权限的侠士到黑戈壁帮会物资主簿处申请成为运货首领开始运送！\n</t>
  </si>
  <si>
    <t>阴山商路·开启</t>
  </si>
  <si>
    <t>{nClass=20,nIcon=17135,nFrame=0,szName="阴山商路·帮会大跑商·开启",nTime=10,nRefresh=3600,key="阴山商路",},</t>
  </si>
  <si>
    <t>你成功关闭了阵营模式。\n</t>
  </si>
  <si>
    <t>{nClass=20,nIcon=3536,nFrame=5,szName="阵营模式",nTime=0,key="阵营模式",},</t>
  </si>
  <si>
    <t>{nClass=20,nIcon=3536,nFrame=5,szName="关阵营·失败提示1",nTime=0,key="关阵营·失败提示1",},</t>
  </si>
  <si>
    <t>{nClass=20,nIcon=3536,nFrame=5,szName="关阵营·失败提示2",nTime=0,key="关阵营·失败提示2",},</t>
  </si>
  <si>
    <t>你的师父婉拒了你的召请。\n</t>
  </si>
  <si>
    <t>{nClass=20,nIcon=17135,nFrame=5,szName="师傅·婉拒召请",nTime=2,key="师徒·召请",},</t>
  </si>
  <si>
    <t>你的徒弟婉拒了你的召请。\n</t>
  </si>
  <si>
    <t>{nClass=20,nIcon=17135,nFrame=5,szName="徒弟·婉拒召请",nTime=2,key="师徒·召请",},</t>
  </si>
  <si>
    <t>援助关系绑定成功，退队可主动解除，但会受到一定惩罚。若对方离线，主动退队解除关系将不受惩罚。\n</t>
  </si>
  <si>
    <t>援助·已绑定</t>
  </si>
  <si>
    <t>{nClass=20,nIcon=17135,nFrame=0,szName="援助·已绑定",nTime=10,key="援助",},</t>
  </si>
  <si>
    <t>您的宠物已消除忧虑，变得活泼欢快。\n</t>
  </si>
  <si>
    <t>宠物已消除忧虑</t>
  </si>
  <si>
    <t>已切换到“摁键发言”模式，</t>
  </si>
  <si>
    <t>麦克风·摁键发言</t>
  </si>
  <si>
    <t>{nClass=20,nIcon=13308,nFrame=5,szName="麦克风·摁键发言",nTime=2,key="麦克风",},</t>
  </si>
  <si>
    <t>该玩家不存在。\n</t>
  </si>
  <si>
    <t>{nClass=20,nIcon=2116,nFrame=6,szName="该玩家不存在",nTime=5,key="社交",},</t>
  </si>
  <si>
    <t>对方不在线。\n</t>
  </si>
  <si>
    <t>{nClass=20,nIcon=2116,nFrame=6,szName="对方不在线",nTime=5,key="社交",},</t>
  </si>
  <si>
    <t>你已进入地图</t>
  </si>
  <si>
    <t>{nClass=20,nIcon=13,nFrame=5,szName="金水镇",nTime=-2,key="金水镇",},</t>
  </si>
  <si>
    <t>{nClass=20,nIcon=13,nFrame=5,szName="巴陵县",nTime=-2,key="巴陵县",},</t>
  </si>
  <si>
    <t>{nClass=20,nIcon=13,nFrame=5,szName="龙门荒漠",nTime=-2,key="龙门荒漠",},</t>
  </si>
  <si>
    <t>{nClass=20,nIcon=13,nFrame=5,szName="南屏山",nTime=-2,key="南屏山",},</t>
  </si>
  <si>
    <t>{nClass=20,nIcon=13,nFrame=5,szName="昆仑",nTime=-2,key="昆仑",},</t>
  </si>
  <si>
    <t>{nClass=20,nIcon=13,nFrame=5,szName="白龙口",nTime=-2,key="白龙口",},</t>
  </si>
  <si>
    <t>{nClass=20,nIcon=13,nFrame=5,szName="无量山",nTime=-2,key="无量山",},</t>
  </si>
  <si>
    <t>{nClass=20,nIcon=13,nFrame=5,szName="黑龙沼",nTime=-2,key="黑龙沼",},</t>
  </si>
  <si>
    <t>{nClass=20,nIcon=13,nFrame=5,szName="阴山大草原",nTime=-2,key="阴山大草原",},</t>
  </si>
  <si>
    <t>{nClass=20,nIcon=13,nFrame=5,szName="黑戈壁",nTime=-2,key="黑戈壁",},</t>
  </si>
  <si>
    <t>{nClass=20,nIcon=13,nFrame=5,szName="鲲鹏岛",nTime=-2,key="鲲鹏岛",},</t>
  </si>
  <si>
    <t>{nClass=20,nIcon=1465,nFrame=-1,szName="　",nTime=0.001,nRefresh=2,key="炊事",},</t>
  </si>
  <si>
    <t>{nClass=20,nIcon=13,nFrame=5,szName="炊事",nTime=-1,key="炊事",},</t>
  </si>
  <si>
    <t>{nClass=20,nIcon=1465,nFrame=-1,szName="　",nTime=0.001,nRefresh=3,key="骑御·劲足",},</t>
  </si>
  <si>
    <t>{nClass=20,nIcon=13,nFrame=5,szName="骑御·劲足",nTime=-1,key="骑御·劲足",},</t>
  </si>
  <si>
    <t>{nClass=20,nIcon=1465,nFrame=-1,szName="　",nTime=0.001,nRefresh=3,key="骑御·调息",},</t>
  </si>
  <si>
    <t>{nClass=20,nIcon=13,nFrame=5,szName="骑御·调息",nTime=-1,key="骑御·调息",},</t>
  </si>
  <si>
    <t>^本日还能从本事件获得(%d-)贡献度的奖励。</t>
  </si>
  <si>
    <t>{nClass=20,nIcon=13,nFrame=7,szName="贡献度上限剩余·{$1}",nTime=15,key="公共事件·结算",},</t>
  </si>
  <si>
    <t>^%[(.-)%]：(%d+)/(%d%d)\n</t>
  </si>
  <si>
    <t>{nClass=20,nIcon=15678,nFrame=6,szName="{$1}·{$2}/{$3}",nTime=5,key="成就进度",},</t>
  </si>
  <si>
    <t>([浩气恶人]+)[盟谷]-的【(.-)】帮会成功占领【(.-)】据点！</t>
  </si>
  <si>
    <t>{$3}·{$1}占领</t>
  </si>
  <si>
    <t>{nClass=20,nIcon=20114,nFrame=3,szName="【{$3}】·恶人占领",nTime=30,nRefresh=1,key="{$3}·浩气占领",},</t>
  </si>
  <si>
    <t>{nClass=20,nIcon=20122,nFrame=7,szName="【{$3}】·浩气占领",nTime=30,nRefresh=1,key="{$3}·恶人占领",},</t>
  </si>
  <si>
    <t>{nClass=20,nIcon=2400,nFrame=7,szName="{$3}·{$1}占领",nTime=-1,key="{$3}·{$1}占领",},</t>
  </si>
  <si>
    <t>留下大量军功，请“浩气盟”侠士们前来拾取，切莫错过。</t>
  </si>
  <si>
    <t>{nClass=20,nIcon=2397,nFrame=5,szName="浩气盟·拾取首领掉落",nTime="300,浩气盟·拾取首领掉落;600,狼牙先锋首领·5分钟刷新;622,狼牙先锋首领·即将刷新",nRefresh=1,key="狼牙先锋首领",},</t>
  </si>
  <si>
    <t>留下大量军功，请“恶人谷”侠士们前来拾取，切莫错过。</t>
  </si>
  <si>
    <t>{nClass=20,nIcon=2398,nFrame=3,szName="恶人谷·拾取首领掉落",nTime="300,恶人谷·拾取首领掉落;600,狼牙先锋首领·5分钟刷新;622,狼牙先锋首领·即将刷新",nRefresh=1,key="狼牙先锋首领",},</t>
  </si>
  <si>
    <t>本场贡献值进入前1200名，额外获得3000威名，可通过邮件领取\n</t>
  </si>
  <si>
    <t>{nClass=20,nIcon=3536,nFrame=6,szName="攻防进入前1200名",nTime=10,key="攻防活动",},</t>
  </si>
  <si>
    <t>据点争夺已结束，所有交通已恢复。\n</t>
  </si>
  <si>
    <t>据点攻防·已结束</t>
  </si>
  <si>
    <t>{nClass=20,nIcon=3536,nFrame=3,szName="据点攻防结束",nTime=5,key="攻防活动",},</t>
  </si>
  <si>
    <t>{nClass=20,nIcon=3556,nFrame=3,szName="狼牙先锋首领",nTime=0,key="狼牙先锋首领",},</t>
  </si>
  <si>
    <t>浩气盟前线战况空前激烈！未能进入浩气盟前线据点争夺场景参与战斗的侠士，可前往黑戈壁助本阵营后方物资运送一臂之力！只需完成增援任务，也可以参与本日逐鹿中原结算奖励发放。\n</t>
  </si>
  <si>
    <t>{nClass=20,nIcon=18784,nFrame=7,szName="浩气盟·小攻防·黑戈壁分流",nTime=30,nRefresh=3600,key="浩气盟·小攻防·黑戈壁分流",},</t>
  </si>
  <si>
    <t>恶人谷前线战况空前激烈！未能进入恶人谷前线据点争夺场景参与战斗的侠士，可前往黑戈壁助本阵营后方物资运送一臂之力！只需完成增援任务，也可以参与本日逐鹿中原结算奖励发放。\n</t>
  </si>
  <si>
    <t>{nClass=20,nIcon=18783,nFrame=3,szName="恶人谷·小攻防·黑戈壁分流",nTime=30,nRefresh=3600,key="恶人谷·小攻防·黑戈壁分流",},</t>
  </si>
  <si>
    <t>阴山大草原·分线据点争夺正式开始，场景内交通已中断。\n</t>
  </si>
  <si>
    <t>{nClass=20,nIcon=3536,nFrame=3,szName="小攻防·阴山大草原·分流",nTime=10,nRefresh=3600,key="小攻防·阴山大草原·分流",},</t>
  </si>
  <si>
    <t>前线战况空前激烈！未能进入前线据点争夺场景参与战斗的侠士，可前往阴山大草原助本阵营后方物资运送一臂之力！只需完成增援任务，也可以参与本日逐鹿中原结算奖励发放。\n</t>
  </si>
  <si>
    <t>逐鹿中原前线战况空前激烈，位于阴山大草原的分线据点争夺将于5分钟后开启！未能进入前线据点争夺场景的侠士可从沙盘地图（Ctrl + M）动态分线入口，或主城战场区小曾和小珍处进入分线场景。\n</t>
  </si>
  <si>
    <t>前线据点之争已经打响，争夺正式开始，沙盘地图（CTRL + M）绘有详细战略意图，谁将称霸中原，我们拭目以待！\n</t>
  </si>
  <si>
    <t>据点攻防·正式开始</t>
  </si>
  <si>
    <t>{nClass=20,nIcon=3536,nFrame=0,szName="据点攻防·正式开始",nTime=10,nRefresh=1,key="攻防活动",},</t>
  </si>
  <si>
    <t>攻防排队即将开始，为公平起见，对排队做了清空处理，请侠士速速重新排队。</t>
  </si>
  <si>
    <t>{nClass=20,nIcon=3536,nFrame=0,szName="攻防排队·失效",nTime=2,key="攻防活动",},</t>
  </si>
  <si>
    <t>据点争夺战即将开始，为防弄虚作假者，即将对据点活动地图进行清场操作，请各阵营侠士做好准备。拥有据点地图优先进入权的帮众可提前进入地图以作防守准备，不会被清出地图。\n</t>
  </si>
  <si>
    <t>{nClass=20,nIcon=3536,nFrame=0,szName="据点争夺战·开始排队",nTime=10,key="攻防活动",},</t>
  </si>
  <si>
    <t>{nClass=-1,nIcon=439,nFrame=0,szName="60,小攻防排队正式开始;180,小攻防据点清场;480,等待放人",nTime=0,},</t>
  </si>
  <si>
    <t>阵营攻防首领战奇袭场分线已经开启，现可前往本日奇袭场分线参与争夺，也可通过主城战场区分线接引人前往各个奇袭场分线参与。\n</t>
  </si>
  <si>
    <t>{nClass=20,nIcon=3536,nFrame=3,szName="攻防·奇袭场·分线·开启",nTime=10,nRefresh=7200,key="大攻防·分流",},</t>
  </si>
  <si>
    <t>阵营攻防排队正式开始，侠士们速速前往恶人谷地图参与排队，亦可与主城战场的冷倪之、冷允之对话进行排队。\n</t>
  </si>
  <si>
    <t>{nClass=20,nIcon=14889,nFrame=3,szName="阵营攻防排队·正式开始",nTime=60,key="攻防活动",},</t>
  </si>
  <si>
    <t>{nClass=20,nIcon=17582,nFrame=3,szName="主战场·恶人谷",nTime=60,key="大攻防·主战场",},</t>
  </si>
  <si>
    <t>{nClass=20,nIcon=17583,nFrame=7,szName="奇袭场·浩气盟",nTime=60,key="大攻防·奇袭场",},</t>
  </si>
  <si>
    <t>阵营攻防排队正式开始，侠士们速速前往浩气盟地图参与排队，亦可与主城战场的冷倪之、冷允之对话进行排队。\n</t>
  </si>
  <si>
    <t>{nClass=20,nIcon=14890,nFrame=7,szName="阵营攻防排队·正式开始",nTime=60,key="攻防活动",},</t>
  </si>
  <si>
    <t>{nClass=20,nIcon=17583,nFrame=7,szName="主战场·浩气盟",nTime=60,key="大攻防·主战场",},</t>
  </si>
  <si>
    <t>{nClass=20,nIcon=17582,nFrame=3,szName="奇袭场·恶人谷",nTime=60,key="大攻防·奇袭场",},</t>
  </si>
  <si>
    <t>阵营攻防战即将开始，为防弄虚作假者，即将对“恶人谷”地图进行清场操作，并在“下午六点三十分”开始攻防排队，请侠士们做好准备。请勿在下午六点三十分前排队，将被视为无效。\n</t>
  </si>
  <si>
    <t>{nClass=20,nIcon=14887,nFrame=0,bHold=true,szName="阵营攻防·恶人谷·18:30排队",nTime=600,key="攻防活动",},</t>
  </si>
  <si>
    <t>阵营攻防战即将开始，为防弄虚作假者，即将对“恶人谷”地图进行清场操作，并在“中午十二点三十分”开始攻防排队，请侠士们做好准备。请勿在中午十二点三十分前排队，将被视为无效。\n</t>
  </si>
  <si>
    <t>{nClass=20,nIcon=14887,nFrame=0,bHold=true,szName="阵营攻防·恶人谷·12:30排队",nTime=600,key="攻防活动",},</t>
  </si>
  <si>
    <t>阵营攻防战即将开始，为防弄虚作假者，即将对“浩气盟”地图进行清场操作，并在“下午六点三十分”开始攻防排队，请侠士们做好准备。请勿在下午六点三十分前排队，将被视为无效。\n</t>
  </si>
  <si>
    <t>{nClass=20,nIcon=14888,nFrame=0,bHold=true,szName="阵营攻防·浩气盟·18:30排队",nTime=600,key="攻防活动",},</t>
  </si>
  <si>
    <t>阵营攻防战即将开始，为防弄虚作假者，即将对“浩气盟”地图进行清场操作，并在“中午十二点三十分”开始攻防排队，请侠士们做好准备。请勿在中午十二点三十分前排队，将被视为无效。\n</t>
  </si>
  <si>
    <t>{nClass=20,nIcon=14888,nFrame=0,bHold=true,szName="阵营攻防·浩气盟·12:30排队",nTime=600,key="攻防活动",},</t>
  </si>
  <si>
    <t>为保障各位侠士的安全，浩气盟和恶人谷重新派出了守卫，在野外地图侠士重伤后复活可回到阵营复活点！\n</t>
  </si>
  <si>
    <t>{nClass=20,nIcon=3536,nFrame=0,szName="",nTime="30,阵营玩家复活点改为阵营复活点;600,据点攻防排队剩余18分钟;1200,据点攻防排队剩余8分钟;1380,据点攻防排队剩余5分钟;1440,据点攻防排队剩余4分钟;1500,据点攻防排队剩余3分钟;1560,据点攻防排队剩余2分钟;1620,据点攻防排队剩余60秒;1670,据点攻防排队剩余10秒;1680,据点攻防开始排队;1800,据点攻防清场剩余;3600,据点攻防正式开始剩余",nRefresh=2,key="攻防活动",},</t>
  </si>
  <si>
    <t>在《浪客行》中闯过六个关卡</t>
  </si>
  <si>
    <t>{nClass=20,nIcon=13,nFrame=5,szName="关闭阵营剩余",nTime=0,key="关闭阵营剩余",},</t>
  </si>
  <si>
    <t>{nClass=20,nIcon=13,nFrame=2,szName="【鲲鹏岛】刷马",nTime=0,key="【鲲鹏岛】刷马",},</t>
  </si>
  <si>
    <t>{nClass=20,nIcon=13,nFrame=2,szName="【黑戈壁】刷马",nTime=0,key="【黑戈壁】刷马",},</t>
  </si>
  <si>
    <t>{nClass=20,nIcon=13,nFrame=2,szName="【阴山】刷马",nTime=0,key="【阴山】刷马",},</t>
  </si>
  <si>
    <t>{nClass=20,nIcon=13,nFrame=5,szName="【黑龙沼】刷马",nTime=0,key="【黑龙沼】刷马",},</t>
  </si>
  <si>
    <t>{nClass=20,nIcon=13,nFrame=5,szName="【南屏山】刷马",nTime=0,key="【南屏山】刷马",},</t>
  </si>
  <si>
    <t>{nClass=20,nIcon=13,nFrame=5,szName="【昆仑】刷马",nTime=0,key="【昆仑】刷马",},</t>
  </si>
  <si>
    <t>{nClass=20,nIcon=13,nFrame=5,szName="【无量山】刷马",nTime=0,key="【无量山】刷马",},</t>
  </si>
  <si>
    <t>{nClass=20,nIcon=13,nFrame=5,szName="【白龙口】刷马",nTime=0,key="【白龙口】刷马",},</t>
  </si>
  <si>
    <t>{nClass=20,nIcon=13,nFrame=5,szName="【龙门荒漠】刷马",nTime=0,key="【龙门荒漠】刷马",},</t>
  </si>
  <si>
    <t>{nClass=20,nIcon=13,nFrame=5,szName="【金水镇】刷马",nTime=0,key="【金水镇】刷马",},</t>
  </si>
  <si>
    <t>{nClass=20,nIcon=13,nFrame=5,szName="【巴陵县】刷马",nTime=0,key="【巴陵县】刷马",},</t>
  </si>
  <si>
    <t>{nClass=20,nIcon=582,nFrame=5,szName="绣球花",nTime=0,key="绣球花",},</t>
  </si>
  <si>
    <t>{nClass=20,nIcon=360,nFrame=5,szName="郁金香",nTime=0,key="郁金香",},</t>
  </si>
  <si>
    <t>{nClass=20,nIcon=360,nFrame=5,szName="牵牛花",nTime=0,key="牵牛花",},</t>
  </si>
  <si>
    <t>{nClass=20,nIcon=13,nFrame=-1,szName="",nTime=0.01,nRefresh=99999,key="玩家打断技能",},</t>
  </si>
  <si>
    <t>{nClass=20,nIcon=13,nFrame=-1,szName="",nTime=0.01,nRefresh=99999,key="玩家击退技能",},</t>
  </si>
  <si>
    <t>{nClass=20,nIcon=13,nFrame=-1,szName="",nTime=0.01,nRefresh=99999,key="玩家驱友技能",},</t>
  </si>
  <si>
    <t>{nClass=20,nIcon=13,nFrame=-1,szName="",nTime=0.01,nRefresh=99999,key="玩家驱敌技能",},</t>
  </si>
  <si>
    <t>{nClass=20,nIcon=13,nFrame=-1,szName="",nTime=0.01,nRefresh=99999,key="玩家无仇技能",},</t>
  </si>
  <si>
    <t>{nClass=20,nIcon=13,nFrame=5,szName="金水镇",nTime=0,key="金水镇",},</t>
  </si>
  <si>
    <t>{nClass=20,nIcon=13,nFrame=5,szName="巴陵县",nTime=0,key="巴陵县",},</t>
  </si>
  <si>
    <t>{nClass=20,nIcon=13,nFrame=5,szName="龙门荒漠",nTime=0,key="龙门荒漠",},</t>
  </si>
  <si>
    <t>{nClass=20,nIcon=13,nFrame=5,szName="南屏山",nTime=0,key="南屏山",},</t>
  </si>
  <si>
    <t>{nClass=20,nIcon=13,nFrame=5,szName="昆仑",nTime=0,key="昆仑",},</t>
  </si>
  <si>
    <t>{nClass=20,nIcon=13,nFrame=5,szName="白龙口",nTime=0,key="白龙口",},</t>
  </si>
  <si>
    <t>{nClass=20,nIcon=13,nFrame=5,szName="无量山",nTime=0,key="无量山",},</t>
  </si>
  <si>
    <t>{nClass=20,nIcon=13,nFrame=5,szName="黑龙沼",nTime=0,key="黑龙沼",},</t>
  </si>
  <si>
    <t>{nClass=20,nIcon=13,nFrame=5,szName="阴山大草原",nTime=0,key="阴山大草原",},</t>
  </si>
  <si>
    <t>{nClass=20,nIcon=13,nFrame=5,szName="黑戈壁",nTime=0,key="黑戈壁",},</t>
  </si>
  <si>
    <t>{nClass=20,nIcon=13,nFrame=5,szName="鲲鹏岛",nTime=0,key="鲲鹏岛",},</t>
  </si>
  <si>
    <t>{nClass=20,nIcon=13,nFrame=-1,szName="",nTime=0.01,nRefresh=99999,key="打断监控",},</t>
  </si>
  <si>
    <t>{nClass=20,nIcon=13,nFrame=-1,szName="",nTime=0.01,nRefresh=99999,key="无威胁监控",},</t>
  </si>
  <si>
    <t>{nClass=20,nIcon=13,nFrame=-1,szName="",nTime=0.01,nRefresh=99999,key="驱散监控",},</t>
  </si>
  <si>
    <t>{nClass=20,nIcon=13,nFrame=5,szName="打断监控",nTime=-1,key="打断监控",},</t>
  </si>
  <si>
    <t>{nClass=20,nIcon=13,nFrame=5,szName="无威胁监控",nTime=-1,key="无威胁监控",},</t>
  </si>
  <si>
    <t>{nClass=20,nIcon=13,nFrame=5,szName="驱散监控",nTime=-1,key="驱散监控",},</t>
  </si>
  <si>
    <t>{nClass=20,nIcon=2758,nFrame=5,szName="宠物存在",nTime=-1,key="宠物存在",},</t>
  </si>
  <si>
    <t>{nClass=20,nIcon=582,nFrame=2,szName="注意·检查分配",nTime=15,key="绣球花",},</t>
  </si>
  <si>
    <t>{nClass=20,nIcon=360,nFrame=2,szName="记得食用·帮会外食",nTime=20.1,key="郁金香",},</t>
  </si>
  <si>
    <t>{nClass=20,nIcon=360,nFrame=2,szName="记得食用·帮会外食",nTime=20.1,key="牵牛花",},</t>
  </si>
  <si>
    <t>{nClass=20,nIcon=13,nFrame=5,szName="玩家驱友技能",nTime=-1,key="玩家驱友技能",},</t>
  </si>
  <si>
    <t>{nClass=20,nIcon=13,nFrame=5,szName="玩家打断技能",nTime=-1,key="玩家打断技能",},</t>
  </si>
  <si>
    <t>{nClass=20,nIcon=13,nFrame=5,szName="玩家击退技能",nTime=-1,key="玩家击退技能",},</t>
  </si>
  <si>
    <t>{nClass=20,nIcon=13,nFrame=5,szName="玩家驱敌技能",nTime=-1,key="玩家驱敌技能",},</t>
  </si>
  <si>
    <t>{nClass=20,nIcon=13,nFrame=5,szName="玩家无仇技能",nTime=-1,key="玩家无仇技能",},</t>
  </si>
  <si>
    <t>{nClass=20,nIcon=13,nFrame=5,szName="1号战前提示",nTime=0,key="1号战前提示",},</t>
  </si>
  <si>
    <t>{nClass=20,nIcon=13,nFrame=5,szName="2号战前提示",nTime=0,key="2号战前提示",},</t>
  </si>
  <si>
    <t>{nClass=20,nIcon=13,nFrame=5,szName="3号战前提示",nTime=0,key="3号战前提示",},</t>
  </si>
  <si>
    <t>{nClass=20,nIcon=13,nFrame=5,szName="4号战前提示",nTime=0,key="4号战前提示",},</t>
  </si>
  <si>
    <t>{nClass=20,nIcon=13,nFrame=5,szName="5号战前提示",nTime=0,key="5号战前提示",},</t>
  </si>
  <si>
    <t>{nClass=20,nIcon=13,nFrame=5,szName="6号战前提示",nTime=0,key="6号战前提示",},</t>
  </si>
  <si>
    <t>侠士可前</t>
  </si>
  <si>
    <t>屏蔽·的卢·诛恶</t>
  </si>
  <si>
    <t>^的卢[将于]*([不久之后出现]*)[已经出现]*[在]*(.-)[中]*，.-[！]+</t>
  </si>
  <si>
    <t>的卢·刷新</t>
  </si>
  <si>
    <t>{nClass=20,nIcon=21034,nFrame=3,szName="的卢·{$1}{$2}",nTime=10,key="的卢",},</t>
  </si>
  <si>
    <t>^诛恶事件触发！(.*)众侠士可前往【(.*)】一探究竟。\n</t>
  </si>
  <si>
    <t>{nClass=20,nIcon=334,nFrame=3,szName="诛恶事件·{$2}",nTime=10,key="诛恶事件",},</t>
  </si>
  <si>
    <t>{nClass=20,nIcon=582,nFrame=2,szName="绣球花",nTime=0,key="绣球花",},</t>
  </si>
  <si>
    <t>{nClass=20,nIcon=2758,nFrame=-1,szName="",nTime=0.01,nRefresh=2,key="宠物存在",},</t>
  </si>
  <si>
    <t>[%[帮会%]]*%[(.-)%]([加入了本帮会被移出被踢出]+)[^团队][。]+</t>
  </si>
  <si>
    <t>{nClass=20,nIcon=13,nFrame=5,szName="【鲲鹏岛】刷马",nTime=0,key="【鲲鹏岛】刷马",},</t>
  </si>
  <si>
    <t>{nClass=20,nIcon=13,nFrame=5,szName="【黑戈壁】刷马",nTime=0,key="【黑戈壁】刷马",},</t>
  </si>
  <si>
    <t>{nClass=20,nIcon=13,nFrame=5,szName="【阴山】刷马",nTime=0,key="【阴山】刷马",},</t>
  </si>
  <si>
    <t>{nClass=20,nIcon=13,nFrame=5,szName="藏宝洞剩余时间",nTime=0,key="藏宝洞剩余时间",},</t>
  </si>
  <si>
    <t>{nClass=20,nIcon=13,nFrame=5,szName="送花·CD",nTime=0,key="送花·CD",},</t>
  </si>
  <si>
    <t>{nClass=20,nIcon=13,nFrame=5,szName="玩家打断技能",nTime=0,key="玩家打断技能",},</t>
  </si>
  <si>
    <t>{nClass=20,nIcon=13,nFrame=5,szName="玩家击退技能",nTime=0,key="玩家击退技能",},</t>
  </si>
  <si>
    <t>{nClass=20,nIcon=13,nFrame=5,szName="玩家驱友技能",nTime=0,key="玩家驱友技能",},</t>
  </si>
  <si>
    <t>{nClass=20,nIcon=13,nFrame=-1,szName="玩家驱敌技能",nTime=0,key="玩家驱敌技能",},</t>
  </si>
  <si>
    <t>{nClass=20,nIcon=13,nFrame=-1,szName="玩家无仇技能",nTime=0,key="玩家无仇技能",},</t>
  </si>
  <si>
    <t>侠客晶石\n</t>
  </si>
  <si>
    <t>{nClass=20,nIcon=904,nFrame=5,szName="KEY·左旋右转",nTime=0,key="KEY·左旋右转",},</t>
  </si>
  <si>
    <t>{nClass=20,nIcon=904,nFrame=-1,szName="",nTime=0.001,nRefresh=60,key="KEY·左旋右转",},</t>
  </si>
  <si>
    <t>{nClass=20,nIcon=904,nFrame=5,szName="KEY·左旋右转",nTime=-1,nRefresh=60,key="KEY·左旋右转",},</t>
  </si>
  <si>
    <t>{nClass=20,nIcon=15692,nFrame=5,szName="KEY·飘黄",nTime=0,key="KEY·飘黄",},</t>
  </si>
  <si>
    <t>{nClass=20,nIcon=15692,nFrame=-1,szName="",nTime=0.001,nRefresh=80,key="KEY·飘黄",},</t>
  </si>
  <si>
    <t>{nClass=20,nIcon=15692,nFrame=5,szName="KEY·飘黄",nTime=-1,nRefresh=80,key="KEY·飘黄",},</t>
  </si>
  <si>
    <t>{nClass=20,nIcon=2744,nFrame=5,szName="KEY·蛊惑众生",nTime=0,key="KEY·蛊惑众生",},</t>
  </si>
  <si>
    <t>{nClass=20,nIcon=403,nFrame=5,szName="KEY·秋肃",nTime=0,key="KEY·秋肃",},</t>
  </si>
  <si>
    <t>[剑心插件]已重置团队技能监控CD。\n</t>
  </si>
  <si>
    <t>你已接受了[大战！</t>
  </si>
  <si>
    <t>{nClass=20,nIcon=360,nFrame=2,szName="记得打包·帮会外食",nTime=20,key="大战·打包外食1",},</t>
  </si>
  <si>
    <t>{nClass=20,nIcon=360,nFrame=2,szName="记得打包·帮会外食",nTime=20,key="大战·打包外食2",},</t>
  </si>
  <si>
    <t>你已接受了[江湖秘闻]。\n</t>
  </si>
  <si>
    <t>{nClass=20,nIcon=17135,nFrame=5,szName="选项1帮会+选项4门派合并为正确答案",nTime=15,key="茶馆·提示0",},</t>
  </si>
  <si>
    <t>你已接受了[公平交易·阳羡茶]。\n</t>
  </si>
  <si>
    <t>{nClass=20,nIcon=1260,nFrame=5,szName="阳羡茶·大黄",nTime=10,key="茶馆·交易",},</t>
  </si>
  <si>
    <t>你已接受了[公平交易·仙人掌茶]。\n</t>
  </si>
  <si>
    <t>{nClass=20,nIcon=659,nFrame=5,szName="仙人掌茶·碎肉",nTime=10,key="茶馆·交易",},</t>
  </si>
  <si>
    <t>你已接受了[公平交易·庐山云雾茶]。\n</t>
  </si>
  <si>
    <t>{nClass=20,nIcon=1258,nFrame=5,szName="庐山云雾茶·锡矿·杂碎",nTime=10,key="茶馆·交易",},</t>
  </si>
  <si>
    <t>你已接受了[公平交易·方山露芽]。\n</t>
  </si>
  <si>
    <t>{nClass=20,nIcon=1257,nFrame=5,szName="方山露芽·甘草·精肉",nTime=10,key="茶馆·交易",},</t>
  </si>
  <si>
    <t>你已接受了[公平交易·霍山黄芽]。\n</t>
  </si>
  <si>
    <t>{nClass=20,nIcon=1259,nFrame=5,szName="霍山黄芽·铜矿",nTime=10,key="茶馆·交易",},</t>
  </si>
  <si>
    <t>你已接受了[品茶鉴水·峨眉白芽]。\n</t>
  </si>
  <si>
    <t>{nClass=20,nIcon=1400,nFrame=5,szName="峨眉白芽·灵山妙雨",nTime=10,key="茶馆·泡茶",},</t>
  </si>
  <si>
    <t>你已接受了[品茶鉴水·仙崖石花]。\n</t>
  </si>
  <si>
    <t>{nClass=20,nIcon=942,nFrame=5,szName="仙崖石花·翠竹朝露",nTime=10,key="茶馆·泡茶",},</t>
  </si>
  <si>
    <t>你已接受了[品茶鉴水·顾渚紫笋]。\n</t>
  </si>
  <si>
    <t>{nClass=20,nIcon=255,nFrame=5,szName="顾渚紫笋·阳崖云泉",nTime=10,key="茶馆·泡茶",},</t>
  </si>
  <si>
    <t>你已接受了[品茶鉴水·西山白露]。\n</t>
  </si>
  <si>
    <t>{nClass=20,nIcon=238,nFrame=5,szName="西山白露·无香真水",nTime=10,key="茶馆·泡茶",},</t>
  </si>
  <si>
    <t>你已接受了[品茶鉴水·蒙顶石花]。\n</t>
  </si>
  <si>
    <t>{nClass=20,nIcon=965,nFrame=5,szName="蒙顶石花·月鸿仙泉",nTime=10,key="茶馆·泡茶",},</t>
  </si>
  <si>
    <t>你已接受了[潜行狙击]。\n</t>
  </si>
  <si>
    <t>{nClass=20,nIcon=770,nFrame=5,szName="骑马跟随",nTime=15,key="茶馆·提示0",},</t>
  </si>
  <si>
    <t>{nClass=20,nIcon=16565,nFrame=5,szName="方士·扬州|五毒|明教",nTime=15,key="方士·提示1",},</t>
  </si>
  <si>
    <t>{nClass=20,nIcon=16565,nFrame=5,szName="方士·苍云|战乱·天策",nTime=15,key="方士·提示2",},</t>
  </si>
  <si>
    <t>{nClass=20,nIcon=3320,nFrame=5,szName="长安城·搭救颜老太太",nTime=10,key="系统事件",},</t>
  </si>
  <si>
    <t>您离开了战场的等待队列。\n</t>
  </si>
  <si>
    <t>{nClass=20,nIcon=17135,nFrame=5,szName="战场·排队·结束",nTime=2,key="战场·排队",},</t>
  </si>
  <si>
    <t>您已经加入战场等待队列。\n</t>
  </si>
  <si>
    <t>{nClass=20,nIcon=17135,nFrame=0,szName="战场·排队·开始",nTime=10,key="战场·排队",},</t>
  </si>
  <si>
    <t>{nClass=20,nIcon=17135,nFrame=0,szName="检查·心法·奇穴",nTime=15,nRefresh=7200,key="战场·排队·提示1",},</t>
  </si>
  <si>
    <t>{nClass=20,nIcon=13,nFrame=3,szName="{$1}·{$2}·{$3}·{$5}{$4}",nTime=20,nRefresh=60,key="世界首领",},</t>
  </si>
  <si>
    <t>^%[(.-)%]服务器：%[(.-)%]大侠，率领%[([浩气盟恶人谷]-)%]阵营侠士们，成功夺得【([隐樵天生赤岩关]-)】</t>
  </si>
  <si>
    <t>{nClass=20,nIcon=1465,nFrame=-1,szName="　",nTime=0.001,nRefresh=2,key="关隘·浩气盟·{$1}",},</t>
  </si>
  <si>
    <t>{nClass=20,nIcon=1465,nFrame=-1,szName="关隘·浩气盟·{$1}",nTime=-1,key="关隘·浩气盟·{$1}",},</t>
  </si>
  <si>
    <t>{nClass=20,nIcon=1465,nFrame=-1,szName="　",nTime=0.001,nRefresh=2,key="关隘·恶人谷·{$1}",},</t>
  </si>
  <si>
    <t>{nClass=20,nIcon=1465,nFrame=-1,szName="关隘·恶人谷·{$1}",nTime=-1,key="关隘·恶人谷·{$1}",},</t>
  </si>
  <si>
    <t>{nClass=20,nIcon=13,nFrame=5,szName="关隘·{$3}·{$1}",nTime=0,key="关隘·{$3}·{$1}",},</t>
  </si>
  <si>
    <t>{nClass=20,nIcon=17583,nFrame=7,szName="浩气盟·[{$1}]·{$4}",nTime=10,nRefresh=1,key="关隘·浩气盟·{$1}",},</t>
  </si>
  <si>
    <t>{nClass=20,nIcon=17582,nFrame=3,szName="恶人谷·[{$1}]·{$4}",nTime=10,nRefresh=1,key="关隘·恶人谷·{$1}",},</t>
  </si>
  <si>
    <t>你无法携带更多的任务奖励道具\n</t>
  </si>
  <si>
    <t>{nClass=20,nIcon=13,nFrame=0,szName="无法携带更多任务奖励",nTime=10,nRefresh=600,key="道具上限",},</t>
  </si>
  <si>
    <t>{nClass=20,nIcon=13,nFrame=0,szName="援助·已绑定",nTime=10,key="援助",},</t>
  </si>
  <si>
    <t>你驯养的(.-)[触发]-事件“(.-)”([消除了]-)。</t>
  </si>
  <si>
    <t>{nClass=20,nIcon=6227,nFrame=-1,szName="",nTime=0.001,nRefresh=2,key="寒风入体！·",},</t>
  </si>
  <si>
    <t>{nClass=20,nIcon=6227,nFrame=-1,szName="寒风入体！·",nTime=-1,key="寒风入体！·",},</t>
  </si>
  <si>
    <t>{nClass=20,nIcon=6227,nFrame=-1,szName="",nTime=0.001,nRefresh=2,key="焦躁不安！·",},</t>
  </si>
  <si>
    <t>{nClass=20,nIcon=6227,nFrame=-1,szName="焦躁不安！·",nTime=-1,key="焦躁不安！·",},</t>
  </si>
  <si>
    <t>{nClass=20,nIcon=6227,nFrame=-1,szName="",nTime=0.001,nRefresh=2,key="野兽！野兽！·",},</t>
  </si>
  <si>
    <t>{nClass=20,nIcon=6227,nFrame=-1,szName="野兽！野兽！·",nTime=-1,key="野兽！野兽！·",},</t>
  </si>
  <si>
    <t>{nClass=20,nIcon=6227,nFrame=-1,szName="",nTime=0.001,nRefresh=2,key="受伤躁动！·",},</t>
  </si>
  <si>
    <t>{nClass=20,nIcon=6227,nFrame=-1,szName="受伤躁动！·",nTime=-1,key="受伤躁动！·",},</t>
  </si>
  <si>
    <t>{nClass=20,nIcon=6227,nFrame=-1,szName="",nTime=0.001,nRefresh=2,key="惊恐不安！·",},</t>
  </si>
  <si>
    <t>{nClass=20,nIcon=6227,nFrame=-1,szName="惊恐不安！·",nTime=-1,key="惊恐不安！·",},</t>
  </si>
  <si>
    <t>{nClass=20,nIcon=6227,nFrame=-1,szName="",nTime=0.001,nRefresh=2,key="{$2}·消除了",},</t>
  </si>
  <si>
    <t>{nClass=20,nIcon=6227,nFrame=-1,szName="{$2}·消除了",nTime=-1,key="{$2}·消除了",},</t>
  </si>
  <si>
    <t>{nClass=20,nIcon=6227,nFrame=-1,szName="{$2}·{$3}",nTime=0,key="{$2}·{$3}",},</t>
  </si>
  <si>
    <t>{nClass=20,nIcon=2025,nFrame=4,szName="{$1}·寒风入体·成都",nTime=10,nRefresh=1,key="寒风入体！·",},</t>
  </si>
  <si>
    <t>{nClass=20,nIcon=329,nFrame=4,szName="{$1}·焦躁不安·扬州",nTime=10,nRefresh=1,key="焦躁不安！·",},</t>
  </si>
  <si>
    <t>{nClass=20,nIcon=89,nFrame=4,szName="{$1}·野兽野兽·扬州",nTime=10,nRefresh=1,key="野兽！野兽！·",},</t>
  </si>
  <si>
    <t>{nClass=20,nIcon=3426,nFrame=4,szName="{$1}·受伤躁动·成都",nTime=10,nRefresh=1,key="受伤躁动！·",},</t>
  </si>
  <si>
    <t>{nClass=20,nIcon=643,nFrame=4,szName="{$1}·惊恐不安·成都",nTime=10,nRefresh=1,key="惊恐不安！·",},</t>
  </si>
  <si>
    <t>{nClass=20,nIcon=6227,nFrame=6,szName="{$1}·{$2}·消除了",nTime=5,nRefresh=1,key="{$2}·消除了",},</t>
  </si>
  <si>
    <t>{nClass=20,nIcon=13,nFrame=5,szName="浪客笺",nTime=0,key="浪客笺",},</t>
  </si>
  <si>
    <t>“{$me}”.-触发[了]-奇遇【(.-)】</t>
  </si>
  <si>
    <t>【{$receiver}】触发奇遇【{$1}】</t>
  </si>
  <si>
    <t>{nClass=20,nIcon=12372,nFrame=7,szName="【{$receiver}】触发奇遇【{$1}】",nTime=10,key="{$receiver}·触发奇遇",},</t>
  </si>
  <si>
    <t>[%[帮会%]]*([邀请]-)%[(.-)%]([从婉拒发出的邀请你加入退出被移除踢了本已经在一个帮会中好友敌对列表不再是黑名单成]+)[^团队][，。]+</t>
  </si>
  <si>
    <t>{nClass=20,nIcon=2116,nFrame=2,szName="{$1}【{$2}】{$3}",nTime=2,key="{$2}",},</t>
  </si>
  <si>
    <t>[你邀请的]*([向对方该玩家加入谢绝]-)[了]*\"(.-)\"[的]*([已经在其他的队伍中人数满发出谢绝了你组邀请不线存是长]+)[，。]+</t>
  </si>
  <si>
    <t>{nClass=20,nIcon=2116,nFrame=6,szName="{$1}【{$2}】{$3}",nTime=2,key="社交",},</t>
  </si>
  <si>
    <t>{nClass=20,nIcon=334,nFrame=6,szName="诛恶事件·{$2}",nTime=300,key="诛恶事件",},</t>
  </si>
  <si>
    <t>^的卢已经出现在(.*)中，浩气盟和恶人谷的侠士可前去尝试抓捕！\n</t>
  </si>
  <si>
    <t>的卢·已刷新</t>
  </si>
  <si>
    <t>{nClass=20,nIcon=21034,nFrame=3,szName="的卢·{$1}",nTime=30,key="的卢",},</t>
  </si>
  <si>
    <t>^你已累计翻阅了(.*)次《(.*)传》。\n</t>
  </si>
  <si>
    <t>{nClass=20,nIcon=13,nFrame=6,szName="{$2}·尝试{$1}次",nTime=15,key="{$2}",},</t>
  </si>
  <si>
    <t>少侠奇穴重置，特补偿九花玉露散200个已通过邮件发送，请注意查收。\n</t>
  </si>
  <si>
    <t>奇穴重置</t>
  </si>
  <si>
    <t>{nClass=20,nIcon=1351,nFrame=3,szName="记得重新点奇穴！",nTime=30,key="奇穴重置",},</t>
  </si>
  <si>
    <t>已切换到“自由发言”模式\n</t>
  </si>
  <si>
    <t>麦克风·自由发言</t>
  </si>
  <si>
    <t>{nClass=20,nIcon=13308,nFrame=5,szName="麦克风·自由发言",nTime=2,key="麦克风",},</t>
  </si>
  <si>
    <t>已关闭麦克风\n</t>
  </si>
  <si>
    <t>麦克风·已关闭</t>
  </si>
  <si>
    <t>{nClass=20,nIcon=13308,nFrame=5,szName="麦克风·关闭",nTime=2,key="麦克风",},</t>
  </si>
  <si>
    <t>重置自身秘境成功。\n</t>
  </si>
  <si>
    <t>重置自身秘境成功</t>
  </si>
  <si>
    <t>{nClass=20,nIcon=6233,nFrame=7,szName="重置自身秘境成功。",nTime=5,key="重置秘境",},</t>
  </si>
  <si>
    <t>你在挖掘宝藏时消耗了</t>
  </si>
  <si>
    <t>{nClass=20,nIcon=2409,nFrame=5,szName="挖宝·CD",nTime=60,key="挖宝·CD",},</t>
  </si>
  <si>
    <t>侠客召请成功\n</t>
  </si>
  <si>
    <t>{nClass=20,nIcon=13,nFrame=2,szName="侠客召请·CD",nTime=2,key="侠客召请",},</t>
  </si>
  <si>
    <t>目前队伍分配模式为：分配者分配。\n</t>
  </si>
  <si>
    <t>目前队伍分配模式为：拍团分配。\n</t>
  </si>
  <si>
    <t>目前队伍分配模式为：队伍拾取。\n</t>
  </si>
  <si>
    <t>目前队伍分配模式为：自由拾取。\n</t>
  </si>
  <si>
    <t>小队的 {$team} 率先攻击了</t>
  </si>
  <si>
    <t>【{$receiver}】开怪了！</t>
  </si>
  <si>
    <t>好像有鱼咬钩了，快收杆！\n</t>
  </si>
  <si>
    <t>{nClass=20,nIcon=2678,nFrame=5,szName="快收杆",nTime=5,key="钓鱼提示",},</t>
  </si>
  <si>
    <t>中原战乱数年未休，东方谷主感于天下不宁，百姓罹难，病症者缺医少药，朝不保夕。决定在今日开放万花谷，让百姓入谷就医。以一谷之清静，换万千百姓之安宁。万花药王孙思邈在此宣布：万花门派事件“开谷济苍生”正式开始，各位侠士可前来青岩万花施以援手！\n</t>
  </si>
  <si>
    <t>{nClass=20,nIcon=17135,nFrame=0,szName="万花·门派事件·星落湖",nTime=10,key="门派事件1",},</t>
  </si>
  <si>
    <t>万花昨日开谷，毒人来犯，晴昼海意外被毁，狼牙贼心不死再度来袭，万花开谷能否顺利进行？花圣宇晴发起委托，各侠士可前往万花与万花弟子一起修复花海，抵御狼牙。\n</t>
  </si>
  <si>
    <t>东瀛使团已上少林，两国高僧禅武相较。众侠士请速至少林寺观摩盛会，必能获益匪浅。\n</t>
  </si>
  <si>
    <t>{nClass=20,nIcon=17135,nFrame=0,szName="少林·门派事件·少林寺前门",nTime=10,key="门派事件1",},</t>
  </si>
  <si>
    <t>少林众僧慈悲为怀，正设法救治重伤的虚念大师，众侠士请速至少林与会，共结善缘。\n</t>
  </si>
  <si>
    <t>{nClass=20,nIcon=17135,nFrame=0,szName="少林·门派事件·少林寺",nTime=10,key="门派事件1",},</t>
  </si>
  <si>
    <t>你已接受了[鸿鹄·灵霄险恶]。\n</t>
  </si>
  <si>
    <t>{nClass=20,nIcon=17135,nFrame=5,szName="秘境·灵霄峡·五人普通",nTime=2,key="任务·提示1",},</t>
  </si>
  <si>
    <t>你在【纯阳·星野剑阵·布阵】公共事件中的个人贡献度增加了10分。\n</t>
  </si>
  <si>
    <t>{nClass=20,nIcon=17135,nFrame=3,szName="门派事件·星野剑阵·布阵+10分",nTime=2,key="门派事件1",},</t>
  </si>
  <si>
    <t>纯阳观在太极广场搭起多座祭坛、并设香炉数座，侠士可焚香供奉老祖，亦或观摩、助纯阳炼丹，亦或是为族人、挚友刻下祈福锁祈福，纯阳观均有好礼相赠。此外，诸位侠士还可通过太极广场中三个祭坛，体验纯阳轻身秘术，若有能者摘得空中纸符，便可得老祖护佑。\n</t>
  </si>
  <si>
    <t>{nClass=20,nIcon=17135,nFrame=5,szName="纯阳·门派事件·太极广场",nTime=10,key="门派事件1",},</t>
  </si>
  <si>
    <t>诸侠士需协助纯阳修复、完成剑阵，并协力抵御星宿老仙的进攻。星宿老仙千秋子于小星宿海中获得武侯移星术以及上古毒经残卷的另外版本后，闭关潜心修炼秘术多年，如今实力更胜从先，侠士须得小心行事。\n</t>
  </si>
  <si>
    <t>纯阳·门派事件</t>
  </si>
  <si>
    <t>你已接受了[鸿鹄·空雾风云]。\n</t>
  </si>
  <si>
    <t>{nClass=20,nIcon=17135,nFrame=5,szName="秘境·空雾峰·五人普通",nTime=2,key="任务·提示1",},</t>
  </si>
  <si>
    <t>{nClass=20,nIcon=770,nFrame=5,szName="骑马跟随",nTime=15,key="茶馆",},</t>
  </si>
  <si>
    <t>{nClass=20,nIcon=2397,nFrame=-1,szName="",nTime=0.001,nRefresh=2,key="{$3}·浩气占领",},</t>
  </si>
  <si>
    <t>{nClass=20,nIcon=2397,nFrame=-1,szName="{$3}·浩气占领",nTime=-1,key="{$3}·浩气占领",},</t>
  </si>
  <si>
    <t>{nClass=20,nIcon=2398,nFrame=-1,szName="",nTime=0.001,nRefresh=2,key="{$3}·恶人占领",},</t>
  </si>
  <si>
    <t>{nClass=20,nIcon=2398,nFrame=-1,szName="{$3}·恶人占领",nTime=-1,key="{$3}·恶人占领",},</t>
  </si>
  <si>
    <t>{nClass=20,nIcon=2400,nFrame=7,szName="{$3}·{$1}占领",nTime=0,key="{$3}·{$1}占领",},</t>
  </si>
  <si>
    <t>{nClass=20,nIcon=20122,nFrame=7,szName="【{$3}】·浩气占领",nTime=30,nRefresh=1,key="{$3}·浩气占领",},</t>
  </si>
  <si>
    <t>{nClass=20,nIcon=20114,nFrame=3,szName="【{$3}】·恶人占领",nTime=30,nRefresh=1,key="{$3}·恶人占领",},</t>
  </si>
  <si>
    <t>([浩气恶人]+)[盟谷]-位于(.-)的【(.-)据点】大旗被夺</t>
  </si>
  <si>
    <t>{$3}·{$1}大旗被夺</t>
  </si>
  <si>
    <t>{nClass=20,nIcon=2397,nFrame=-1,szName="",nTime=0.001,nRefresh=2,key="{$3}·浩气大旗被夺",},</t>
  </si>
  <si>
    <t>{nClass=20,nIcon=2397,nFrame=-1,szName="{$3}·浩气大旗被夺",nTime=-1,key="{$3}·浩气大旗被夺",},</t>
  </si>
  <si>
    <t>{nClass=20,nIcon=2398,nFrame=-1,szName="",nTime=0.001,nRefresh=2,key="{$3}·恶人大旗被夺",},</t>
  </si>
  <si>
    <t>{nClass=20,nIcon=2398,nFrame=-1,szName="{$3}·恶人大旗被夺",nTime=-1,key="{$3}·恶人大旗被夺",},</t>
  </si>
  <si>
    <t>{nClass=20,nIcon=2400,nFrame=7,szName="{$3}·{$1}大旗被夺",nTime=0,key="{$3}·{$1}大旗被夺",},</t>
  </si>
  <si>
    <t>{nClass=20,nIcon=4837,nFrame=7,szName="{$2}【{$3}】浩气大旗被夺",nTime=30,nRefresh=1,key="{$3}·浩气大旗被夺",},</t>
  </si>
  <si>
    <t>{nClass=20,nIcon=4838,nFrame=3,szName="{$2}【{$3}】恶人大旗被夺",nTime=30,nRefresh=1,key="{$3}·恶人大旗被夺",},</t>
  </si>
  <si>
    <t>^【(.*)】据点大旗.*重置回初始位置！</t>
  </si>
  <si>
    <t>{$1}大旗重置</t>
  </si>
  <si>
    <t>{nClass=20,nIcon=592,nFrame=4,szName="【{$1}】大旗重置",nTime=180,key="{$1}·大旗重置",},</t>
  </si>
  <si>
    <t>^江湖快报！(.-)据点粮仓被一群([浩气恶人]+)[盟谷]-人士洗劫，损失一半据点资金。</t>
  </si>
  <si>
    <t>{$1}·{$2}劫粮</t>
  </si>
  <si>
    <t>{nClass=20,nIcon=2397,nFrame=-1,szName="",nTime=0.001,nRefresh=2,key="{$1}·浩气劫粮",},</t>
  </si>
  <si>
    <t>{nClass=20,nIcon=2397,nFrame=-1,szName="{$1}·浩气劫粮",nTime=-1,key="{$1}·浩气劫粮",},</t>
  </si>
  <si>
    <t>{nClass=20,nIcon=2398,nFrame=-1,szName="",nTime=0.001,nRefresh=2,key="{$1}·恶人劫粮",},</t>
  </si>
  <si>
    <t>{nClass=20,nIcon=2398,nFrame=-1,szName="{$1}·恶人劫粮",nTime=-1,key="{$1}·恶人劫粮",},</t>
  </si>
  <si>
    <t>{nClass=20,nIcon=2400,nFrame=7,szName="{$1}·{$2}劫粮",nTime=0,key="{$1}·{$2}劫粮",},</t>
  </si>
  <si>
    <t>{nClass=20,nIcon=15387,nFrame=7,szName="【{$1}】浩气劫粮",nTime=30,nRefresh=1,key="{$1}·浩气劫粮",},</t>
  </si>
  <si>
    <t>{nClass=20,nIcon=15383,nFrame=3,szName="【{$1}】恶人劫粮",nTime=30,nRefresh=1,key="{$1}·恶人劫粮",},</t>
  </si>
  <si>
    <t>在金水镇捕获8级</t>
  </si>
  <si>
    <t>{nClass=20,nIcon=1897,nFrame=5,szName="【龙子】已被捕获",nTime=10,key="金水镇",},</t>
  </si>
  <si>
    <t>在金水镇捕获9级</t>
  </si>
  <si>
    <t>{nClass=20,nIcon=1897,nFrame=5,szName="【麟驹】已被捕获",nTime=10,key="金水镇",},</t>
  </si>
  <si>
    <t>七秀正举行剑舞考核，侠士可前往七秀听香坊东侧水上舞台参与，观赏七秀剑舞考核。侠士可通过参与楚秀弟子夏年、绮秀弟子佟雅辰、燕秀弟子慕容晚的考核来获得奖励。\n</t>
  </si>
  <si>
    <t>{nClass=20,nIcon=17135,nFrame=0,szName="七秀·门派事件·水上舞台",nTime=10,key="门派事件1",},</t>
  </si>
  <si>
    <t>七秀坊坊主叶芷青邀请诸位侠士见证其为三位弟子授剑出师，侠士可前往七秀听香坊东侧水上舞台参与。中途若是遇上寻衅滋事之人，侠士可与三位弟子联手制伏。\n</t>
  </si>
  <si>
    <t>你已接受了[鸿鹄·无盐恶枭]。\n</t>
  </si>
  <si>
    <t>{nClass=20,nIcon=17135,nFrame=5,szName="秘境·无盐岛·五人普通",nTime=2,key="任务·提示1",},</t>
  </si>
  <si>
    <t>在巴陵县捕获8级</t>
  </si>
  <si>
    <t>{nClass=20,nIcon=1897,nFrame=5,szName="【龙子】已被捕获",nTime=10,key="巴陵县",},</t>
  </si>
  <si>
    <t>在巴陵县捕获9级</t>
  </si>
  <si>
    <t>{nClass=20,nIcon=1897,nFrame=5,szName="【麟驹】已被捕获",nTime=10,key="巴陵县",},</t>
  </si>
  <si>
    <t>赵新宇死亡时，从他身上遗落一把短笛，貌似是他的随身信物。\n</t>
  </si>
  <si>
    <t>{nClass=20,nIcon=589,nFrame=7,szName="赵新宇",nTime=0,key="赵新宇",},</t>
  </si>
  <si>
    <t>{nClass=20,nIcon=589,nFrame=7,szName="",nTime="60,赵新宇的信物;302,赵新宇·刷新剩余",nRefresh=60,key="赵新宇",},</t>
  </si>
  <si>
    <t>随着方超的死亡，一把短笛掉了出来，貌似是他的随身信物。\n</t>
  </si>
  <si>
    <t>{nClass=20,nIcon=308,nFrame=3,szName="方超",nTime=0,key="方超",},</t>
  </si>
  <si>
    <t>{nClass=20,nIcon=308,nFrame=3,szName="",nTime="60,方超的信物;302,方超·刷新剩余",nRefresh=60,key="方超",},</t>
  </si>
  <si>
    <t>”在南屏山捕获</t>
  </si>
  <si>
    <t>{nClass=20,nIcon=1899,nFrame=5,szName="马驹·已被捕获",nTime=10,key="南屏山",},</t>
  </si>
  <si>
    <t>{nClass=20,nIcon=17135,nFrame=0,szName="粮草先行·活动结束",nTime=5,key="粮草先行·浩气盟",},</t>
  </si>
  <si>
    <t>{nClass=20,nIcon=17135,nFrame=0,szName="粮草先行·恶人谷",nTime=0,key="粮草先行·恶人谷",},</t>
  </si>
  <si>
    <t>{nClass=20,nIcon=589,nFrame=7,szName="",nTime="60,赵新宇的信物;300,赵新宇·刷新剩余;310,赵新宇·即将刷新",nRefresh=60,key="赵新宇",},</t>
  </si>
  <si>
    <t>{nClass=20,nIcon=308,nFrame=3,szName="",nTime="60,方超的信物;300,方超·刷新剩余;310,方超·即将刷新",nRefresh=60,key="方超",},</t>
  </si>
  <si>
    <t>南屏山恶人谷伴江村援军已到，营地夺回，交通恢复！\n</t>
  </si>
  <si>
    <t>{nClass=20,nIcon=589,nFrame=7,szName="赵新宇·已刷新",nTime=10,nRefresh=600,key="赵新宇",},</t>
  </si>
  <si>
    <t>南屏山浩气盟望北村援军已到，营地夺回，交通恢复！\n</t>
  </si>
  <si>
    <t>{nClass=20,nIcon=308,nFrame=3,szName="方超·已刷新",nTime=10,nRefresh=600,key="方超",},</t>
  </si>
  <si>
    <t>在龙门荒漠捕获8级</t>
  </si>
  <si>
    <t>{nClass=20,nIcon=1897,nFrame=5,szName="【龙子】已被捕获",nTime=10,key="龙门荒漠",},</t>
  </si>
  <si>
    <t>在龙门荒漠捕获9级</t>
  </si>
  <si>
    <t>{nClass=20,nIcon=1897,nFrame=5,szName="【麟驹】已被捕获",nTime=10,key="龙门荒漠",},</t>
  </si>
  <si>
    <t>随着霸图的死亡，一柄钢刀从他身上滑落，似乎是他的随身信物。\n</t>
  </si>
  <si>
    <t>{nClass=20,nIcon=2864,nFrame=7,szName="霸图",nTime=0,key="霸图",},</t>
  </si>
  <si>
    <t>{nClass=20,nIcon=2864,nFrame=7,szName="",nTime="60,霸图的信物;302,霸图·刷新剩余",nRefresh=60,key="霸图",},</t>
  </si>
  <si>
    <t>随着孙永恒的死亡，一柄短剑从他身上滑落，似乎是他的随身信物。\n</t>
  </si>
  <si>
    <t>{nClass=20,nIcon=845,nFrame=3,szName="孙永恒",nTime=0,key="孙永恒",},</t>
  </si>
  <si>
    <t>{nClass=20,nIcon=845,nFrame=3,szName="",nTime="60,孙永恒的信物;302,孙永恒·刷新剩余",nRefresh=60,key="孙永恒",},</t>
  </si>
  <si>
    <t>你已进入地图【浩气盟】。</t>
  </si>
  <si>
    <t>{nClass=20,nIcon=13,nFrame=-1,szName="王遗风·伊夜·减伤",nTime=0,key="王遗风·伊夜·减伤",},</t>
  </si>
  <si>
    <t>{nClass=20,nIcon=13,nFrame=-1,szName="王遗风·丁丁·减伤",nTime=0,key="王遗风·丁丁·减伤",},</t>
  </si>
  <si>
    <t>{nClass=20,nIcon=13,nFrame=-1,szName="王遗风·岳琅·减伤",nTime=0,key="王遗风·岳琅·减伤",},</t>
  </si>
  <si>
    <t>{nClass=20,nIcon=13,nFrame=-1,szName="王遗风·毕罗巴·减伤",nTime=0,key="王遗风·毕罗巴·减伤",},</t>
  </si>
  <si>
    <t>{nClass=20,nIcon=13,nFrame=-1,szName="王遗风·烟·减伤",nTime=0,key="王遗风·烟·减伤",},</t>
  </si>
  <si>
    <t>{nClass=20,nIcon=13,nFrame=-1,szName="王遗风·独孤修·减伤",nTime=0,key="王遗风·独孤修·减伤",},</t>
  </si>
  <si>
    <t>{nClass=20,nIcon=13,nFrame=-1,szName="谢渊·韩非池·减伤",nTime=0,key="谢渊·韩非池·减伤",},</t>
  </si>
  <si>
    <t>{nClass=20,nIcon=13,nFrame=-1,szName="谢渊·赵紫儿·减伤",nTime=0,key="谢渊·赵紫儿·减伤",},</t>
  </si>
  <si>
    <t>{nClass=20,nIcon=13,nFrame=-1,szName="谢渊·叶镜池·减伤",nTime=0,key="谢渊·叶镜池·减伤",},</t>
  </si>
  <si>
    <t>{nClass=20,nIcon=13,nFrame=-1,szName="谢渊·郭珠·减伤",nTime=0,key="谢渊·郭珠·减伤",},</t>
  </si>
  <si>
    <t>{nClass=20,nIcon=13,nFrame=-1,szName="谢渊·穆玄英·减伤",nTime=0,key="谢渊·穆玄英·减伤",},</t>
  </si>
  <si>
    <t>{nClass=20,nIcon=13,nFrame=-1,szName="谢渊·影·减伤",nTime=0,key="谢渊·影·减伤",},</t>
  </si>
  <si>
    <t>王遗风已率恶人谷众首领抵达浩气盟，请各位恶人谷侠士速到浩气盟支援。浩气盟侠士也请速回浩气盟防御！\n</t>
  </si>
  <si>
    <t>阵营攻防开始</t>
  </si>
  <si>
    <t>{nClass=20,nIcon=2401,nFrame=0,szName="本场攻防·正式开始",nTime=60,nRefresh=2,key="攻防活动",},</t>
  </si>
  <si>
    <t>{nClass=20,nIcon=13,nFrame=-1,szName="",nTime=0.001,nRefresh=7200,key="谢渊·穆玄英·减伤",},</t>
  </si>
  <si>
    <t>{nClass=20,nIcon=13,nFrame=-1,szName="谢渊·穆玄英·减伤",nTime=-1,key="谢渊·穆玄英·减伤",},</t>
  </si>
  <si>
    <t>{nClass=20,nIcon=13,nFrame=-1,szName="",nTime=0.001,nRefresh=7200,key="谢渊·叶镜池·减伤",},</t>
  </si>
  <si>
    <t>{nClass=20,nIcon=13,nFrame=-1,szName="谢渊·叶镜池·减伤",nTime=-1,key="谢渊·叶镜池·减伤",},</t>
  </si>
  <si>
    <t>{nClass=20,nIcon=13,nFrame=-1,szName="",nTime=0.001,nRefresh=7200,key="谢渊·赵紫儿·减伤",},</t>
  </si>
  <si>
    <t>{nClass=20,nIcon=13,nFrame=-1,szName="谢渊·赵紫儿·减伤",nTime=-1,key="谢渊·赵紫儿·减伤",},</t>
  </si>
  <si>
    <t>{nClass=20,nIcon=13,nFrame=-1,szName="",nTime=0.001,nRefresh=7200,key="谢渊·郭珠·减伤",},</t>
  </si>
  <si>
    <t>{nClass=20,nIcon=13,nFrame=-1,szName="谢渊·郭珠·减伤",nTime=-1,key="谢渊·郭珠·减伤",},</t>
  </si>
  <si>
    <t>{nClass=20,nIcon=13,nFrame=-1,szName="",nTime=0.001,nRefresh=7200,key="谢渊·影·减伤",},</t>
  </si>
  <si>
    <t>{nClass=20,nIcon=13,nFrame=-1,szName="谢渊·影·减伤",nTime=-1,key="谢渊·影·减伤",},</t>
  </si>
  <si>
    <t>{nClass=20,nIcon=13,nFrame=-1,szName="",nTime=0.001,nRefresh=7200,key="王遗风·烟·减伤",},</t>
  </si>
  <si>
    <t>{nClass=20,nIcon=13,nFrame=-1,szName="王遗风·烟·减伤",nTime=-1,key="王遗风·烟·减伤",},</t>
  </si>
  <si>
    <t>{nClass=20,nIcon=13,nFrame=-1,szName="",nTime=0.001,nRefresh=7200,key="王遗风·岳琅·减伤",},</t>
  </si>
  <si>
    <t>{nClass=20,nIcon=13,nFrame=-1,szName="王遗风·岳琅·减伤",nTime=-1,key="王遗风·岳琅·减伤",},</t>
  </si>
  <si>
    <t>{nClass=20,nIcon=13,nFrame=-1,szName="",nTime=0.001,nRefresh=7200,key="王遗风·丁丁·减伤",},</t>
  </si>
  <si>
    <t>{nClass=20,nIcon=13,nFrame=-1,szName="王遗风·丁丁·减伤",nTime=-1,key="王遗风·丁丁·减伤",},</t>
  </si>
  <si>
    <t>{nClass=20,nIcon=13,nFrame=-1,szName="",nTime=0.001,nRefresh=7200,key="王遗风·毕罗巴·减伤",},</t>
  </si>
  <si>
    <t>{nClass=20,nIcon=13,nFrame=-1,szName="王遗风·毕罗巴·减伤",nTime=-1,key="王遗风·毕罗巴·减伤",},</t>
  </si>
  <si>
    <t>{nClass=20,nIcon=13,nFrame=-1,szName="",nTime=0.001,nRefresh=7200,key="王遗风·独孤修·减伤",},</t>
  </si>
  <si>
    <t>{nClass=20,nIcon=13,nFrame=-1,szName="王遗风·独孤修·减伤",nTime=-1,key="王遗风·独孤修·减伤",},</t>
  </si>
  <si>
    <t>{nClass=20,nIcon=13,nFrame=-1,szName="",nTime=0.001,nRefresh=7200,key="王遗风·伊夜·减伤",},</t>
  </si>
  <si>
    <t>{nClass=20,nIcon=13,nFrame=-1,szName="王遗风·伊夜·减伤",nTime=-1,key="王遗风·伊夜·减伤",},</t>
  </si>
  <si>
    <t>{nClass=20,nIcon=13,nFrame=-1,szName="",nTime=0.001,nRefresh=7200,key="谢渊·韩非池·减伤",},</t>
  </si>
  <si>
    <t>{nClass=20,nIcon=13,nFrame=-1,szName="谢渊·韩非池·减伤",nTime=-1,key="谢渊·韩非池·减伤",},</t>
  </si>
  <si>
    <t>{nClass=20,nIcon=13,nFrame=-1,szName="谢渊·月弄痕·减伤",nTime=-2,key="谢渊·月弄痕·减伤",},</t>
  </si>
  <si>
    <t>{nClass=20,nIcon=13,nFrame=-1,szName="谢渊·游驹·减伤",nTime=-2,key="谢渊·游驹·减伤",},</t>
  </si>
  <si>
    <t>{nClass=20,nIcon=13,nFrame=-1,szName="谢渊·小七·减伤",nTime=-2,key="谢渊·小七·减伤",},</t>
  </si>
  <si>
    <t>{nClass=20,nIcon=13,nFrame=-1,szName="谢渊·张桎辕·减伤",nTime=-2,key="谢渊·张桎辕·减伤",},</t>
  </si>
  <si>
    <t>{nClass=20,nIcon=13,nFrame=-1,szName="谢渊·司空仲平·减伤",nTime=-2,key="谢渊·司空仲平·减伤",},</t>
  </si>
  <si>
    <t>{nClass=20,nIcon=13,nFrame=-1,szName="王遗风·司徒一一·减伤",nTime=-2,key="王遗风·司徒一一·减伤",},</t>
  </si>
  <si>
    <t>{nClass=20,nIcon=13,nFrame=-1,szName="王遗风·白某·减伤",nTime=-2,key="王遗风·白某·减伤",},</t>
  </si>
  <si>
    <t>{nClass=20,nIcon=13,nFrame=-1,szName="王遗风·米丽古丽·减伤",nTime=-2,key="王遗风·米丽古丽·减伤",},</t>
  </si>
  <si>
    <t>{nClass=20,nIcon=13,nFrame=-1,szName="王遗风·陶寒亭·减伤",nTime=-2,key="王遗风·陶寒亭·减伤",},</t>
  </si>
  <si>
    <t>{nClass=20,nIcon=13,nFrame=-1,szName="王遗风·肖药儿·减伤",nTime=-2,key="王遗风·肖药儿·减伤",},</t>
  </si>
  <si>
    <t>军情速递！浩气盟物资官传来消息，现有一批新物资运至各复活点，望浩气侠士们前来领取，以便增强战斗实力。\n</t>
  </si>
  <si>
    <t>{nClass=20,nIcon=2397,nFrame=7,szName="浩气盟·复活点物资·刷新",nTime=10,nRefresh=2,key="浩气·复活点·运达",},</t>
  </si>
  <si>
    <t>{nClass=20,nIcon=2398,nFrame=3,szName="恶人谷·复活点物资·刷新",nTime=10,nRefresh=2,key="恶人·复活点·运达",},</t>
  </si>
  <si>
    <t>军情速递！恶人谷物资车已运达，车内装有大量物资，望侠士们前来拾取，切莫错过。\n</t>
  </si>
  <si>
    <t>{nClass=20,nIcon=2398,nFrame=3,szName="恶人谷·营地物资·刷新",nTime=10,nRefresh=2,key="恶人·物资车·运达",},</t>
  </si>
  <si>
    <t>军情速递！浩气盟物资车已运达，车内装有大量物资，望侠士们前来拾取，切莫错过。\n</t>
  </si>
  <si>
    <t>{nClass=20,nIcon=2397,nFrame=7,szName="浩气盟·内城物资·刷新",nTime=10,nRefresh=2,key="浩气·物资车·运达",},</t>
  </si>
  <si>
    <t>你已进入地图【恶人谷】。</t>
  </si>
  <si>
    <t>谢渊已率浩气盟众首领抵达恶人谷，请各位浩气盟侠士速到恶人谷支援。恶人谷侠士也请速回恶人谷防御！\n</t>
  </si>
  <si>
    <t>军情速递！恶人谷物资官传来消息，现有一批新物资运至各复活点，望恶人侠士们前来领取，以便增强战斗实力。\n</t>
  </si>
  <si>
    <t>{nClass=20,nIcon=2398,nFrame=3,szName="恶人谷·内城物资·刷新",nTime=10,nRefresh=2,key="恶人·物资车·运达",},</t>
  </si>
  <si>
    <t>{nClass=20,nIcon=2397,nFrame=7,szName="浩气盟·营地物资·刷新",nTime=10,nRefresh=2,key="浩气·物资车·运达",},</t>
  </si>
  <si>
    <t>”在昆仑捕获</t>
  </si>
  <si>
    <t>{nClass=20,nIcon=1899,nFrame=5,szName="马驹·已被捕获",nTime=10,key="昆仑",},</t>
  </si>
  <si>
    <t>{nClass=20,nIcon=17135,nFrame=0,szName="粮草先行·活动结束",nTime=5,key="粮草先行·恶人谷",},</t>
  </si>
  <si>
    <t>{nClass=20,nIcon=17135,nFrame=0,szName="粮草先行·浩气盟",nTime=0,key="粮草先行·浩气盟",},</t>
  </si>
  <si>
    <t>{nClass=20,nIcon=2864,nFrame=7,szName="",nTime="60,霸图的信物;300,霸图·刷新剩余;310,霸图·即将刷新",nRefresh=60,key="霸图",},</t>
  </si>
  <si>
    <t>{nClass=20,nIcon=845,nFrame=3,szName="",nTime="60,孙永恒的信物;300,孙永恒·刷新剩余;310,孙永恒·即将刷新",nRefresh=60,key="孙永恒",},</t>
  </si>
  <si>
    <t>昆仑山恶人谷西昆仑高地援军已到，营地夺回，交通恢复！\n</t>
  </si>
  <si>
    <t>{nClass=20,nIcon=2864,nFrame=7,szName="霸图·已刷新",nTime=10,nRefresh=600,key="霸图",},</t>
  </si>
  <si>
    <t>昆仑山浩气盟东昆仑高地援军已到，营地夺回，交通恢复！\n</t>
  </si>
  <si>
    <t>{nClass=20,nIcon=845,nFrame=3,szName="孙永恒·已刷新",nTime=10,nRefresh=600,key="孙永恒",},</t>
  </si>
  <si>
    <t>你已接受了[鼠字腰牌]。\n</t>
  </si>
  <si>
    <t>{nClass=20,nIcon=17135,nFrame=5,szName="阁下莫非是为高人",nTime=60,key="美人图1",},</t>
  </si>
  <si>
    <t>{nClass=20,nIcon=17135,nFrame=5,szName="果然是位高人",nTime=60,key="美人图2",},</t>
  </si>
  <si>
    <t>获得【鼠字腰牌】，可以打开腰牌袋子查看。\n</t>
  </si>
  <si>
    <t>{nClass=20,nIcon=17135,nFrame=5,szName="阁下莫非是为高人",nTime=0,key="美人图1",},</t>
  </si>
  <si>
    <t>{nClass=20,nIcon=17135,nFrame=5,szName="果然是位高人",nTime=0,key="美人图2",},</t>
  </si>
  <si>
    <t>你已完成了[鼠字腰牌]。\n</t>
  </si>
  <si>
    <t>你已接受了[探贾一陀]。\n</t>
  </si>
  <si>
    <t>{nClass=20,nIcon=17135,nFrame=5,szName="这位高僧好饭量",nTime=60,key="美人图1",},</t>
  </si>
  <si>
    <t>{nClass=20,nIcon=17135,nFrame=5,szName="佛爷你是否需要些吃的东西",nTime=60,key="美人图2",},</t>
  </si>
  <si>
    <t>{nClass=20,nIcon=17135,nFrame=5,szName="烧鸡烧鹅都来点",nTime=60,key="美人图3",},</t>
  </si>
  <si>
    <t>你已完成了[探贾一陀]。\n</t>
  </si>
  <si>
    <t>{nClass=20,nIcon=17135,nFrame=5,szName="这位高僧好饭量",nTime=0,key="美人图1",},</t>
  </si>
  <si>
    <t>{nClass=20,nIcon=17135,nFrame=5,szName="佛爷你是否需要些吃的东西",nTime=0,key="美人图2",},</t>
  </si>
  <si>
    <t>{nClass=20,nIcon=17135,nFrame=5,szName="烧鸡烧鹅都来点",nTime=0,key="美人图3",},</t>
  </si>
  <si>
    <t>你已接受了[这是交易]。\n</t>
  </si>
  <si>
    <t>{nClass=20,nIcon=17135,nFrame=5,szName="找丁老三购买·冰糖葫芦·小木人",nTime=60,key="美人图1",},</t>
  </si>
  <si>
    <t>{nClass=20,nIcon=17135,nFrame=5,szName="成就·篝火边的大厨·购买调料",nTime=60,key="美人图2",},</t>
  </si>
  <si>
    <t>你已完成了[这是交易]。\n</t>
  </si>
  <si>
    <t>{nClass=20,nIcon=17135,nFrame=5,szName="找丁老三购买·冰糖葫芦·小木人",nTime=0,key="美人图1",},</t>
  </si>
  <si>
    <t>{nClass=20,nIcon=17135,nFrame=5,szName="成就·篝火边的大厨·购买调料",nTime=0,key="美人图2",},</t>
  </si>
  <si>
    <t>你已接受了[获得烤肉]。\n</t>
  </si>
  <si>
    <t>{nClass=20,nIcon=17135,nFrame=5,szName="在贾一陀身后烤肉",nTime=60,key="美人图1",},</t>
  </si>
  <si>
    <t>你已完成了[获得烤肉]。\n</t>
  </si>
  <si>
    <t>{nClass=20,nIcon=17135,nFrame=5,szName="在贾一陀身后烤肉",nTime=0,key="美人图1",},</t>
  </si>
  <si>
    <t>你已接受了[大嘴之怒]。\n</t>
  </si>
  <si>
    <t>{nClass=20,nIcon=17135,nFrame=5,szName="的确十分可气",nTime=60,key="美人图1",},</t>
  </si>
  <si>
    <t>{nClass=20,nIcon=17135,nFrame=5,szName="维|护军威，自然愿意",nTime=60,key="美人图2",},</t>
  </si>
  <si>
    <t>你已完成了[大嘴之怒]。\n</t>
  </si>
  <si>
    <t>{nClass=20,nIcon=17135,nFrame=5,szName="的确十分可气",nTime=0,key="美人图1",},</t>
  </si>
  <si>
    <t>{nClass=20,nIcon=17135,nFrame=5,szName="维护军威，自然愿意",nTime=0,key="美人图2",},</t>
  </si>
  <si>
    <t>你已接受了[虎字腰牌]。\n</t>
  </si>
  <si>
    <t>{nClass=20,nIcon=17135,nFrame=5,szName="一声号令，令人拜服",nTime=60,key="美人图1",},</t>
  </si>
  <si>
    <t>{nClass=20,nIcon=17135,nFrame=5,szName="威武雄壮",nTime=60,key="美人图2",},</t>
  </si>
  <si>
    <t>{nClass=20,nIcon=17135,nFrame=5,szName="我对大将军的景仰",nTime=60,key="美人图3",},</t>
  </si>
  <si>
    <t>获得【虎字腰牌】，可以打开腰牌袋子查看。\n</t>
  </si>
  <si>
    <t>{nClass=20,nIcon=17135,nFrame=5,szName="一声号令，令人拜服",nTime=0,key="美人图1",},</t>
  </si>
  <si>
    <t>{nClass=20,nIcon=17135,nFrame=5,szName="威武雄壮",nTime=0,key="美人图2",},</t>
  </si>
  <si>
    <t>{nClass=20,nIcon=17135,nFrame=5,szName="我对大将军的景仰",nTime=0,key="美人图3",},</t>
  </si>
  <si>
    <t>你已接受了[画中美人]。\n</t>
  </si>
  <si>
    <t>{nClass=20,nIcon=17135,nFrame=5,szName="倾国倾城",nTime=60,key="美人图1",},</t>
  </si>
  <si>
    <t>{nClass=20,nIcon=17135,nFrame=5,szName="我愿意给你画像",nTime=60,key="美人图2",},</t>
  </si>
  <si>
    <t>画纸就放在背包里，右键点击对仇赛赛使用即可为她作画。\n</t>
  </si>
  <si>
    <t>{nClass=20,nIcon=17135,nFrame=5,szName="倾国倾城",nTime=0,key="美人图1",},</t>
  </si>
  <si>
    <t>{nClass=20,nIcon=17135,nFrame=5,szName="我愿意给你画像",nTime=0,key="美人图2",},</t>
  </si>
  <si>
    <t>{nClass=20,nIcon=17135,nFrame=5,szName="鹅蛋脸·不画雀斑",nTime=60,key="美人图1",},</t>
  </si>
  <si>
    <t>{nClass=20,nIcon=17135,nFrame=5,szName="婀娜多姿·杨柳细腰",nTime=60,key="美人图2",},</t>
  </si>
  <si>
    <t>{nClass=20,nIcon=17135,nFrame=5,szName="小脚丫·雪白",nTime=60,key="美人图3",},</t>
  </si>
  <si>
    <t>你已完成了[画中美人]。\n</t>
  </si>
  <si>
    <t>{nClass=20,nIcon=17135,nFrame=5,szName="鹅蛋脸·不画雀斑",nTime=0,key="美人图1",},</t>
  </si>
  <si>
    <t>{nClass=20,nIcon=17135,nFrame=5,szName="婀娜多姿·杨柳细腰",nTime=0,key="美人图2",},</t>
  </si>
  <si>
    <t>{nClass=20,nIcon=17135,nFrame=5,szName="小脚丫·雪白",nTime=0,key="美人图3",},</t>
  </si>
  <si>
    <t>你已接受了[闯木人阵]。\n</t>
  </si>
  <si>
    <t>{nClass=20,nIcon=17135,nFrame=5,szName="靠右边·走沿石上",nTime=60,key="美人图1",},</t>
  </si>
  <si>
    <t>{nClass=20,nIcon=17135,nFrame=5,szName="下层·到1/4时走沿石上",nTime=60,key="美人图2",},</t>
  </si>
  <si>
    <t>你已完成了[闯木人阵]。\n</t>
  </si>
  <si>
    <t>{nClass=20,nIcon=17135,nFrame=5,szName="靠右边·走沿石上",nTime=0,key="美人图1",},</t>
  </si>
  <si>
    <t>{nClass=20,nIcon=17135,nFrame=5,szName="下层·到一半时走沿石上",nTime=0,key="美人图2",},</t>
  </si>
  <si>
    <t>你已接受了[寻宫大肥]。\n</t>
  </si>
  <si>
    <t>{nClass=20,nIcon=17135,nFrame=5,szName="可组队共享次数",nTime=60,key="美人图1",},</t>
  </si>
  <si>
    <t>你已完成了[寻宫大肥]。\n</t>
  </si>
  <si>
    <t>{nClass=20,nIcon=17135,nFrame=5,szName="可组队共享次数",nTime=0,key="美人图1",},</t>
  </si>
  <si>
    <t>你已完成了[美人图]。\n</t>
  </si>
  <si>
    <t>{nClass=20,nIcon=17135,nFrame=5,szName="",nTime=0,key="美人图1",},</t>
  </si>
  <si>
    <t>{nClass=20,nIcon=17135,nFrame=5,szName="",nTime=0,key="美人图2",},</t>
  </si>
  <si>
    <t>{nClass=20,nIcon=17135,nFrame=5,szName="",nTime=0,key="美人图3",},</t>
  </si>
  <si>
    <t>你已完成了[寻龙勘脉窥天机]。\n</t>
  </si>
  <si>
    <t>{nClass=14,nIcon=4975,nFrame=5,szName="寻龙勘脉·任务结束",nTime=0,key="寻龙勘脉窥天机·开启",},</t>
  </si>
  <si>
    <t>藏锋十年刃方雪，乱世仍需铸仁心。每一把名剑的出世都同藏剑山庄的兴衰息息相关。今日，藏剑山庄与天下众侠士共襄盛举。请众位侠士速至藏剑山庄楼外楼，为名剑的诞生贡献自己的力量，莫要错过了这百年难逢的机会。\n</t>
  </si>
  <si>
    <t>{nClass=20,nIcon=17135,nFrame=0,szName="藏剑·门派事件·楼外楼",nTime=10,key="门派事件1",},</t>
  </si>
  <si>
    <t>十年磨一剑，霜刃未曾试。今日把示君，谁有不平事。新名剑其名为何，其锋何利？若想知道新一代名剑的秘密，可来藏剑山庄楼外楼同叶庄主一起参详一二。\n</t>
  </si>
  <si>
    <t>你当前积分为(%d-)分，帮会总积分为(%d-)分。</t>
  </si>
  <si>
    <t>{nClass=20,nIcon=17135,nFrame=5,szName="个人积分{$1}分·帮会积分{$2}分",nTime=5,key="小猪快跑",},</t>
  </si>
  <si>
    <t>{nClass=20,nIcon=360,nFrame=2,szName="记得打包·帮会外食",nTime=20,},</t>
  </si>
  <si>
    <t>你已接受了[芙蓉酥鲫鱼]。\n</t>
  </si>
  <si>
    <t>{nClass=20,nIcon=2817,nFrame=6,szName="送鱼·鲫鱼·20条",nTime=60,key="帮会·送鱼",},</t>
  </si>
  <si>
    <t>你已接受了[再遇新难题]。\n</t>
  </si>
  <si>
    <t>{nClass=20,nIcon=17135,nFrame=0,szName="需要准备·今朝醉·1个",nTime=20,key="炼狱水煮鱼·改良3",},</t>
  </si>
  <si>
    <t>{nClass=20,nIcon=17135,nFrame=0,szName="再去找帮会大厨·辛三金",nTime=20,key="炼狱水煮鱼·改良4",},</t>
  </si>
  <si>
    <t>你已接受了[清炖鲢鱼头]。\n</t>
  </si>
  <si>
    <t>{nClass=20,nIcon=2677,nFrame=6,szName="送鱼·鲢鱼",nTime=60,key="帮会·送鱼",},</t>
  </si>
  <si>
    <t>你已接受了[菊花鲈鱼]。\n</t>
  </si>
  <si>
    <t>{nClass=20,nIcon=2825,nFrame=6,szName="送鱼·鲈鱼·20条",nTime=60,key="帮会·送鱼",},</t>
  </si>
  <si>
    <t>你已接受了[荷香鲤鱼]。\n</t>
  </si>
  <si>
    <t>{nClass=20,nIcon=2819,nFrame=6,szName="送鱼·鲤鱼·20条",nTime=60,key="帮会·送鱼",},</t>
  </si>
  <si>
    <t>你已接受了[西湖醋鱼]。\n</t>
  </si>
  <si>
    <t>{nClass=20,nIcon=2818,nFrame=6,szName="送鱼·草鱼·20条",nTime=60,key="帮会·送鱼",},</t>
  </si>
  <si>
    <t>你已接受了[一品青鱼]。\n</t>
  </si>
  <si>
    <t>{nClass=20,nIcon=2676,nFrame=6,szName="送鱼·青鱼·20条",nTime=60,key="帮会·送鱼",},</t>
  </si>
  <si>
    <t>你召唤的小马驹非当前驯养对象。\n</t>
  </si>
  <si>
    <t>{nClass=20,nIcon=643,nFrame=5,szName="召唤小马驹遛马啦",nTime=10,nRefresh=120,key="遛马名师",},</t>
  </si>
  <si>
    <t>帮会领地唱晚池水面平静，回归正常，未能尽兴的侠士下次请早。\n</t>
  </si>
  <si>
    <t>{nClass=20,nIcon=2678,nFrame=6,szName="帮会钓鱼活动·结束",nTime=15,nRefresh=1,key="帮会钓鱼",},</t>
  </si>
  <si>
    <t>各路侠士下手略狠，唱晚池鱼类减少，鱼儿上钩时间稍微延长，但收益仍然不薄！\n</t>
  </si>
  <si>
    <t>{nClass=20,nIcon=2678,nFrame=6,szName="帮会钓鱼活动·鱼群减少",nTime=10,nRefresh=1,key="帮会钓鱼",},</t>
  </si>
  <si>
    <t>需要将小马驹召唤出来溜达。\n</t>
  </si>
  <si>
    <t>{nClass=20,nIcon=643,nFrame=5,szName="召唤小马驹遛马啦",nTime=10,nRefresh=1800,key="遛马名师",},</t>
  </si>
  <si>
    <t>”在白龙口捕获</t>
  </si>
  <si>
    <t>{nClass=20,nIcon=1899,nFrame=5,szName="马驹·已被捕获",nTime=10,key="白龙口",},</t>
  </si>
  <si>
    <t>”在无量山捕获</t>
  </si>
  <si>
    <t>{nClass=20,nIcon=1899,nFrame=5,szName="马驹·已被捕获",nTime=10,key="无量山",},</t>
  </si>
  <si>
    <t>请在骑乘花山节大会赛马的时候使用！\n</t>
  </si>
  <si>
    <t>{nClass=20,nIcon=13,nFrame=6,szName="花月马·骑乘赛马",nTime=10,key="任务提示1",},</t>
  </si>
  <si>
    <t>你已接受了[天一尸毒祸四方]。\n</t>
  </si>
  <si>
    <t>{nClass=20,nIcon=13,nFrame=6,szName="任务提示3",nTime="10,天一尸毒祸四方;20,花骨朵·乘船到·神木谷;30,交互·孔雀·乌蒙后山;60,注意使用正确的玄火丸",nRefresh=0,key="任务提示2",},</t>
  </si>
  <si>
    <t>你已接受了[孔雀神恩赐万福]。\n</t>
  </si>
  <si>
    <t>{nClass=20,nIcon=13,nFrame=6,szName="任务提示2",nTime="10,孔雀神恩赐万福;20,交互·竹儿·孔雀湖;30,飞行途中使用正确的玄火丸",nRefresh=0,key="任务提示3",},</t>
  </si>
  <si>
    <t>天一教余孽未平，曲云教主派出清缴的教众尚未返回，而公治菱在圣兽潭附近携植尸将结阵施法召来血魂巨蚊，望侠士前往相助，若稍有半分差池，引来天一教神秘植兽便不好办了。\n</t>
  </si>
  <si>
    <t>{nClass=20,nIcon=17135,nFrame=0,szName="五毒·门派事件·圣兽潭",nTime=10,key="门派事件1",},</t>
  </si>
  <si>
    <t>原来是乌缇夜昨夜趁乱乔装混入五毒总坛，用天一教邪术催熟血魂巨蚊虫卵，引来嗜食血蚊的植兽“噬魂金虎”，愿侠士出手相助，将此邪恶之物铲除。\n</t>
  </si>
  <si>
    <t>{nClass=20,nIcon=17135,nFrame=0,szName="五毒·门派事件·五毒总坛",nTime=10,key="门派事件1",},</t>
  </si>
  <si>
    <t>你已接受了[鸿鹄·毒海仙踪]。\n</t>
  </si>
  <si>
    <t>{nClass=20,nIcon=17135,nFrame=5,szName="秘境·仙踪林·五人简单",nTime=2,key="任务·提示1",},</t>
  </si>
  <si>
    <t>在黑龙沼捕获13级</t>
  </si>
  <si>
    <t>{nClass=20,nIcon=1898,nFrame=5,szName="【里飞沙】已被捕获",nTime=10,key="黑龙沼",},</t>
  </si>
  <si>
    <t>你已接受了[挽澜纪·只进不出]。\n</t>
  </si>
  <si>
    <t>{nClass=20,nIcon=17135,nFrame=6,szName="先去飞虎营打·飞虎战驹",nTime=20,key="任务·提示2",},</t>
  </si>
  <si>
    <t>你已接受了[制扎狮头]。\n</t>
  </si>
  <si>
    <t>{nClass=20,nIcon=17135,nFrame=6,szName="扎胚·扑纸·绘纹·定色",nTime=30,key="任务提示1",},</t>
  </si>
  <si>
    <t>唐门的机甲之战方告一段落，今日狼牙军官拔野古寒上唐门欲取订好的机关暗器，只是唐门已无备好的暗器，此事要如何了结？诸位侠士可去唐家堡获知此事结果。\n</t>
  </si>
  <si>
    <t>{nClass=20,nIcon=17135,nFrame=0,szName="唐门·门派事件·唐家堡",nTime=10,key="门派事件1",},</t>
  </si>
  <si>
    <t>安禄山在范阳举起反旗，天下人人侧目。唐门门主唐傲天却甘冒天下之大不韪，偷偷贩售门中机关暗器予狼牙军和唐军两者，获得大批钱财。唐傲侠发现了他私底下的交易，不耻唐傲天所为，派大儿子唐无寻破坏门主准备好的机关。此事亦被掌管暗器的唐无乐发觉，两兄弟在唐门唐家堡用机甲对决，诸位侠士可前去一观输赢。\n</t>
  </si>
  <si>
    <t>明教正在举行明尊大典，侠士可前往明教圣墓山参与盛会。\n</t>
  </si>
  <si>
    <t>{nClass=20,nIcon=17135,nFrame=0,szName="明教·门派事件·圣墓山",nTime=10,key="门派事件1",},</t>
  </si>
  <si>
    <t>明教正召集人手清剿红衣教势力，侠士可前往明教三生树附近参与。\n</t>
  </si>
  <si>
    <t>{nClass=20,nIcon=17135,nFrame=0,szName="明教·门派事件·三生树",nTime=10,key="门派事件1",},</t>
  </si>
  <si>
    <t>{nClass=20,nIcon=17135,nFrame=5,szName="选项1帮会+选项4门派合并为正确答案",nTime=20,key="茶馆·提示0",},</t>
  </si>
  <si>
    <t>你已接受了[留得绝学祭先圣·传奇]。\n</t>
  </si>
  <si>
    <t>{nClass=20,nIcon=1240,nFrame=5,szName="孤本传奇话本·千里香·碎肉",nTime=20,key="茶馆·交易",},</t>
  </si>
  <si>
    <t>你已接受了[留得绝学祭先圣·曲谱]。\n</t>
  </si>
  <si>
    <t>{nClass=20,nIcon=388,nFrame=5,szName="梨园琵琶曲谱·铜矿·血",nTime=20,key="茶馆·交易",},</t>
  </si>
  <si>
    <t>你已接受了[留得绝学祭先圣·秦鼎]。\n</t>
  </si>
  <si>
    <t>{nClass=20,nIcon=931,nFrame=5,szName="秦铜鼎·甘草·铅锌矿",nTime=20,key="茶馆·交易",},</t>
  </si>
  <si>
    <t>你已接受了[留得绝学祭先圣·剑舞]。\n</t>
  </si>
  <si>
    <t>{nClass=20,nIcon=796,nFrame=5,szName="梨园剑舞之术·锡矿·精肉",nTime=20,key="茶馆·交易",},</t>
  </si>
  <si>
    <t>你已接受了[留得绝学祭先圣·道书]。\n</t>
  </si>
  <si>
    <t>{nClass=20,nIcon=1241,nFrame=5,szName="隋道书·大黄·杂碎",nTime=20,key="茶馆·交易",},</t>
  </si>
  <si>
    <t>你已接受了[衣食无忧·肉粥]。\n</t>
  </si>
  <si>
    <t>{nClass=20,nIcon=263,nFrame=5,szName="肉粥·精肉·碎肉",nTime=20,key="茶馆·交易",},</t>
  </si>
  <si>
    <t>你已接受了[衣食无忧·汤药]。\n</t>
  </si>
  <si>
    <t>{nClass=20,nIcon=130,nFrame=5,szName="汤药·彼岸花·甘草",nTime=20,key="茶馆·交易",},</t>
  </si>
  <si>
    <t>你已接受了[衣食无忧·衣物]。\n</t>
  </si>
  <si>
    <t>{nClass=20,nIcon=108,nFrame=5,szName="汤药·杂碎·大黄",nTime=20,key="茶馆·交易",},</t>
  </si>
  <si>
    <t>跟踪鬼祟的狼牙军军士,伺机刺杀他。离得太近会被发现，离得太远会跟丢。尝试保持一定的距离。当他停下来时从背后刺杀他。\n</t>
  </si>
  <si>
    <t>{nClass=20,nIcon=17135,nFrame=5,szName="骑马跟随·6尺-30尺",nTime=20,key="茶馆·提示0",},</t>
  </si>
  <si>
    <t>%[心慈手软%]：(%d-)%/%d+\n</t>
  </si>
  <si>
    <t>心慈手软·{$1}次</t>
  </si>
  <si>
    <t>{nClass=20,nIcon=17135,nFrame=0,szName="成就·心慈手软·{$1}次",nTime=30,key="茶馆·成就",},</t>
  </si>
  <si>
    <t>{nClass=20,nIcon=17135,nFrame=0,szName="可放弃重接·一次做完成就",nTime=30,key="茶馆·成就提示1",},</t>
  </si>
  <si>
    <t>你已接受了[父欲养，而时不待]。\n</t>
  </si>
  <si>
    <t>{nClass=20,nIcon=17135,nFrame=2,szName="告知真相则没有屠狼会声望日常",nTime=10,key="任务提示1",},</t>
  </si>
  <si>
    <t>本次贡献度:100\n</t>
  </si>
  <si>
    <t>{nClass=20,nIcon=17135,nFrame=3,szName="完美完成·神兵迷踪·九邬碧玉",nTime=5,key="公共事件·结算",},</t>
  </si>
  <si>
    <t>本日已不能从本事件获得奖励。\n</t>
  </si>
  <si>
    <t>{nClass=20,nIcon=17135,nFrame=0,szName="神兵迷踪·已上限·九邬碧玉",nTime=10.1,nRefresh=3600,key="公共事件·上限·九邬碧玉",},</t>
  </si>
  <si>
    <t>你已接受了[淘气的小孩]。\n</t>
  </si>
  <si>
    <t>{nClass=20,nIcon=17135,nFrame=0,szName="找NPC·苏恨林·快速交互3次",nTime=30,key="任务提示1",},</t>
  </si>
  <si>
    <t>你已完成了[淘气的小孩]。\n</t>
  </si>
  <si>
    <t>{nClass=20,nIcon=17135,nFrame=5,szName="任务提示1",nTime=0,key="任务提示1",},</t>
  </si>
  <si>
    <t>{nClass=20,nIcon=17135,nFrame=6,szName="找NPC·张巡·真相",nTime=30,key="任务提示2",},</t>
  </si>
  <si>
    <t>你已接受了[真相]。\n</t>
  </si>
  <si>
    <t>{nClass=20,nIcon=17135,nFrame=6,szName="任务提示2",nTime=0,key="任务提示2",},</t>
  </si>
  <si>
    <t>公共事件【守卫听泉私塾】开启了。\n</t>
  </si>
  <si>
    <t>守卫听泉私塾·开启</t>
  </si>
  <si>
    <t>{nClass=20,nIcon=17135,nFrame=3,szName="守卫听泉私塾·开启",nTime=15,key="公共事件2",},</t>
  </si>
  <si>
    <t>{nClass=20,nIcon=17135,nFrame=0,szName="无法携带更多任务奖励",nTime=10,nRefresh=600,key="道具上限",},</t>
  </si>
  <si>
    <t>安庆绪倒行逆施，欲派人出海寻找龙脉，天策密探阶苔获取关键情报，不料身份泄露被无名手下追杀。请诸位侠士速至战乱天策药师观接应阶苔归来。\n</t>
  </si>
  <si>
    <t>{nClass=20,nIcon=17135,nFrame=0,szName="天策·战乱·门派事件·药师观",nTime=10,key="门派事件1",},</t>
  </si>
  <si>
    <t>天策密探阶苔屡次逃脱，无名震怒之下，亲自前来。此番，阶苔能否逃脱无名追杀呢？\n</t>
  </si>
  <si>
    <t>波光鳞影鱼欢跃，湖边垂钓闲趣多。君山洞庭，尤鱼类繁多。还请各路侠士移驾君山丐帮洞庭水畔垂钓，一来为老帮主之寿宴做些准备，二来亦可广交天下之英杰！\n</t>
  </si>
  <si>
    <t>{nClass=20,nIcon=17135,nFrame=0,szName="丐帮·门派事件·龙首山",nTime=10,key="门派事件1",},</t>
  </si>
  <si>
    <t>尹天赐寿宴已经开始，欢迎各路侠士前往丐帮轩辕台参加这场武林盛会！\n</t>
  </si>
  <si>
    <t>{nClass=20,nIcon=17135,nFrame=0,szName="丐帮·门派事件·轩辕台",nTime=10,key="门派事件1",},</t>
  </si>
  <si>
    <t>你已接受了[笔墨书香添风雅]。\n</t>
  </si>
  <si>
    <t>{nClass=20,nIcon=4946,nFrame=5,szName="周易·左边右上角",nTime=0,key="周易",},</t>
  </si>
  <si>
    <t>{nClass=20,nIcon=4946,nFrame=5,szName="礼记·左边中间",nTime=0,key="礼记",},</t>
  </si>
  <si>
    <t>{nClass=20,nIcon=4946,nFrame=5,szName="世说新语·左边左上角",nTime=0,key="世说新语",},</t>
  </si>
  <si>
    <t>{nClass=20,nIcon=4946,nFrame=5,szName="春秋繁露·右边中间",nTime=0,key="春秋繁露",},</t>
  </si>
  <si>
    <t>你放弃了[笔墨书香添风雅]。\n</t>
  </si>
  <si>
    <t>你已完成了[笔墨书香添风雅]。\n</t>
  </si>
  <si>
    <t>请在秋叶华附近使用。\n</t>
  </si>
  <si>
    <t>{nClass=20,nIcon=17135,nFrame=5,szName="左边·第一排·第二个",nTime=10,nRefresh=5,key="故园风雨1",},</t>
  </si>
  <si>
    <t>奚人小儿妄图攻破东陉关，请众位侠士速速至东陉关集合，给那奚人小儿点颜色瞧瞧！\n</t>
  </si>
  <si>
    <t>{nClass=20,nIcon=17135,nFrame=0,szName="苍云·门派事件·东陉关",nTime=10,key="门派事件1",},</t>
  </si>
  <si>
    <t>奸臣所害矿药物资匮，黑云压城扬我苍云威！那奚人库莫率手下潜入苍云堡，众将士速到苍云堡门口集合，务必让这库莫有来无回！\n</t>
  </si>
  <si>
    <t>{nClass=20,nIcon=17135,nFrame=0,szName="苍云·门派事件·苍云堡",nTime=10,key="门派事件1",},</t>
  </si>
  <si>
    <t>你已接受了[红尘饮茶·芋粉扣肉]。\n</t>
  </si>
  <si>
    <t>{nClass=20,nIcon=17135,nFrame=7,szName="茶馆·预测",nTime="30,预测·精肉|杂碎|枸杞|锡铜;60,任务1·芋粉扣肉;90,任务2·枸杞;120,任务3·五香酱肉;150,任务4·锡矿;180,任务5·铜矿;210,任务6·安顿流民;240,任务7·动物肉块;270,任务8·打水煮茶;300,任务9·江湖秘闻;330,任务10·采集蜂蜜",nRefresh=3600,key="茶馆·预测",},</t>
  </si>
  <si>
    <t>{nClass=20,nIcon=17135,nFrame=6,szName="芋粉扣肉·枸杞（可能）",nTime=30,nRefresh=3600,key="茶馆·预测·任务1",},</t>
  </si>
  <si>
    <t>{nClass=20,nIcon=17135,nFrame=6,szName="五香酱肉·锡矿",nTime=30,nRefresh=3600,key="茶馆·预测·任务2",},</t>
  </si>
  <si>
    <t>{nClass=20,nIcon=17135,nFrame=6,szName="铜矿·安顿流民",nTime=30,nRefresh=3600,key="茶馆·预测·任务3",},</t>
  </si>
  <si>
    <t>{nClass=20,nIcon=17135,nFrame=6,szName="动物肉块·打水煮茶",nTime=30,nRefresh=3600,key="茶馆·预测·任务4",},</t>
  </si>
  <si>
    <t>{nClass=20,nIcon=17135,nFrame=6,szName="江湖秘闻·采集蜂蜜",nTime=30,nRefresh=3600,key="茶馆·预测·任务5",},</t>
  </si>
  <si>
    <t>你已接受了[红尘饮茶·教训混混]。\n</t>
  </si>
  <si>
    <t>{nClass=20,nIcon=17135,nFrame=7,szName="茶馆·预测",nTime="30,本日预测·爱心满满;60,任务1·教训混混;90,任务2·风雅对诗;120,任务3·青龙棋局;150,任务4·花茶材料;180,任务5·收集柴火;210,任务6·采集蜂蜜;240,任务7·调皮灵猫;270,任务8·江湖秘闻;300,任务9·打水煮茶;330,任务10·动物肉块",nRefresh=3600,key="茶馆·预测",},</t>
  </si>
  <si>
    <t>{nClass=20,nIcon=17135,nFrame=6,szName="教训混混·风雅对诗",nTime=30,nRefresh=3600,key="茶馆·预测·任务1",},</t>
  </si>
  <si>
    <t>{nClass=20,nIcon=17135,nFrame=6,szName="青龙棋局·花茶材料",nTime=30,nRefresh=3600,key="茶馆·预测·任务2",},</t>
  </si>
  <si>
    <t>{nClass=20,nIcon=17135,nFrame=6,szName="收集柴火·采集蜂蜜",nTime=30,nRefresh=3600,key="茶馆·预测·任务3",},</t>
  </si>
  <si>
    <t>{nClass=20,nIcon=17135,nFrame=6,szName="调皮灵猫·江湖秘闻",nTime=30,nRefresh=3600,key="茶馆·预测·任务4",},</t>
  </si>
  <si>
    <t>{nClass=20,nIcon=17135,nFrame=6,szName="打水煮茶·动物肉块",nTime=30,nRefresh=3600,key="茶馆·预测·任务5",},</t>
  </si>
  <si>
    <t>你已接受了[红尘饮茶·五香酱肉]。\n</t>
  </si>
  <si>
    <t>{nClass=20,nIcon=17135,nFrame=7,szName="茶馆·预测",nTime="30,预测·杂碎|锡铜;60,任务1·五香酱肉;90,任务2·锡矿;120,任务3·铜矿;150,任务4·安顿流民;180,任务5·动物肉块;210,任务6·打水煮茶;240,任务7·江湖秘闻;270,任务8·采集蜂蜜;300,任务9·教训混混;330,任务10·风雅对诗",nRefresh=3600,key="茶馆·预测",},</t>
  </si>
  <si>
    <t>{nClass=20,nIcon=17135,nFrame=6,szName="五香酱肉·锡矿",nTime=30,nRefresh=3600,key="茶馆·预测·任务1",},</t>
  </si>
  <si>
    <t>{nClass=20,nIcon=17135,nFrame=6,szName="铜矿·安顿流民",nTime=30,nRefresh=3600,key="茶馆·预测·任务2",},</t>
  </si>
  <si>
    <t>{nClass=20,nIcon=17135,nFrame=6,szName="动物肉块·打水煮茶",nTime=30,nRefresh=3600,key="茶馆·预测·任务3",},</t>
  </si>
  <si>
    <t>{nClass=20,nIcon=17135,nFrame=6,szName="江湖秘闻·采集蜂蜜",nTime=30,nRefresh=3600,key="茶馆·预测·任务4",},</t>
  </si>
  <si>
    <t>{nClass=20,nIcon=17135,nFrame=6,szName="教训混混·风雅对诗",nTime=30,nRefresh=3600,key="茶馆·预测·任务5",},</t>
  </si>
  <si>
    <t>你已接受了[红尘饮茶·风雅对诗]。\n</t>
  </si>
  <si>
    <t>{nClass=20,nIcon=17135,nFrame=7,szName="茶馆·预测",nTime="30,本日预测·爱心满满;60,任务1·风雅对诗;90,任务2·青龙棋局;120,任务3·花茶材料;150,任务4·收集柴火;180,任务5·调皮灵猫;210,任务6·教训混混;240,任务7·采集蜂蜜;270,任务8·江湖秘闻;300,任务9·打水煮茶;330,任务10·动物肉块",nRefresh=3600,key="茶馆·预测",},</t>
  </si>
  <si>
    <t>{nClass=20,nIcon=17135,nFrame=6,szName="风雅对诗·青龙棋局",nTime=30,nRefresh=3600,key="茶馆·预测·任务1",},</t>
  </si>
  <si>
    <t>{nClass=20,nIcon=17135,nFrame=6,szName="花茶材料·收集柴火",nTime=30,nRefresh=3600,key="茶馆·预测·任务2",},</t>
  </si>
  <si>
    <t>{nClass=20,nIcon=17135,nFrame=6,szName="调皮灵猫·教训混混",nTime=30,nRefresh=3600,key="茶馆·预测·任务3",},</t>
  </si>
  <si>
    <t>{nClass=20,nIcon=17135,nFrame=6,szName="采集蜂蜜·江湖秘闻",nTime=30,nRefresh=3600,key="茶馆·预测·任务4",},</t>
  </si>
  <si>
    <t>你已接受了[红尘饮茶·铜矿]。\n</t>
  </si>
  <si>
    <t>{nClass=20,nIcon=17135,nFrame=7,szName="茶馆·预测",nTime="30,预测·锡铜;60,任务1·铜矿;90,任务2·安顿流民;120,任务3·锡矿;150,任务4·动物肉块;180,任务5·打水煮茶;210,任务6·江湖秘闻;240,任务7·采集蜂蜜;270,任务8·教训混混;300,任务9·风雅对诗;330,任务10·青龙棋局",nRefresh=3600,key="茶馆·预测",},</t>
  </si>
  <si>
    <t>{nClass=20,nIcon=17135,nFrame=6,szName="铜矿·安顿流民",nTime=30,nRefresh=3600,key="茶馆·预测·任务1",},</t>
  </si>
  <si>
    <t>{nClass=20,nIcon=17135,nFrame=6,szName="锡矿·动物肉块",nTime=30,nRefresh=3600,key="茶馆·预测·任务2",},</t>
  </si>
  <si>
    <t>{nClass=20,nIcon=17135,nFrame=6,szName="打水煮茶·江湖秘闻",nTime=30,nRefresh=3600,key="茶馆·预测·任务3",},</t>
  </si>
  <si>
    <t>{nClass=20,nIcon=17135,nFrame=6,szName="采集蜂蜜·教训混混",nTime=30,nRefresh=3600,key="茶馆·预测·任务4",},</t>
  </si>
  <si>
    <t>{nClass=20,nIcon=17135,nFrame=6,szName="风雅对诗·青龙棋局",nTime=30,nRefresh=3600,key="茶馆·预测·任务5",},</t>
  </si>
  <si>
    <t>你已接受了[红尘饮茶·花茶材料]。\n</t>
  </si>
  <si>
    <t>{nClass=20,nIcon=17135,nFrame=7,szName="茶馆·预测",nTime="30,本日预测·爱心满满;60,任务1·花茶材料;90,任务2·收集柴火;120,任务3·调皮灵猫;150,任务4·青龙棋局;180,任务5·风雅对诗;210,任务6·教训混混;240,任务7·采集蜂蜜;270,任务8·江湖秘闻;300,任务9·打水煮茶;330,任务10·动物肉块",nRefresh=3600,key="茶馆·预测",},</t>
  </si>
  <si>
    <t>{nClass=20,nIcon=17135,nFrame=6,szName="花茶材料·收集柴火",nTime=30,nRefresh=3600,key="茶馆·预测·任务1",},</t>
  </si>
  <si>
    <t>{nClass=20,nIcon=17135,nFrame=6,szName="调皮灵猫·青龙棋局",nTime=30,nRefresh=3600,key="茶馆·预测·任务2",},</t>
  </si>
  <si>
    <t>{nClass=20,nIcon=17135,nFrame=6,szName="风雅对诗·教训混混",nTime=30,nRefresh=3600,key="茶馆·预测·任务3",},</t>
  </si>
  <si>
    <t>你已接受了[红尘饮茶·安顿流民]。\n</t>
  </si>
  <si>
    <t>{nClass=20,nIcon=17135,nFrame=7,szName="茶馆·预测",nTime="30,本日预测·铜矿（可能）;60,任务1·安顿流民;90,任务2·动物肉块;120,任务3·打水煮茶;150,任务4·江湖秘闻;180,任务5·采集蜂蜜;210,任务6·教训混混;240,任务7·风雅对诗;270,任务8·青龙棋局;300,任务9·花茶材料;330,任务10·收集柴火|铜矿",nRefresh=3600,key="茶馆·预测",},</t>
  </si>
  <si>
    <t>{nClass=20,nIcon=17135,nFrame=6,szName="安顿流民·动物肉块",nTime=30,nRefresh=3600,key="茶馆·预测·任务1",},</t>
  </si>
  <si>
    <t>{nClass=20,nIcon=17135,nFrame=6,szName="打水煮茶·江湖秘闻",nTime=30,nRefresh=3600,key="茶馆·预测·任务2",},</t>
  </si>
  <si>
    <t>{nClass=20,nIcon=17135,nFrame=6,szName="采集蜂蜜·教训混混",nTime=30,nRefresh=3600,key="茶馆·预测·任务3",},</t>
  </si>
  <si>
    <t>{nClass=20,nIcon=17135,nFrame=6,szName="风雅对诗·青龙棋局",nTime=30,nRefresh=3600,key="茶馆·预测·任务4",},</t>
  </si>
  <si>
    <t>{nClass=20,nIcon=17135,nFrame=6,szName="花茶材料·收集柴火|铜矿",nTime=30,nRefresh=3600,key="茶馆·预测·任务5",},</t>
  </si>
  <si>
    <t>你已接受了[红尘饮茶·收集柴火]。\n</t>
  </si>
  <si>
    <t>{nClass=20,nIcon=17135,nFrame=7,szName="茶馆·预测",nTime="30,本日预测·爱心满满;60,任务1·收集柴火;90,任务2·调皮灵猫;120,任务3·花茶材料;150,任务4·青龙棋局;180,任务5·风雅对诗;210,任务6·教训混混;240,任务7·采集蜂蜜;270,任务8·江湖秘闻;300,任务9·打水煮茶;330,任务10·动物肉块",nRefresh=3600,key="茶馆·预测",},</t>
  </si>
  <si>
    <t>{nClass=20,nIcon=17135,nFrame=6,szName="收集柴火·调皮灵猫",nTime=30,nRefresh=3600,key="茶馆·预测·任务1",},</t>
  </si>
  <si>
    <t>{nClass=20,nIcon=17135,nFrame=6,szName="花茶材料·青龙棋局",nTime=30,nRefresh=3600,key="茶馆·预测·任务2",},</t>
  </si>
  <si>
    <t>你已接受了[红尘饮茶·打水煮茶]。\n</t>
  </si>
  <si>
    <t>{nClass=20,nIcon=17135,nFrame=7,szName="茶馆·预测",nTime="30,本日预测·爱心满满;60,任务1·打水煮茶;90,任务2·江湖秘闻;120,任务3·采集蜂蜜;150,任务4·动物肉块;180,任务5·教训混混;210,任务6·风雅对诗;240,任务7·青龙棋局;270,任务8·花茶材料;300,任务9·收集柴火;330,任务10·调皮灵猫",nRefresh=3600,key="茶馆·预测",},</t>
  </si>
  <si>
    <t>{nClass=20,nIcon=17135,nFrame=5,szName="游泳状态·即可打水",nTime=10,key="茶馆·提示0",},</t>
  </si>
  <si>
    <t>{nClass=20,nIcon=17135,nFrame=6,szName="打水煮茶·江湖秘闻",nTime=30,nRefresh=3600,key="茶馆·预测·任务1",},</t>
  </si>
  <si>
    <t>{nClass=20,nIcon=17135,nFrame=6,szName="采集蜂蜜·动物肉块",nTime=30,nRefresh=3600,key="茶馆·预测·任务2",},</t>
  </si>
  <si>
    <t>{nClass=20,nIcon=17135,nFrame=6,szName="教训混混·风雅对诗",nTime=30,nRefresh=3600,key="茶馆·预测·任务3",},</t>
  </si>
  <si>
    <t>{nClass=20,nIcon=17135,nFrame=6,szName="青龙棋局·花茶材料",nTime=30,nRefresh=3600,key="茶馆·预测·任务4",},</t>
  </si>
  <si>
    <t>{nClass=20,nIcon=17135,nFrame=6,szName="收集柴火·调皮灵猫",nTime=30,nRefresh=3600,key="茶馆·预测·任务5",},</t>
  </si>
  <si>
    <t>你已接受了[红尘饮茶·川贝]。\n</t>
  </si>
  <si>
    <t>{nClass=20,nIcon=17135,nFrame=7,szName="茶馆·预测",nTime="30,预测·川贝|枸杞|精肉|杂碎|锡铜;60,任务1·川贝;90,任务2·枸杞;120,任务3·芋粉扣肉;150,任务4·五香酱肉;180,任务5·锡矿;210,任务6·铜矿;240,任务7·调皮灵猫;270,任务8·收集柴火;300,任务9·花茶材料;330,任务10·青龙棋局|安顿流民",nRefresh=3600,key="茶馆·预测",},</t>
  </si>
  <si>
    <t>{nClass=20,nIcon=17135,nFrame=6,szName="川贝·枸杞",nTime=30,nRefresh=3600,key="茶馆·预测·任务1",},</t>
  </si>
  <si>
    <t>{nClass=20,nIcon=17135,nFrame=6,szName="芋粉扣肉·五香酱肉",nTime=30,nRefresh=3600,key="茶馆·预测·任务2",},</t>
  </si>
  <si>
    <t>{nClass=20,nIcon=17135,nFrame=6,szName="锡矿·铜矿",nTime=30,nRefresh=3600,key="茶馆·预测·任务3",},</t>
  </si>
  <si>
    <t>{nClass=20,nIcon=17135,nFrame=6,szName="调皮灵猫·收集柴火",nTime=30,nRefresh=3600,key="茶馆·预测·任务4",},</t>
  </si>
  <si>
    <t>{nClass=20,nIcon=17135,nFrame=6,szName="花茶材料·青龙棋局|安顿流民",nTime=30,nRefresh=3600,key="茶馆·预测·任务5",},</t>
  </si>
  <si>
    <t>你已接受了[红尘饮茶·江湖秘闻]。\n</t>
  </si>
  <si>
    <t>{nClass=20,nIcon=17135,nFrame=7,szName="茶馆·预测",nTime="30,本日预测·爱心满满;60,任务1·江湖秘闻;90,任务2·采集蜂蜜;120,任务3·教训混混;150,任务4·风雅对诗;180,任务5·青龙棋局;210,任务6·花茶材料;240,任务7·收集柴火;270,任务8·调皮灵猫;300,任务9·打水煮茶;330,任务10·动物肉块",nRefresh=3600,key="茶馆·预测",},</t>
  </si>
  <si>
    <t>{nClass=20,nIcon=17135,nFrame=6,szName="江湖秘闻·采集蜂蜜",nTime=30,nRefresh=3600,key="茶馆·预测·任务1",},</t>
  </si>
  <si>
    <t>{nClass=20,nIcon=17135,nFrame=6,szName="教训混混·风雅对诗",nTime=30,nRefresh=3600,key="茶馆·预测·任务2",},</t>
  </si>
  <si>
    <t>{nClass=20,nIcon=17135,nFrame=6,szName="青龙棋局·花茶材料",nTime=30,nRefresh=3600,key="茶馆·预测·任务3",},</t>
  </si>
  <si>
    <t>{nClass=20,nIcon=17135,nFrame=6,szName="收集柴火·调皮灵猫",nTime=30,nRefresh=3600,key="茶馆·预测·任务4",},</t>
  </si>
  <si>
    <t>你已接受了[红尘饮茶·枸杞]。\n</t>
  </si>
  <si>
    <t>{nClass=20,nIcon=17135,nFrame=7,szName="茶馆·预测",nTime="30,预测·枸杞|精肉|杂碎|锡铜;60,任务1·枸杞;90,任务2·芋粉扣肉;120,任务3·五香酱肉;150,任务4·锡矿;180,任务5·铜矿;210,任务6·安顿流民;240,任务7·动物肉块;270,任务8·打水煮茶;300,任务9·江湖秘闻;330,任务10·采集蜂蜜",nRefresh=3600,key="茶馆·预测",},</t>
  </si>
  <si>
    <t>{nClass=20,nIcon=17135,nFrame=6,szName="枸杞·芋粉扣肉",nTime=30,nRefresh=3600,key="茶馆·预测·任务1",},</t>
  </si>
  <si>
    <t>你已完成了[快马江湖杯中茶]。\n</t>
  </si>
  <si>
    <t>{nClass=20,nIcon=17135,nFrame=7,szName="茶馆·预测",nTime=-1,key="茶馆·预测",},</t>
  </si>
  <si>
    <t>你已接受了[偷运粮食出城去]。\n</t>
  </si>
  <si>
    <t>{nClass=20,nIcon=17135,nFrame=6,szName="天王盖地虎，宝塔镇河妖",nTime=60,key="任务·提示1",},</t>
  </si>
  <si>
    <t>{nClass=20,nIcon=17135,nFrame=6,szName="风来吴山倒，烧鱼要放糖",nTime=60,key="任务·提示2",},</t>
  </si>
  <si>
    <t>{nClass=20,nIcon=17135,nFrame=6,szName="为何不开云溪松，梦泉虎跑还没好",nTime=60,key="任务·提示3",},</t>
  </si>
  <si>
    <t>本日已经无法获得战龙玉佩。\n</t>
  </si>
  <si>
    <t>{nClass=20,nIcon=17135,nFrame=0,szName="太原事件·已上限·战龙玉佩",nTime=10.1,nRefresh=3600,key="公共事件·上限·战龙玉佩",},</t>
  </si>
  <si>
    <t>^本日还可以获得:(%d-)个战龙玉佩。</t>
  </si>
  <si>
    <t>{nClass=20,nIcon=13,nFrame=7,szName="战龙玉佩上限剩余·{$1}",nTime=15,key="公共事件·结算",},</t>
  </si>
  <si>
    <t>长歌正举行学堂晒书，侠士可前往长歌徽山书院参与，感受长歌文化。活动持续一小时，诸位侠士遇到未阅读书籍皆可阅读，是增强见识的大好机会，千万不要错过。\n</t>
  </si>
  <si>
    <t>{nClass=20,nIcon=17135,nFrame=0,szName="长歌·门派事件·徽山书院",nTime=10,key="门派事件1",},</t>
  </si>
  <si>
    <t>长歌正举行音律之试，侠士可前往长歌玉林岛参与，感受赵宫商的心路历程。音律之试分为三个阶段，按顺序开启，阶段完成则活动结束，侠士可速速前往。\n</t>
  </si>
  <si>
    <t>{nClass=20,nIcon=17135,nFrame=0,szName="长歌·门派事件·玉林岛",nTime=10,key="门派事件1",},</t>
  </si>
  <si>
    <t>{nClass=20,nIcon=17135,nFrame=3,szName="完美完成·无遮大会·九邬碧玉",nTime=5,key="公共事件·结算",},</t>
  </si>
  <si>
    <t>{nClass=20,nIcon=17135,nFrame=0,szName="无遮大会·已上限·九邬碧玉",nTime=10.1,nRefresh=3600,key="公共事件·上限·九邬碧玉",},</t>
  </si>
  <si>
    <t>你已接受了[拔刀无惧]。\n</t>
  </si>
  <si>
    <t>{nClass=20,nIcon=17135,nFrame=6,szName="前往·刀宗",nTime=15,key="任务提示1",},</t>
  </si>
  <si>
    <t>{nClass=20,nIcon=17135,nFrame=0,szName="温泉战倭·已上限·九邬碧玉",nTime=10.1,nRefresh=3600,key="公共事件·上限·九邬碧玉",},</t>
  </si>
  <si>
    <t>{nClass=20,nIcon=17135,nFrame=3,szName="完美完成·温泉战倭·九邬碧玉",nTime=5,key="公共事件·结算",},</t>
  </si>
  <si>
    <t>{nClass=20,nIcon=17135,nFrame=5,szName="在附近水坑游泳状态即可打水",nTime=10,key="茶馆·提示0",},</t>
  </si>
  <si>
    <t>”在阴山大草原捕获</t>
  </si>
  <si>
    <t>{nClass=20,nIcon=1899,nFrame=5,szName="马驹·已被捕获",nTime=10,key="阴山大草原",},</t>
  </si>
  <si>
    <t>”在黑戈壁捕获</t>
  </si>
  <si>
    <t>{nClass=20,nIcon=1899,nFrame=5,szName="马驹·已被捕获",nTime=10,key="黑戈壁",},</t>
  </si>
  <si>
    <t>{nClass=20,nIcon=17135,nFrame=3,szName="完美完成·洛阳城事件·神都玉佩",nTime=5,key="公共事件·结算",},</t>
  </si>
  <si>
    <t>你已完成了[洛阳城·攻打应天门]。\n</t>
  </si>
  <si>
    <t>{nClass=20,nIcon=17135,nFrame=0,szName="洛阳城事件·已上限·神都玉佩",nTime=10.1,nRefresh=3600,key="公共事件·上限·神都玉佩",},</t>
  </si>
  <si>
    <t>{nClass=20,nIcon=17135,nFrame=6,szName="{$1}·{$2}/{$3}",nTime=5,key="成就进度",},</t>
  </si>
  <si>
    <t>今日无法再通过互动来获得雪雪的好感度了。\n</t>
  </si>
  <si>
    <t>{nClass=20,nIcon=17135,nFrame=5,szName="雪雪·交互上限",nTime=10,nRefresh=3600,key="雪雪养成·交互上限",},</t>
  </si>
  <si>
    <t>雪雪对你的好感度上升了一个等级！新的剧情开启！\n</t>
  </si>
  <si>
    <t>{nClass=20,nIcon=17135,nFrame=3,szName="雪雪·新剧情·开启",nTime=20,nRefresh=180,key="雪雪·剧情",},</t>
  </si>
  <si>
    <t>{nClass=20,nIcon=17135,nFrame=6,szName="若命途未满不触发剧情3·一梦长",nTime=20.1,nRefresh=180,key="雪雪·剧情·提示1",},</t>
  </si>
  <si>
    <t>{nClass=20,nIcon=17135,nFrame=6,szName="雪雪依旧停留在云梦幽泽",nTime=20.1,nRefresh=180,key="雪雪·剧情·提示2",},</t>
  </si>
  <si>
    <t>{nClass=20,nIcon=17135,nFrame=6,szName="仍可·互动·做饭·旅途",nTime=20.1,nRefresh=180,key="雪雪·剧情·提示3",},</t>
  </si>
  <si>
    <t>{nClass=20,nIcon=17135,nFrame=7,szName="若命途已满可自选是否触发",nTime=20.1,nRefresh=180,key="雪雪·剧情·提示4",},</t>
  </si>
  <si>
    <t>{nClass=20,nIcon=17135,nFrame=7,szName="停云居·交互船·触发剧情3",nTime=20.1,nRefresh=180,key="雪雪·剧情·提示5",},</t>
  </si>
  <si>
    <t>此任务完成后，雪雪的命途不可再改变。想要修改雪雪的命途，可以放弃任务后选择每天带雪雪游玩。最终阶段游玩时命途的改变为平时的三倍。\n</t>
  </si>
  <si>
    <t>你已接受了[溪山再闻凌雪事]。\n</t>
  </si>
  <si>
    <t>你已完成了[山高路远祈再会]。\n</t>
  </si>
  <si>
    <t>{nClass=20,nIcon=17135,nFrame=3,szName="守卫泥兰·完美完成·沧海珠贝",nTime=5,key="公共事件·结算",},</t>
  </si>
  <si>
    <t>{nClass=20,nIcon=17135,nFrame=3,szName="完美完成·雪国冬猎·沧海珠贝",nTime=5,key="公共事件·结算",},</t>
  </si>
  <si>
    <t>你已接受了[沧澜饮茶·打水煮茶]。\n</t>
  </si>
  <si>
    <t>{nClass=20,nIcon=17135,nFrame=5,szName="在附近游泳状态即可打水",nTime=10,key="茶馆·提示0",},</t>
  </si>
  <si>
    <t>你已接受了[沧澜饮茶·江湖秘闻]。\n</t>
  </si>
  <si>
    <t>{nClass=20,nIcon=17135,nFrame=0,szName="雾岛寻丹·已上限·沧海珠贝",nTime=10.1,nRefresh=3600,key="公共事件·上限·沧海珠贝",},</t>
  </si>
  <si>
    <t>{nClass=20,nIcon=17135,nFrame=3,szName="完美完成·雾岛寻丹·沧海珠贝",nTime=5,key="公共事件·结算",},</t>
  </si>
  <si>
    <t>当前贡献度100。</t>
  </si>
  <si>
    <t>{nClass=20,nIcon=17135,nFrame=2,szName="雾岛寻丹·贡献度·已满",nTime=30,key="雾岛寻丹",},</t>
  </si>
  <si>
    <t>{nClass=20,nIcon=17135,nFrame=0,szName="越海珠贝·已上限·沧海珠贝",nTime=10.1,nRefresh=3600,key="公共事件·上限·沧海珠贝",},</t>
  </si>
  <si>
    <t>{nClass=20,nIcon=17135,nFrame=3,szName="完美完成·越海珠贝·沧海珠贝",nTime=5,key="公共事件·结算",},</t>
  </si>
  <si>
    <t>”在鲲鹏岛捕获</t>
  </si>
  <si>
    <t>{nClass=20,nIcon=1899,nFrame=5,szName="马驹·已被捕获",nTime=10,key="鲲鹏岛",},</t>
  </si>
  <si>
    <t>柴钗采货归来</t>
  </si>
  <si>
    <t>{nClass=20,nIcon=17135,nFrame=3,szName="柴钗采货归来",nTime=5,},</t>
  </si>
  <si>
    <t>你已接受了[剑照湖波]。\n</t>
  </si>
  <si>
    <t>{nClass=20,nIcon=17135,nFrame=6,szName="前往·千岛湖",nTime=15,key="任务提示1",},</t>
  </si>
  <si>
    <t>你已接受了[品茗江湖·江湖秘闻]。\n</t>
  </si>
  <si>
    <t>^恭喜你.-到了(%-?%d+%.?%d-)斤重的%[(.+)%]</t>
  </si>
  <si>
    <t>{nClass=20,nIcon=1465,nFrame=-1,szName="　",nTime=0.001,nRefresh=3600,key="哲罗鲑",},</t>
  </si>
  <si>
    <t>{nClass=20,nIcon=1465,nFrame=-1,szName="　",nTime=0.001,nRefresh=3600,key="叉尾斗鱼",},</t>
  </si>
  <si>
    <t>{nClass=20,nIcon=1465,nFrame=-1,szName="　",nTime=0.001,nRefresh=3600,key="翻车鱼",},</t>
  </si>
  <si>
    <t>{nClass=20,nIcon=17135,nFrame=5,szName="{$2}",nTime=0,key="{$2}",},</t>
  </si>
  <si>
    <t>{nClass=20,nIcon=16531,nFrame=3,szName="哲罗鲑·{$1}斤",nTime=120,nRefresh=120,key="哲罗鲑",},</t>
  </si>
  <si>
    <t>{nClass=20,nIcon=16516,nFrame=3,szName="叉尾斗鱼·{$1}斤",nTime=120,nRefresh=120,key="叉尾斗鱼",},</t>
  </si>
  <si>
    <t>{nClass=20,nIcon=16517,nFrame=3,szName="翻车鱼·{$1}斤",nTime=120,nRefresh=120,key="翻车鱼",},</t>
  </si>
  <si>
    <t>你已接受了[何日成功]。\n</t>
  </si>
  <si>
    <t>{nClass=20,nIcon=17135,nFrame=6,szName="前往·少林·乱世",nTime=15,key="任务提示1",},</t>
  </si>
  <si>
    <t>你已接受了[【天字】收书·刀宗史略]。\n</t>
  </si>
  <si>
    <t>{nClass=20,nIcon=245,nFrame=5,szName="任务终点·太原·扬州·轩辕奚笙",nTime=20,key="茶馆·抄书0",},</t>
  </si>
  <si>
    <t>{nClass=20,nIcon=245,nFrame=5,szName="刀宗史略·卷三·白鹿纸·五彩墨",nTime=20,key="茶馆·抄书1",},</t>
  </si>
  <si>
    <t>{nClass=20,nIcon=245,nFrame=5,szName="刀宗史略·卷四·玉版纸·朱砂墨",nTime=20,key="茶馆·抄书2",},</t>
  </si>
  <si>
    <t>你已接受了[【天字】收书·刀宗人物小传]。\n</t>
  </si>
  <si>
    <t>{nClass=20,nIcon=245,nFrame=5,szName="披星阁阁主·左伶·玉版纸·朱砂墨",nTime=20,key="茶馆·抄书1",},</t>
  </si>
  <si>
    <t>{nClass=20,nIcon=245,nFrame=5,szName="带月阁阁主·萧孟·粉蜡笺·玉泉墨",nTime=20,key="茶馆·抄书2",},</t>
  </si>
  <si>
    <t>你已接受了[新茗评话·推销小吃]。\n</t>
  </si>
  <si>
    <t>{nClass=20,nIcon=17135,nFrame=0,szName="若缺成就·心慈手软·可去洛阳·战乱",nTime=10,key="茶馆·成就",},</t>
  </si>
  <si>
    <t>你已完成了[新茗评话·剁馅英杰传]。\n</t>
  </si>
  <si>
    <t>{nClass=20,nIcon=7518,nFrame=5,szName="成就·肉馅豪杰",nTime=0,key="茶馆·成就",},</t>
  </si>
  <si>
    <t>你已接受了[新茗评话·江湖秘闻]。\n</t>
  </si>
  <si>
    <t>{nClass=20,nIcon=17135,nFrame=5,szName="选项1帮会+选项4门派合并为正确答案",nTime=10,key="茶馆·提示0",},</t>
  </si>
  <si>
    <t>^在众人齐心猛攻下，%[(.-)%]的世界首领“(.-)”已力竭败退！</t>
  </si>
  <si>
    <t>{nClass=20,nIcon=17135,nFrame=6,szName="{$1}·{$2}·已败退",nTime=5,nRefresh=1,key="{$2}",},</t>
  </si>
  <si>
    <t>^%[(.-)%]服务器：%[(.-)%]大侠，率领%[恶人谷%]阵营侠士们，成功夺得【([隐樵天生赤岩关]-)】</t>
  </si>
  <si>
    <t>{nClass=20,nIcon=17582,nFrame=3,szName="恶人谷·[{$1}]·{$3}",nTime=180,key="关隘·拾取·恶人谷",},</t>
  </si>
  <si>
    <t>^%[(.-)%]服务器：%[(.-)%]大侠，率领%[浩气盟%]阵营侠士们，成功夺得【([隐樵天生赤岩关]-)】</t>
  </si>
  <si>
    <t>{nClass=20,nIcon=17583,nFrame=7,szName="浩气盟·[{$1}]·{$3}",nTime=180,key="关隘·拾取·浩气盟",},</t>
  </si>
  <si>
    <t>%[(.-)%]【(.-)】岂是你们这些([浩气恶人]-)宵小敢染指的，([浩气恶人]-)的兄弟们随我杀！</t>
  </si>
  <si>
    <t>{nClass=20,nIcon=1465,nFrame=-1,szName="　",nTime=0.001,nRefresh=600,key="关隘·进攻·浩气",},</t>
  </si>
  <si>
    <t>{nClass=20,nIcon=1465,nFrame=-1,szName="　",nTime=0.001,nRefresh=600,key="关隘·进攻·恶人",},</t>
  </si>
  <si>
    <t>{nClass=20,nIcon=13,nFrame=5,szName="关隘·进攻·{$3}",nTime=0,key="关隘·进攻·{$3}",},</t>
  </si>
  <si>
    <t>{nClass=20,nIcon=11370,nFrame=7,szName="浩气进攻·[{$1}]·{$2}",nTime=10,nRefresh=10,key="关隘·进攻·浩气",},</t>
  </si>
  <si>
    <t>{nClass=20,nIcon=11369,nFrame=3,szName="恶人进攻·[{$1}]·{$2}",nTime=10,nRefresh=10,key="关隘·进攻·恶人",},</t>
  </si>
  <si>
    <t>你已进入地图【跨服·烂柯山】。</t>
  </si>
  <si>
    <t>{nClass=20,nIcon=3536,nFrame=-1,szName="",nTime=0.01,nRefresh=20,key="关阵营·失败提示1",},</t>
  </si>
  <si>
    <t>{nClass=20,nIcon=3536,nFrame=-1,szName="关阵营·失败提示1",nTime=-1,key="关阵营·失败提示1",},</t>
  </si>
  <si>
    <t>{nClass=20,nIcon=3536,nFrame=-1,szName="",nTime=0.01,nRefresh=20,key="关阵营·失败提示2",},</t>
  </si>
  <si>
    <t>{nClass=20,nIcon=3536,nFrame=-1,szName="关阵营·失败提示2",nTime=-1,key="关阵营·失败提示2",},</t>
  </si>
  <si>
    <t>{nClass=20,nIcon=13547,nFrame=-1,szName="",nTime=0.01,nRefresh=5,key="拍卖分红",},</t>
  </si>
  <si>
    <t>{nClass=20,nIcon=13547,nFrame=5,szName="拍卖分红·已获得",nTime=-1,key="拍卖分红",},</t>
  </si>
  <si>
    <t>你已接受了[战！烂柯山]。\n</t>
  </si>
  <si>
    <t>{nClass=20,nIcon=3536,nFrame=5,szName="关闭阵营模式失败",nTime=5,nRefresh=600,key="关阵营·失败提示1",},</t>
  </si>
  <si>
    <t>{nClass=20,nIcon=3536,nFrame=5,szName="查看是否接取阵营任务",nTime=5,nRefresh=600,key="关阵营·失败提示2",},</t>
  </si>
  <si>
    <t>你已接受了[保护友人]。\n</t>
  </si>
  <si>
    <t>{nClass=20,nIcon=17135,nFrame=0,szName="可以出洞口从背后攻击",nTime=30,},</t>
  </si>
  <si>
    <t>你已接受了[入人间]。\n</t>
  </si>
  <si>
    <t>{nClass=20,nIcon=17135,nFrame=0,szName="洞口在大地图泉字东边下方",nTime=20,},</t>
  </si>
  <si>
    <t>你已完成了[引人耳目]。\n</t>
  </si>
  <si>
    <t>{nClass=20,nIcon=17135,nFrame=5,szName="罗道山",nTime=0,key="罗道山",},</t>
  </si>
  <si>
    <t>你已接受了[搬运物用]。\n</t>
  </si>
  <si>
    <t>{nClass=20,nIcon=17135,nFrame=3,szName="先使用·白羽焰翼",nTime=20,nRefresh=20,key="周常提示",},</t>
  </si>
  <si>
    <t>你已完成了[搬运物用]。\n</t>
  </si>
  <si>
    <t>{nClass=20,nIcon=17135,nFrame=3,szName="周常提示",nTime=0,key="周常提示",},</t>
  </si>
  <si>
    <t>侠士一不留心打碎了酒坛，浓烈的酒香引来野猪王的觊觎！\n</t>
  </si>
  <si>
    <t>{nClass=20,nIcon=13,nFrame=5,szName="野猪王·刷新",nTime=10,key="银霜口·野猪王",},</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</si>
</sst>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宋体"/>
      <family val="2"/>
      <charset val="134"/>
    </font>
    <font>
      <sz val="11"/>
      <color theme="1"/>
      <name val="宋体"/>
      <family val="2"/>
      <charset val="134"/>
    </font>
    <font>
      <sz val="18"/>
      <color theme="3"/>
      <name val="等线 Light"/>
      <family val="2"/>
      <charset val="134"/>
      <scheme val="major"/>
    </font>
    <font>
      <b/>
      <sz val="15"/>
      <color theme="3"/>
      <name val="宋体"/>
      <family val="2"/>
      <charset val="134"/>
    </font>
    <font>
      <b/>
      <sz val="13"/>
      <color theme="3"/>
      <name val="宋体"/>
      <family val="2"/>
      <charset val="134"/>
    </font>
    <font>
      <b/>
      <sz val="11"/>
      <color theme="3"/>
      <name val="宋体"/>
      <family val="2"/>
      <charset val="134"/>
    </font>
    <font>
      <sz val="11"/>
      <color rgb="FF006100"/>
      <name val="宋体"/>
      <family val="2"/>
      <charset val="134"/>
    </font>
    <font>
      <sz val="11"/>
      <color rgb="FF9C0006"/>
      <name val="宋体"/>
      <family val="2"/>
      <charset val="134"/>
    </font>
    <font>
      <sz val="11"/>
      <color rgb="FF9C5700"/>
      <name val="宋体"/>
      <family val="2"/>
      <charset val="134"/>
    </font>
    <font>
      <sz val="11"/>
      <color rgb="FF3F3F76"/>
      <name val="宋体"/>
      <family val="2"/>
      <charset val="134"/>
    </font>
    <font>
      <b/>
      <sz val="11"/>
      <color rgb="FF3F3F3F"/>
      <name val="宋体"/>
      <family val="2"/>
      <charset val="134"/>
    </font>
    <font>
      <b/>
      <sz val="11"/>
      <color rgb="FFFA7D00"/>
      <name val="宋体"/>
      <family val="2"/>
      <charset val="134"/>
    </font>
    <font>
      <sz val="11"/>
      <color rgb="FFFA7D00"/>
      <name val="宋体"/>
      <family val="2"/>
      <charset val="134"/>
    </font>
    <font>
      <b/>
      <sz val="11"/>
      <color theme="0"/>
      <name val="宋体"/>
      <family val="2"/>
      <charset val="134"/>
    </font>
    <font>
      <sz val="11"/>
      <color rgb="FFFF0000"/>
      <name val="宋体"/>
      <family val="2"/>
      <charset val="134"/>
    </font>
    <font>
      <i/>
      <sz val="11"/>
      <color rgb="FF7F7F7F"/>
      <name val="宋体"/>
      <family val="2"/>
      <charset val="134"/>
    </font>
    <font>
      <b/>
      <sz val="11"/>
      <color theme="1"/>
      <name val="宋体"/>
      <family val="2"/>
      <charset val="134"/>
    </font>
    <font>
      <sz val="11"/>
      <color theme="0"/>
      <name val="宋体"/>
      <family val="2"/>
      <charset val="134"/>
    </font>
    <font>
      <sz val="9"/>
      <name val="宋体"/>
      <family val="2"/>
      <charset val="134"/>
    </font>
    <font>
      <u/>
      <sz val="11"/>
      <color theme="10"/>
      <name val="宋体"/>
      <family val="2"/>
      <charset val="134"/>
    </font>
    <font>
      <b/>
      <sz val="11"/>
      <color rgb="FFFF0000"/>
      <name val="宋体"/>
      <family val="3"/>
      <charset val="134"/>
    </font>
    <font>
      <b/>
      <sz val="11"/>
      <color theme="1"/>
      <name val="宋体"/>
      <family val="3"/>
      <charset val="134"/>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9">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
      <start style="thin">
        <color indexed="64"/>
      </start>
      <end style="thin">
        <color indexed="64"/>
      </end>
      <top style="thin">
        <color indexed="64"/>
      </top>
      <bottom style="thin">
        <color indexed="64"/>
      </bottom>
      <diagonal/>
    </border>
    <border>
      <start style="thin">
        <color indexed="64"/>
      </start>
      <end/>
      <top style="thin">
        <color indexed="64"/>
      </top>
      <bottom style="thin">
        <color indexed="64"/>
      </bottom>
      <diagonal/>
    </border>
    <border>
      <start/>
      <end style="thin">
        <color indexed="64"/>
      </end>
      <top style="thin">
        <color indexed="64"/>
      </top>
      <bottom style="thin">
        <color indexed="64"/>
      </bottom>
      <diagonal/>
    </border>
    <border>
      <start style="thin">
        <color indexed="64"/>
      </start>
      <end style="thin">
        <color indexed="64"/>
      </end>
      <top style="thin">
        <color indexed="64"/>
      </top>
      <bottom/>
      <diagonal/>
    </border>
    <border>
      <start style="thin">
        <color indexed="64"/>
      </start>
      <end/>
      <top style="thin">
        <color indexed="64"/>
      </top>
      <bottom/>
      <diagonal/>
    </border>
    <border>
      <start style="thin">
        <color indexed="64"/>
      </start>
      <end/>
      <top/>
      <bottom/>
      <diagonal/>
    </border>
    <border>
      <start/>
      <end style="thin">
        <color indexed="64"/>
      </end>
      <top/>
      <bottom/>
      <diagonal/>
    </border>
    <border>
      <start/>
      <end/>
      <top style="thin">
        <color indexed="64"/>
      </top>
      <bottom/>
      <diagonal/>
    </border>
    <border>
      <start style="thin">
        <color indexed="64"/>
      </start>
      <end style="thin">
        <color indexed="64"/>
      </end>
      <top/>
      <bottom/>
      <diagonal/>
    </border>
  </borders>
  <cellStyleXfs count="43">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9" fillId="0" borderId="0" applyNumberFormat="0" applyFill="0" applyBorder="0" applyAlignment="0" applyProtection="0">
      <alignment vertical="center"/>
    </xf>
  </cellStyleXfs>
  <cellXfs count="40">
    <xf numFmtId="0" fontId="0" fillId="0" borderId="0" xfId="0">
      <alignment vertical="center"/>
    </xf>
    <xf numFmtId="0" fontId="0" fillId="0" borderId="10" xfId="0" applyBorder="1">
      <alignment vertical="center"/>
    </xf>
    <xf numFmtId="0" fontId="0" fillId="0" borderId="0" xfId="0"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5" xfId="0" applyBorder="1">
      <alignment vertical="center"/>
    </xf>
    <xf numFmtId="0" fontId="0" fillId="0" borderId="0" xfId="0" applyBorder="1" applyAlignment="1">
      <alignment horizontal="center" vertical="center"/>
    </xf>
    <xf numFmtId="0" fontId="0" fillId="0" borderId="17" xfId="0" applyBorder="1" applyAlignment="1">
      <alignment horizontal="center" vertical="center"/>
    </xf>
    <xf numFmtId="0" fontId="0" fillId="0" borderId="0" xfId="0" applyBorder="1">
      <alignment vertical="center"/>
    </xf>
    <xf numFmtId="0" fontId="0" fillId="0" borderId="0" xfId="0" applyAlignment="1">
      <alignment vertical="center"/>
    </xf>
    <xf numFmtId="3" fontId="0" fillId="0" borderId="10" xfId="0" quotePrefix="1" applyNumberFormat="1" applyBorder="1" applyAlignment="1">
      <alignment horizontal="center" vertical="center"/>
    </xf>
    <xf numFmtId="0" fontId="7" fillId="3" borderId="10" xfId="7" applyBorder="1" applyAlignment="1">
      <alignment horizontal="center" vertical="center"/>
    </xf>
    <xf numFmtId="0" fontId="7" fillId="3" borderId="12" xfId="7" applyBorder="1" applyAlignment="1">
      <alignment horizontal="center" vertical="center"/>
    </xf>
    <xf numFmtId="0" fontId="0" fillId="0" borderId="10" xfId="0" applyBorder="1" applyAlignment="1">
      <alignment vertical="center"/>
    </xf>
    <xf numFmtId="0" fontId="0" fillId="0" borderId="10" xfId="0" applyFill="1" applyBorder="1" applyAlignment="1">
      <alignment vertical="center"/>
    </xf>
    <xf numFmtId="0" fontId="0" fillId="0" borderId="10" xfId="0" applyBorder="1" applyAlignment="1">
      <alignment horizontal="left" vertical="center"/>
    </xf>
    <xf numFmtId="0" fontId="0" fillId="33" borderId="10" xfId="0" applyFill="1" applyBorder="1">
      <alignment vertical="center"/>
    </xf>
    <xf numFmtId="0" fontId="6" fillId="2" borderId="10" xfId="6" applyBorder="1">
      <alignment vertical="center"/>
    </xf>
    <xf numFmtId="0" fontId="7" fillId="3" borderId="10" xfId="7" applyBorder="1" applyAlignment="1">
      <alignment horizontal="center" vertical="center"/>
    </xf>
    <xf numFmtId="0" fontId="0" fillId="33" borderId="10" xfId="0" applyFill="1" applyBorder="1" applyAlignment="1">
      <alignment vertical="center"/>
    </xf>
    <xf numFmtId="0" fontId="0" fillId="33" borderId="11" xfId="0" applyFill="1" applyBorder="1" applyAlignment="1">
      <alignment vertical="center"/>
    </xf>
    <xf numFmtId="0" fontId="21" fillId="33" borderId="10" xfId="0" applyFont="1" applyFill="1" applyBorder="1" applyAlignment="1">
      <alignment vertical="center"/>
    </xf>
    <xf numFmtId="0" fontId="0" fillId="33" borderId="10" xfId="0" applyFill="1" applyBorder="1" applyAlignment="1">
      <alignment horizontal="left" vertical="center"/>
    </xf>
    <xf numFmtId="0" fontId="20" fillId="33" borderId="0" xfId="0" applyFont="1" applyFill="1" applyAlignment="1">
      <alignment horizontal="center" vertical="center"/>
    </xf>
    <xf numFmtId="0" fontId="20" fillId="33" borderId="10" xfId="0" applyFont="1" applyFill="1" applyBorder="1">
      <alignment vertical="center"/>
    </xf>
    <xf numFmtId="0" fontId="0" fillId="0" borderId="10" xfId="0" applyFill="1" applyBorder="1" applyAlignment="1">
      <alignment horizontal="left" vertical="center"/>
    </xf>
    <xf numFmtId="0" fontId="19" fillId="0" borderId="10" xfId="42" applyBorder="1">
      <alignment vertical="center"/>
    </xf>
    <xf numFmtId="0" fontId="7" fillId="3" borderId="10" xfId="7" applyBorder="1" applyAlignment="1">
      <alignment vertical="center"/>
    </xf>
    <xf numFmtId="0" fontId="7" fillId="3" borderId="10" xfId="7" applyBorder="1" applyAlignment="1">
      <alignment horizontal="left" vertical="center"/>
    </xf>
    <xf numFmtId="0" fontId="7" fillId="3" borderId="10" xfId="7" applyBorder="1">
      <alignment vertical="center"/>
    </xf>
    <xf numFmtId="0" fontId="7" fillId="3" borderId="18" xfId="7" applyBorder="1" applyAlignment="1">
      <alignment horizontal="left" vertical="center"/>
    </xf>
    <xf numFmtId="0" fontId="7" fillId="3" borderId="13" xfId="7" applyBorder="1">
      <alignment vertical="center"/>
    </xf>
    <xf numFmtId="0" fontId="0" fillId="33" borderId="10" xfId="0" quotePrefix="1" applyFill="1" applyBorder="1" applyAlignment="1">
      <alignment vertical="center"/>
    </xf>
    <xf numFmtId="0" fontId="7" fillId="3" borderId="10" xfId="7" applyBorder="1" applyAlignment="1">
      <alignment horizontal="center" vertical="center"/>
    </xf>
    <xf numFmtId="0" fontId="7" fillId="3" borderId="11" xfId="7" applyBorder="1" applyAlignment="1">
      <alignment horizontal="center" vertical="center"/>
    </xf>
    <xf numFmtId="0" fontId="7" fillId="3" borderId="12" xfId="7" applyBorder="1" applyAlignment="1">
      <alignment horizontal="center" vertical="center"/>
    </xf>
  </cellXfs>
  <cellStyles count="43">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超链接" xfId="42" builtinId="8"/>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worksheet" Target="worksheets/sheet8.xml"/><Relationship Id="rId13" Type="http://purl.oclc.org/ooxml/officeDocument/relationships/calcChain" Target="calcChain.xml"/><Relationship Id="rId3" Type="http://purl.oclc.org/ooxml/officeDocument/relationships/worksheet" Target="worksheets/sheet3.xml"/><Relationship Id="rId7" Type="http://purl.oclc.org/ooxml/officeDocument/relationships/worksheet" Target="worksheets/sheet7.xml"/><Relationship Id="rId12" Type="http://purl.oclc.org/ooxml/officeDocument/relationships/sharedStrings" Target="sharedStrings.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worksheet" Target="worksheets/sheet6.xml"/><Relationship Id="rId11" Type="http://purl.oclc.org/ooxml/officeDocument/relationships/styles" Target="styles.xml"/><Relationship Id="rId5" Type="http://purl.oclc.org/ooxml/officeDocument/relationships/worksheet" Target="worksheets/sheet5.xml"/><Relationship Id="rId10" Type="http://purl.oclc.org/ooxml/officeDocument/relationships/theme" Target="theme/theme1.xml"/><Relationship Id="rId4" Type="http://purl.oclc.org/ooxml/officeDocument/relationships/worksheet" Target="worksheets/sheet4.xml"/><Relationship Id="rId9" Type="http://purl.oclc.org/ooxml/officeDocument/relationships/worksheet" Target="worksheets/sheet9.xml"/></Relationships>
</file>

<file path=xl/theme/theme1.xml><?xml version="1.0" encoding="utf-8"?>
<a:theme xmlns:a="http://purl.oclc.org/ooxml/drawingml/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purl.oclc.org/ooxml/officeDocument/relationships/hyperlink" Target="https://www.jx3box.com/tool/60356" TargetMode="External"/><Relationship Id="rId2" Type="http://purl.oclc.org/ooxml/officeDocument/relationships/hyperlink" Target="https://www.jx3box.com/tool/74098" TargetMode="External"/><Relationship Id="rId1" Type="http://purl.oclc.org/ooxml/officeDocument/relationships/hyperlink" Target="https://www.jx3box.com/tool/17349" TargetMode="External"/><Relationship Id="rId4" Type="http://purl.oclc.org/ooxml/officeDocument/relationships/printerSettings" Target="../printerSettings/printerSettings1.bin"/></Relationships>
</file>

<file path=xl/worksheets/_rels/sheet2.xml.rels><?xml version="1.0" encoding="UTF-8" standalone="yes"?>
<Relationships xmlns="http://schemas.openxmlformats.org/package/2006/relationships"><Relationship Id="rId1" Type="http://purl.oclc.org/ooxml/officeDocument/relationships/printerSettings" Target="../printerSettings/printerSettings2.bin"/></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D2665-9A55-4092-B9FA-950D5A6A50BE}">
  <dimension ref="A1:G118"/>
  <sheetViews>
    <sheetView topLeftCell="A49" zoomScale="90" zoomScaleNormal="90" workbookViewId="0">
      <selection activeCell="C76" sqref="C76"/>
    </sheetView>
  </sheetViews>
  <sheetFormatPr defaultRowHeight="13.5" x14ac:dyDescent="0.15"/>
  <cols>
    <col min="1" max="1" width="28.25" customWidth="1"/>
    <col min="2" max="2" width="23.625" customWidth="1"/>
    <col min="3" max="4" width="30.625" customWidth="1"/>
    <col min="5" max="5" width="110.375" customWidth="1"/>
    <col min="6" max="6" width="12.625" customWidth="1"/>
    <col min="7" max="7" width="15.125" customWidth="1"/>
    <col min="8" max="8" width="31.75" customWidth="1"/>
  </cols>
  <sheetData>
    <row r="1" spans="1:7" x14ac:dyDescent="0.15">
      <c r="A1" s="21" t="s">
        <v>279</v>
      </c>
      <c r="B1" s="20" t="s">
        <v>1947</v>
      </c>
      <c r="C1" s="27" t="s">
        <v>1939</v>
      </c>
    </row>
    <row r="2" spans="1:7" x14ac:dyDescent="0.15">
      <c r="A2" s="21" t="s">
        <v>270</v>
      </c>
      <c r="B2" s="1" t="s">
        <v>271</v>
      </c>
      <c r="C2" s="27" t="s">
        <v>1939</v>
      </c>
      <c r="D2" s="1" t="s">
        <v>1952</v>
      </c>
      <c r="E2" s="30" t="s">
        <v>1955</v>
      </c>
    </row>
    <row r="3" spans="1:7" x14ac:dyDescent="0.15">
      <c r="A3" s="21" t="s">
        <v>273</v>
      </c>
      <c r="B3" s="1" t="s">
        <v>272</v>
      </c>
      <c r="C3" s="27" t="s">
        <v>1939</v>
      </c>
      <c r="D3" s="1" t="s">
        <v>1953</v>
      </c>
      <c r="E3" s="30" t="s">
        <v>1954</v>
      </c>
    </row>
    <row r="4" spans="1:7" x14ac:dyDescent="0.15">
      <c r="A4" s="21" t="str">
        <f ca="1">"nTimeStamp = "&amp;((NOW()-70*365-19)*86400-8*3600)*1000&amp;","</f>
        <v>nTimeStamp = 1763141748240,</v>
      </c>
      <c r="B4" s="1" t="s">
        <v>274</v>
      </c>
      <c r="C4" s="27" t="s">
        <v>1939</v>
      </c>
      <c r="D4" s="20" t="s">
        <v>1981</v>
      </c>
      <c r="E4" s="20"/>
    </row>
    <row r="5" spans="1:7" x14ac:dyDescent="0.15">
      <c r="A5" s="21" t="s">
        <v>276</v>
      </c>
      <c r="B5" s="1" t="s">
        <v>275</v>
      </c>
      <c r="C5" s="27" t="s">
        <v>1939</v>
      </c>
      <c r="D5" s="20" t="s">
        <v>2023</v>
      </c>
      <c r="E5" s="20"/>
    </row>
    <row r="6" spans="1:7" x14ac:dyDescent="0.15">
      <c r="A6" s="21" t="s">
        <v>1491</v>
      </c>
      <c r="B6" s="1" t="s">
        <v>277</v>
      </c>
      <c r="C6" s="27" t="s">
        <v>1939</v>
      </c>
      <c r="D6" s="20" t="s">
        <v>2019</v>
      </c>
      <c r="E6" s="20"/>
    </row>
    <row r="7" spans="1:7" x14ac:dyDescent="0.15">
      <c r="A7" s="21" t="s">
        <v>1492</v>
      </c>
      <c r="B7" s="1" t="s">
        <v>278</v>
      </c>
      <c r="C7" s="27" t="s">
        <v>1939</v>
      </c>
      <c r="D7" s="20" t="s">
        <v>2020</v>
      </c>
      <c r="E7" s="20"/>
    </row>
    <row r="8" spans="1:7" x14ac:dyDescent="0.15">
      <c r="A8" s="21" t="s">
        <v>280</v>
      </c>
      <c r="B8" s="1"/>
      <c r="C8" s="27" t="s">
        <v>1939</v>
      </c>
      <c r="D8" s="20" t="s">
        <v>2021</v>
      </c>
      <c r="E8" s="20"/>
    </row>
    <row r="9" spans="1:7" x14ac:dyDescent="0.15">
      <c r="C9" s="27" t="s">
        <v>1939</v>
      </c>
    </row>
    <row r="10" spans="1:7" x14ac:dyDescent="0.15">
      <c r="A10" s="1" t="s">
        <v>1493</v>
      </c>
      <c r="B10" s="1"/>
      <c r="C10" s="27" t="s">
        <v>1939</v>
      </c>
      <c r="D10" s="1"/>
    </row>
    <row r="11" spans="1:7" x14ac:dyDescent="0.15">
      <c r="A11" s="17" t="s">
        <v>1251</v>
      </c>
      <c r="B11" s="17" t="s">
        <v>1252</v>
      </c>
      <c r="C11" s="27" t="s">
        <v>1939</v>
      </c>
      <c r="D11" s="17" t="s">
        <v>1251</v>
      </c>
      <c r="E11" s="13"/>
      <c r="F11" s="13"/>
      <c r="G11" s="13"/>
    </row>
    <row r="12" spans="1:7" x14ac:dyDescent="0.15">
      <c r="A12" s="17" t="s">
        <v>316</v>
      </c>
      <c r="B12" s="17" t="s">
        <v>1258</v>
      </c>
      <c r="C12" s="27" t="s">
        <v>1939</v>
      </c>
      <c r="D12" s="17" t="s">
        <v>316</v>
      </c>
      <c r="E12" s="13"/>
      <c r="F12" s="13"/>
      <c r="G12" s="13"/>
    </row>
    <row r="13" spans="1:7" x14ac:dyDescent="0.15">
      <c r="A13" s="17" t="s">
        <v>1253</v>
      </c>
      <c r="B13" s="17" t="s">
        <v>1259</v>
      </c>
      <c r="C13" s="27" t="s">
        <v>1939</v>
      </c>
      <c r="D13" s="17" t="s">
        <v>1253</v>
      </c>
      <c r="E13" s="13"/>
      <c r="F13" s="13"/>
      <c r="G13" s="13"/>
    </row>
    <row r="14" spans="1:7" x14ac:dyDescent="0.15">
      <c r="A14" s="17" t="s">
        <v>1254</v>
      </c>
      <c r="B14" s="17" t="s">
        <v>1260</v>
      </c>
      <c r="C14" s="27" t="s">
        <v>1939</v>
      </c>
      <c r="D14" s="17" t="s">
        <v>1254</v>
      </c>
      <c r="E14" s="13"/>
      <c r="F14" s="13"/>
      <c r="G14" s="13"/>
    </row>
    <row r="15" spans="1:7" x14ac:dyDescent="0.15">
      <c r="A15" s="17" t="s">
        <v>1255</v>
      </c>
      <c r="B15" s="17" t="s">
        <v>1261</v>
      </c>
      <c r="C15" s="27" t="s">
        <v>1939</v>
      </c>
      <c r="D15" s="17" t="s">
        <v>1255</v>
      </c>
      <c r="E15" s="13"/>
      <c r="F15" s="13"/>
      <c r="G15" s="13"/>
    </row>
    <row r="16" spans="1:7" x14ac:dyDescent="0.15">
      <c r="A16" s="17" t="s">
        <v>1256</v>
      </c>
      <c r="B16" s="17" t="s">
        <v>1262</v>
      </c>
      <c r="C16" s="27" t="s">
        <v>1939</v>
      </c>
      <c r="D16" s="17" t="s">
        <v>1256</v>
      </c>
      <c r="E16" s="13"/>
      <c r="F16" s="13"/>
      <c r="G16" s="13"/>
    </row>
    <row r="17" spans="1:7" x14ac:dyDescent="0.15">
      <c r="A17" s="17" t="s">
        <v>1490</v>
      </c>
      <c r="B17" s="17" t="s">
        <v>1263</v>
      </c>
      <c r="C17" s="27" t="s">
        <v>1939</v>
      </c>
      <c r="D17" s="17" t="s">
        <v>1257</v>
      </c>
      <c r="E17" s="13"/>
      <c r="F17" s="13"/>
      <c r="G17" s="13"/>
    </row>
    <row r="18" spans="1:7" x14ac:dyDescent="0.15">
      <c r="A18" s="13"/>
      <c r="B18" s="13"/>
      <c r="C18" s="27" t="s">
        <v>1939</v>
      </c>
      <c r="D18" s="13"/>
      <c r="E18" s="13"/>
      <c r="F18" s="13"/>
      <c r="G18" s="13"/>
    </row>
    <row r="19" spans="1:7" x14ac:dyDescent="0.15">
      <c r="F19" s="13"/>
      <c r="G19" s="13"/>
    </row>
    <row r="20" spans="1:7" x14ac:dyDescent="0.15">
      <c r="A20" s="31" t="s">
        <v>1412</v>
      </c>
      <c r="B20" s="31"/>
      <c r="C20" s="31"/>
      <c r="D20" s="31"/>
      <c r="E20" s="31"/>
      <c r="F20" s="31"/>
      <c r="G20" s="31"/>
    </row>
    <row r="21" spans="1:7" x14ac:dyDescent="0.15">
      <c r="A21" s="17" t="s">
        <v>1350</v>
      </c>
      <c r="B21" s="17" t="s">
        <v>1265</v>
      </c>
      <c r="C21" s="17" t="s">
        <v>1266</v>
      </c>
      <c r="D21" s="17" t="s">
        <v>1408</v>
      </c>
      <c r="E21" s="17" t="s">
        <v>1351</v>
      </c>
      <c r="F21" s="17" t="s">
        <v>1352</v>
      </c>
      <c r="G21" s="17" t="s">
        <v>1512</v>
      </c>
    </row>
    <row r="22" spans="1:7" x14ac:dyDescent="0.15">
      <c r="A22" s="17" t="s">
        <v>1353</v>
      </c>
      <c r="B22" s="17" t="s">
        <v>1272</v>
      </c>
      <c r="C22" s="17" t="s">
        <v>5</v>
      </c>
      <c r="D22" s="17" t="s">
        <v>1354</v>
      </c>
      <c r="E22" s="17" t="s">
        <v>1355</v>
      </c>
      <c r="F22" s="17" t="s">
        <v>1356</v>
      </c>
      <c r="G22" s="17" t="s">
        <v>1357</v>
      </c>
    </row>
    <row r="23" spans="1:7" x14ac:dyDescent="0.15">
      <c r="A23" s="17" t="s">
        <v>1358</v>
      </c>
      <c r="B23" s="17" t="s">
        <v>1359</v>
      </c>
      <c r="C23" s="17" t="s">
        <v>1360</v>
      </c>
      <c r="D23" s="18" t="s">
        <v>1411</v>
      </c>
      <c r="E23" s="17" t="s">
        <v>1355</v>
      </c>
      <c r="F23" s="17" t="s">
        <v>1356</v>
      </c>
      <c r="G23" s="17" t="s">
        <v>1357</v>
      </c>
    </row>
    <row r="24" spans="1:7" x14ac:dyDescent="0.15">
      <c r="A24" s="17" t="s">
        <v>1287</v>
      </c>
      <c r="B24" s="17" t="s">
        <v>1359</v>
      </c>
      <c r="C24" s="17" t="s">
        <v>1361</v>
      </c>
      <c r="D24" s="17" t="s">
        <v>1362</v>
      </c>
      <c r="E24" s="17" t="s">
        <v>1355</v>
      </c>
      <c r="F24" s="17" t="s">
        <v>1356</v>
      </c>
      <c r="G24" s="17" t="s">
        <v>1357</v>
      </c>
    </row>
    <row r="25" spans="1:7" x14ac:dyDescent="0.15">
      <c r="A25" s="17" t="s">
        <v>1363</v>
      </c>
      <c r="B25" s="17"/>
      <c r="C25" s="17"/>
      <c r="D25" s="17"/>
      <c r="E25" s="17"/>
      <c r="F25" s="17"/>
      <c r="G25" s="17"/>
    </row>
    <row r="26" spans="1:7" x14ac:dyDescent="0.15">
      <c r="A26" s="17" t="s">
        <v>1350</v>
      </c>
      <c r="B26" s="17" t="s">
        <v>1265</v>
      </c>
      <c r="C26" s="17" t="s">
        <v>1266</v>
      </c>
      <c r="D26" s="17" t="s">
        <v>1408</v>
      </c>
      <c r="E26" s="17" t="s">
        <v>1351</v>
      </c>
      <c r="F26" s="17" t="s">
        <v>1352</v>
      </c>
      <c r="G26" s="17" t="s">
        <v>1512</v>
      </c>
    </row>
    <row r="27" spans="1:7" x14ac:dyDescent="0.15">
      <c r="A27" s="17" t="s">
        <v>1</v>
      </c>
      <c r="B27" s="17" t="s">
        <v>1268</v>
      </c>
      <c r="C27" s="17" t="s">
        <v>1364</v>
      </c>
      <c r="D27" s="17" t="s">
        <v>1365</v>
      </c>
      <c r="E27" s="17" t="s">
        <v>1366</v>
      </c>
      <c r="F27" s="17" t="s">
        <v>1357</v>
      </c>
      <c r="G27" s="17" t="s">
        <v>1356</v>
      </c>
    </row>
    <row r="28" spans="1:7" x14ac:dyDescent="0.15">
      <c r="A28" s="17" t="s">
        <v>1367</v>
      </c>
      <c r="B28" s="17" t="s">
        <v>1268</v>
      </c>
      <c r="C28" s="17" t="s">
        <v>2</v>
      </c>
      <c r="D28" s="17" t="s">
        <v>1368</v>
      </c>
      <c r="E28" s="17" t="s">
        <v>1369</v>
      </c>
      <c r="F28" s="17" t="s">
        <v>1357</v>
      </c>
      <c r="G28" s="17" t="s">
        <v>1356</v>
      </c>
    </row>
    <row r="29" spans="1:7" x14ac:dyDescent="0.15">
      <c r="A29" s="17" t="s">
        <v>1447</v>
      </c>
      <c r="B29" s="17" t="s">
        <v>1275</v>
      </c>
      <c r="C29" s="17" t="s">
        <v>1370</v>
      </c>
      <c r="D29" s="17" t="s">
        <v>1371</v>
      </c>
      <c r="E29" s="17" t="s">
        <v>1369</v>
      </c>
      <c r="F29" s="17" t="s">
        <v>1356</v>
      </c>
      <c r="G29" s="17" t="s">
        <v>1357</v>
      </c>
    </row>
    <row r="30" spans="1:7" x14ac:dyDescent="0.15">
      <c r="A30" s="17" t="s">
        <v>1372</v>
      </c>
      <c r="B30" s="17" t="s">
        <v>1268</v>
      </c>
      <c r="C30" s="17" t="s">
        <v>1373</v>
      </c>
      <c r="D30" s="17" t="s">
        <v>1374</v>
      </c>
      <c r="E30" s="17" t="s">
        <v>1375</v>
      </c>
      <c r="F30" s="17" t="s">
        <v>1356</v>
      </c>
      <c r="G30" s="17" t="s">
        <v>1357</v>
      </c>
    </row>
    <row r="31" spans="1:7" x14ac:dyDescent="0.15">
      <c r="A31" s="17" t="s">
        <v>1331</v>
      </c>
      <c r="B31" s="17" t="s">
        <v>1272</v>
      </c>
      <c r="C31" s="17" t="s">
        <v>1376</v>
      </c>
      <c r="D31" s="17" t="s">
        <v>1377</v>
      </c>
      <c r="E31" s="17" t="s">
        <v>1366</v>
      </c>
      <c r="F31" s="17" t="s">
        <v>1356</v>
      </c>
      <c r="G31" s="17" t="s">
        <v>1357</v>
      </c>
    </row>
    <row r="32" spans="1:7" x14ac:dyDescent="0.15">
      <c r="A32" s="17" t="s">
        <v>1322</v>
      </c>
      <c r="B32" s="17" t="s">
        <v>1268</v>
      </c>
      <c r="C32" s="17" t="s">
        <v>1378</v>
      </c>
      <c r="D32" s="17" t="s">
        <v>1379</v>
      </c>
      <c r="E32" s="17" t="s">
        <v>1366</v>
      </c>
      <c r="F32" s="17" t="s">
        <v>1356</v>
      </c>
      <c r="G32" s="17" t="s">
        <v>1357</v>
      </c>
    </row>
    <row r="33" spans="1:7" x14ac:dyDescent="0.15">
      <c r="A33" s="17" t="s">
        <v>1448</v>
      </c>
      <c r="B33" s="17" t="s">
        <v>1268</v>
      </c>
      <c r="C33" s="17" t="s">
        <v>1380</v>
      </c>
      <c r="D33" s="17" t="s">
        <v>1381</v>
      </c>
      <c r="E33" s="17" t="s">
        <v>1369</v>
      </c>
      <c r="F33" s="17" t="s">
        <v>1356</v>
      </c>
      <c r="G33" s="17" t="s">
        <v>1357</v>
      </c>
    </row>
    <row r="34" spans="1:7" x14ac:dyDescent="0.15">
      <c r="A34" s="17" t="s">
        <v>1449</v>
      </c>
      <c r="B34" s="17" t="s">
        <v>1303</v>
      </c>
      <c r="C34" s="17" t="s">
        <v>1410</v>
      </c>
      <c r="D34" s="17" t="s">
        <v>1514</v>
      </c>
      <c r="E34" s="17" t="s">
        <v>1366</v>
      </c>
      <c r="F34" s="17" t="s">
        <v>1356</v>
      </c>
      <c r="G34" s="17" t="s">
        <v>1357</v>
      </c>
    </row>
    <row r="35" spans="1:7" x14ac:dyDescent="0.15">
      <c r="A35" s="17" t="s">
        <v>1382</v>
      </c>
      <c r="B35" s="17" t="s">
        <v>1359</v>
      </c>
      <c r="C35" s="17" t="s">
        <v>1383</v>
      </c>
      <c r="D35" s="17" t="s">
        <v>1409</v>
      </c>
      <c r="E35" s="17" t="s">
        <v>1384</v>
      </c>
      <c r="F35" s="17" t="s">
        <v>1356</v>
      </c>
      <c r="G35" s="17" t="s">
        <v>1357</v>
      </c>
    </row>
    <row r="36" spans="1:7" x14ac:dyDescent="0.15">
      <c r="A36" s="17" t="s">
        <v>1385</v>
      </c>
      <c r="B36" s="17" t="s">
        <v>1275</v>
      </c>
      <c r="C36" s="17" t="s">
        <v>1386</v>
      </c>
      <c r="D36" s="17" t="s">
        <v>1387</v>
      </c>
      <c r="E36" s="17" t="s">
        <v>1253</v>
      </c>
      <c r="F36" s="17" t="s">
        <v>1356</v>
      </c>
      <c r="G36" s="17" t="s">
        <v>1357</v>
      </c>
    </row>
    <row r="37" spans="1:7" x14ac:dyDescent="0.15">
      <c r="A37" s="17" t="s">
        <v>1325</v>
      </c>
      <c r="B37" s="17" t="s">
        <v>1268</v>
      </c>
      <c r="C37" s="17" t="s">
        <v>1388</v>
      </c>
      <c r="D37" s="17" t="s">
        <v>1389</v>
      </c>
      <c r="E37" s="17" t="s">
        <v>1254</v>
      </c>
      <c r="F37" s="17" t="s">
        <v>1357</v>
      </c>
      <c r="G37" s="17" t="s">
        <v>1356</v>
      </c>
    </row>
    <row r="38" spans="1:7" x14ac:dyDescent="0.15">
      <c r="A38" s="17" t="s">
        <v>1390</v>
      </c>
      <c r="B38" s="17" t="s">
        <v>1275</v>
      </c>
      <c r="C38" s="17" t="s">
        <v>1391</v>
      </c>
      <c r="D38" s="17" t="s">
        <v>1392</v>
      </c>
      <c r="E38" s="17" t="s">
        <v>1393</v>
      </c>
      <c r="F38" s="17" t="s">
        <v>1356</v>
      </c>
      <c r="G38" s="17" t="s">
        <v>1357</v>
      </c>
    </row>
    <row r="39" spans="1:7" x14ac:dyDescent="0.15">
      <c r="A39" s="17" t="s">
        <v>1394</v>
      </c>
      <c r="B39" s="17" t="s">
        <v>1359</v>
      </c>
      <c r="C39" s="17" t="s">
        <v>1395</v>
      </c>
      <c r="D39" s="17" t="s">
        <v>1305</v>
      </c>
      <c r="E39" s="17" t="s">
        <v>1393</v>
      </c>
      <c r="F39" s="17" t="s">
        <v>1356</v>
      </c>
      <c r="G39" s="17" t="s">
        <v>1357</v>
      </c>
    </row>
    <row r="40" spans="1:7" x14ac:dyDescent="0.15">
      <c r="A40" s="17" t="s">
        <v>1396</v>
      </c>
      <c r="B40" s="17" t="s">
        <v>1272</v>
      </c>
      <c r="C40" s="17" t="s">
        <v>1397</v>
      </c>
      <c r="D40" s="17" t="s">
        <v>1398</v>
      </c>
      <c r="E40" s="17" t="s">
        <v>1256</v>
      </c>
      <c r="F40" s="17" t="s">
        <v>1356</v>
      </c>
      <c r="G40" s="17" t="s">
        <v>1357</v>
      </c>
    </row>
    <row r="41" spans="1:7" x14ac:dyDescent="0.15">
      <c r="A41" s="23" t="s">
        <v>1399</v>
      </c>
      <c r="B41" s="23" t="s">
        <v>1272</v>
      </c>
      <c r="C41" s="23" t="s">
        <v>1513</v>
      </c>
      <c r="D41" s="23" t="s">
        <v>1400</v>
      </c>
      <c r="E41" s="25" t="s">
        <v>2022</v>
      </c>
      <c r="F41" s="23" t="s">
        <v>1356</v>
      </c>
      <c r="G41" s="23" t="s">
        <v>1357</v>
      </c>
    </row>
    <row r="42" spans="1:7" x14ac:dyDescent="0.15">
      <c r="A42" s="17" t="s">
        <v>1401</v>
      </c>
      <c r="B42" s="17" t="s">
        <v>1275</v>
      </c>
      <c r="C42" s="17" t="s">
        <v>1402</v>
      </c>
      <c r="D42" s="17" t="s">
        <v>1403</v>
      </c>
      <c r="E42" s="17" t="s">
        <v>1404</v>
      </c>
      <c r="F42" s="17" t="s">
        <v>1356</v>
      </c>
      <c r="G42" s="17" t="s">
        <v>1356</v>
      </c>
    </row>
    <row r="43" spans="1:7" x14ac:dyDescent="0.15">
      <c r="A43" s="17" t="s">
        <v>1405</v>
      </c>
      <c r="B43" s="17" t="s">
        <v>1275</v>
      </c>
      <c r="C43" s="17" t="s">
        <v>1406</v>
      </c>
      <c r="D43" s="17" t="s">
        <v>1407</v>
      </c>
      <c r="E43" s="17" t="s">
        <v>1404</v>
      </c>
      <c r="F43" s="17" t="s">
        <v>1356</v>
      </c>
      <c r="G43" s="17" t="s">
        <v>1356</v>
      </c>
    </row>
    <row r="45" spans="1:7" x14ac:dyDescent="0.15">
      <c r="A45" s="32" t="s">
        <v>1446</v>
      </c>
      <c r="B45" s="32"/>
      <c r="C45" s="32"/>
      <c r="D45" s="33"/>
      <c r="E45" s="33"/>
      <c r="F45" s="33"/>
      <c r="G45" s="33"/>
    </row>
    <row r="46" spans="1:7" x14ac:dyDescent="0.15">
      <c r="A46" s="17" t="s">
        <v>1450</v>
      </c>
      <c r="B46" s="17" t="s">
        <v>1265</v>
      </c>
      <c r="C46" s="17" t="s">
        <v>1266</v>
      </c>
      <c r="D46" s="17" t="s">
        <v>1451</v>
      </c>
      <c r="E46" s="17" t="s">
        <v>1351</v>
      </c>
      <c r="F46" s="17"/>
      <c r="G46" s="17"/>
    </row>
    <row r="47" spans="1:7" x14ac:dyDescent="0.15">
      <c r="A47" s="17" t="s">
        <v>1452</v>
      </c>
      <c r="B47" s="17" t="s">
        <v>1359</v>
      </c>
      <c r="C47" s="17" t="s">
        <v>401</v>
      </c>
      <c r="D47" s="17" t="s">
        <v>1453</v>
      </c>
      <c r="E47" s="17" t="s">
        <v>1369</v>
      </c>
      <c r="F47" s="17"/>
      <c r="G47" s="17"/>
    </row>
    <row r="48" spans="1:7" x14ac:dyDescent="0.15">
      <c r="A48" s="17" t="s">
        <v>1334</v>
      </c>
      <c r="B48" s="17" t="s">
        <v>1275</v>
      </c>
      <c r="C48" s="17" t="s">
        <v>1454</v>
      </c>
      <c r="D48" s="17" t="s">
        <v>1336</v>
      </c>
      <c r="E48" s="17" t="s">
        <v>1355</v>
      </c>
      <c r="F48" s="17"/>
      <c r="G48" s="17"/>
    </row>
    <row r="49" spans="1:7" x14ac:dyDescent="0.15">
      <c r="A49" s="17" t="s">
        <v>1455</v>
      </c>
      <c r="B49" s="17" t="s">
        <v>1275</v>
      </c>
      <c r="C49" s="17" t="s">
        <v>1456</v>
      </c>
      <c r="D49" s="17" t="s">
        <v>1457</v>
      </c>
      <c r="E49" s="17" t="s">
        <v>1355</v>
      </c>
      <c r="F49" s="17"/>
      <c r="G49" s="17"/>
    </row>
    <row r="50" spans="1:7" x14ac:dyDescent="0.15">
      <c r="A50" s="17" t="s">
        <v>1458</v>
      </c>
      <c r="B50" s="17" t="s">
        <v>1275</v>
      </c>
      <c r="C50" s="17" t="s">
        <v>1459</v>
      </c>
      <c r="D50" s="17" t="s">
        <v>1460</v>
      </c>
      <c r="E50" s="17" t="s">
        <v>1355</v>
      </c>
      <c r="F50" s="17"/>
      <c r="G50" s="17"/>
    </row>
    <row r="51" spans="1:7" x14ac:dyDescent="0.15">
      <c r="A51" s="17" t="s">
        <v>1295</v>
      </c>
      <c r="B51" s="17" t="s">
        <v>1275</v>
      </c>
      <c r="C51" s="17" t="s">
        <v>1461</v>
      </c>
      <c r="D51" s="17" t="s">
        <v>1297</v>
      </c>
      <c r="E51" s="17" t="s">
        <v>1462</v>
      </c>
      <c r="F51" s="17"/>
      <c r="G51" s="17"/>
    </row>
    <row r="52" spans="1:7" x14ac:dyDescent="0.15">
      <c r="A52" s="17" t="s">
        <v>1463</v>
      </c>
      <c r="B52" s="17" t="s">
        <v>1275</v>
      </c>
      <c r="C52" s="17" t="s">
        <v>1464</v>
      </c>
      <c r="D52" s="17" t="s">
        <v>1465</v>
      </c>
      <c r="E52" s="17" t="s">
        <v>1384</v>
      </c>
      <c r="F52" s="17"/>
      <c r="G52" s="17"/>
    </row>
    <row r="53" spans="1:7" x14ac:dyDescent="0.15">
      <c r="A53" s="17" t="s">
        <v>1466</v>
      </c>
      <c r="B53" s="17" t="s">
        <v>1275</v>
      </c>
      <c r="C53" s="17" t="s">
        <v>1467</v>
      </c>
      <c r="D53" s="17" t="s">
        <v>1468</v>
      </c>
      <c r="E53" s="17" t="s">
        <v>1384</v>
      </c>
      <c r="F53" s="17"/>
      <c r="G53" s="17"/>
    </row>
    <row r="54" spans="1:7" x14ac:dyDescent="0.15">
      <c r="A54" s="17" t="s">
        <v>1469</v>
      </c>
      <c r="B54" s="17" t="s">
        <v>1275</v>
      </c>
      <c r="C54" s="17" t="s">
        <v>1470</v>
      </c>
      <c r="D54" s="17" t="s">
        <v>1471</v>
      </c>
      <c r="E54" s="17" t="s">
        <v>1384</v>
      </c>
      <c r="F54" s="17"/>
      <c r="G54" s="17"/>
    </row>
    <row r="55" spans="1:7" x14ac:dyDescent="0.15">
      <c r="A55" s="17" t="s">
        <v>1483</v>
      </c>
      <c r="B55" s="17" t="s">
        <v>1275</v>
      </c>
      <c r="C55" s="17" t="s">
        <v>1472</v>
      </c>
      <c r="D55" s="17" t="s">
        <v>1473</v>
      </c>
      <c r="E55" s="17" t="s">
        <v>1384</v>
      </c>
      <c r="F55" s="17"/>
      <c r="G55" s="17"/>
    </row>
    <row r="56" spans="1:7" x14ac:dyDescent="0.15">
      <c r="A56" s="17" t="s">
        <v>1474</v>
      </c>
      <c r="B56" s="17" t="s">
        <v>1272</v>
      </c>
      <c r="C56" s="17" t="s">
        <v>1475</v>
      </c>
      <c r="D56" s="17" t="s">
        <v>1476</v>
      </c>
      <c r="E56" s="17" t="s">
        <v>1369</v>
      </c>
      <c r="F56" s="17" t="s">
        <v>1356</v>
      </c>
      <c r="G56" s="17" t="s">
        <v>1357</v>
      </c>
    </row>
    <row r="57" spans="1:7" x14ac:dyDescent="0.15">
      <c r="A57" s="17" t="s">
        <v>1477</v>
      </c>
      <c r="B57" s="17" t="s">
        <v>1275</v>
      </c>
      <c r="C57" s="17" t="s">
        <v>1481</v>
      </c>
      <c r="D57" s="17" t="s">
        <v>1479</v>
      </c>
      <c r="E57" s="17" t="s">
        <v>1369</v>
      </c>
      <c r="F57" s="17" t="s">
        <v>1356</v>
      </c>
      <c r="G57" s="17" t="s">
        <v>1357</v>
      </c>
    </row>
    <row r="58" spans="1:7" x14ac:dyDescent="0.15">
      <c r="A58" s="17" t="s">
        <v>1480</v>
      </c>
      <c r="B58" s="17" t="s">
        <v>1275</v>
      </c>
      <c r="C58" s="17" t="s">
        <v>1478</v>
      </c>
      <c r="D58" s="17" t="s">
        <v>1482</v>
      </c>
      <c r="E58" s="17" t="s">
        <v>1369</v>
      </c>
      <c r="F58" s="17" t="s">
        <v>1356</v>
      </c>
      <c r="G58" s="17" t="s">
        <v>1357</v>
      </c>
    </row>
    <row r="61" spans="1:7" x14ac:dyDescent="0.15">
      <c r="A61" s="32" t="s">
        <v>1511</v>
      </c>
      <c r="B61" s="32" t="s">
        <v>1350</v>
      </c>
      <c r="C61" s="32" t="s">
        <v>1266</v>
      </c>
      <c r="D61" s="35" t="s">
        <v>2025</v>
      </c>
      <c r="E61" s="34" t="s">
        <v>2029</v>
      </c>
      <c r="F61" s="32" t="s">
        <v>1978</v>
      </c>
      <c r="G61" s="32" t="s">
        <v>1979</v>
      </c>
    </row>
    <row r="62" spans="1:7" x14ac:dyDescent="0.15">
      <c r="A62" s="26">
        <v>0</v>
      </c>
      <c r="B62" s="26" t="s">
        <v>1413</v>
      </c>
      <c r="C62" s="26" t="s">
        <v>1948</v>
      </c>
      <c r="D62" s="1" t="s">
        <v>2026</v>
      </c>
      <c r="E62" s="29" t="s">
        <v>2045</v>
      </c>
      <c r="F62" s="29" t="s">
        <v>1973</v>
      </c>
      <c r="G62" s="1"/>
    </row>
    <row r="63" spans="1:7" x14ac:dyDescent="0.15">
      <c r="A63" s="19">
        <v>1</v>
      </c>
      <c r="B63" s="19" t="s">
        <v>1414</v>
      </c>
      <c r="C63" s="19" t="s">
        <v>2056</v>
      </c>
      <c r="D63" s="1" t="s">
        <v>2027</v>
      </c>
      <c r="E63" s="29" t="s">
        <v>2044</v>
      </c>
      <c r="F63" s="1" t="s">
        <v>1972</v>
      </c>
      <c r="G63" s="1" t="s">
        <v>1971</v>
      </c>
    </row>
    <row r="64" spans="1:7" x14ac:dyDescent="0.15">
      <c r="A64" s="19">
        <v>2</v>
      </c>
      <c r="B64" s="19" t="s">
        <v>1415</v>
      </c>
      <c r="C64" s="19" t="s">
        <v>1416</v>
      </c>
      <c r="D64" s="1" t="s">
        <v>2028</v>
      </c>
      <c r="E64" s="29" t="s">
        <v>2043</v>
      </c>
      <c r="F64" s="1" t="s">
        <v>1970</v>
      </c>
      <c r="G64" s="1" t="s">
        <v>1969</v>
      </c>
    </row>
    <row r="65" spans="1:7" x14ac:dyDescent="0.15">
      <c r="A65" s="19">
        <v>3</v>
      </c>
      <c r="B65" s="19" t="s">
        <v>1417</v>
      </c>
      <c r="C65" s="19" t="s">
        <v>2057</v>
      </c>
      <c r="D65" s="1" t="s">
        <v>2042</v>
      </c>
      <c r="E65" s="29" t="s">
        <v>2047</v>
      </c>
      <c r="F65" s="1" t="s">
        <v>1975</v>
      </c>
      <c r="G65" s="1" t="s">
        <v>1968</v>
      </c>
    </row>
    <row r="66" spans="1:7" ht="15" customHeight="1" x14ac:dyDescent="0.15">
      <c r="A66" s="19">
        <v>4</v>
      </c>
      <c r="B66" s="19" t="s">
        <v>1418</v>
      </c>
      <c r="C66" s="19" t="s">
        <v>2058</v>
      </c>
      <c r="D66" s="1" t="s">
        <v>2048</v>
      </c>
      <c r="E66" s="29" t="s">
        <v>2030</v>
      </c>
      <c r="F66" s="1" t="s">
        <v>1967</v>
      </c>
      <c r="G66" s="1" t="s">
        <v>1966</v>
      </c>
    </row>
    <row r="67" spans="1:7" x14ac:dyDescent="0.15">
      <c r="A67" s="19">
        <v>5</v>
      </c>
      <c r="B67" s="19" t="s">
        <v>1419</v>
      </c>
      <c r="C67" s="19" t="s">
        <v>1420</v>
      </c>
      <c r="D67" s="1" t="s">
        <v>2031</v>
      </c>
      <c r="E67" s="29" t="s">
        <v>2032</v>
      </c>
      <c r="F67" s="1" t="s">
        <v>1965</v>
      </c>
      <c r="G67" s="1" t="s">
        <v>1964</v>
      </c>
    </row>
    <row r="68" spans="1:7" x14ac:dyDescent="0.15">
      <c r="A68" s="19">
        <v>6</v>
      </c>
      <c r="B68" s="19" t="s">
        <v>1421</v>
      </c>
      <c r="C68" s="19" t="s">
        <v>1422</v>
      </c>
      <c r="D68" s="1" t="s">
        <v>2038</v>
      </c>
      <c r="E68" s="29" t="s">
        <v>2033</v>
      </c>
      <c r="F68" s="1" t="s">
        <v>1963</v>
      </c>
      <c r="G68" s="1" t="s">
        <v>1962</v>
      </c>
    </row>
    <row r="69" spans="1:7" x14ac:dyDescent="0.15">
      <c r="A69" s="19">
        <v>7</v>
      </c>
      <c r="B69" s="19" t="s">
        <v>1423</v>
      </c>
      <c r="C69" s="19" t="s">
        <v>1424</v>
      </c>
      <c r="D69" s="1" t="s">
        <v>2034</v>
      </c>
      <c r="E69" s="29" t="s">
        <v>2040</v>
      </c>
      <c r="F69" s="1" t="s">
        <v>1961</v>
      </c>
      <c r="G69" s="1" t="s">
        <v>1960</v>
      </c>
    </row>
    <row r="70" spans="1:7" x14ac:dyDescent="0.15">
      <c r="A70" s="19">
        <v>8</v>
      </c>
      <c r="B70" s="19" t="s">
        <v>1425</v>
      </c>
      <c r="C70" s="19" t="s">
        <v>2054</v>
      </c>
      <c r="D70" s="1" t="s">
        <v>2039</v>
      </c>
      <c r="E70" s="29" t="s">
        <v>2041</v>
      </c>
      <c r="F70" s="1" t="s">
        <v>1959</v>
      </c>
      <c r="G70" s="1" t="s">
        <v>327</v>
      </c>
    </row>
    <row r="71" spans="1:7" x14ac:dyDescent="0.15">
      <c r="A71" s="19">
        <v>9</v>
      </c>
      <c r="B71" s="19" t="s">
        <v>1426</v>
      </c>
      <c r="C71" s="19" t="s">
        <v>2055</v>
      </c>
      <c r="D71" s="1" t="s">
        <v>2035</v>
      </c>
      <c r="E71" s="29" t="s">
        <v>2036</v>
      </c>
      <c r="F71" s="1" t="s">
        <v>1958</v>
      </c>
      <c r="G71" s="1" t="s">
        <v>602</v>
      </c>
    </row>
    <row r="72" spans="1:7" x14ac:dyDescent="0.15">
      <c r="A72" s="19">
        <v>10</v>
      </c>
      <c r="B72" s="19" t="s">
        <v>1427</v>
      </c>
      <c r="C72" s="19" t="s">
        <v>1428</v>
      </c>
      <c r="D72" s="1" t="s">
        <v>2049</v>
      </c>
      <c r="E72" s="29" t="s">
        <v>2037</v>
      </c>
      <c r="F72" s="1" t="s">
        <v>1957</v>
      </c>
      <c r="G72" s="1" t="s">
        <v>1956</v>
      </c>
    </row>
    <row r="73" spans="1:7" x14ac:dyDescent="0.15">
      <c r="A73" s="19">
        <v>11</v>
      </c>
      <c r="B73" s="19" t="s">
        <v>1429</v>
      </c>
      <c r="C73" s="19" t="s">
        <v>1430</v>
      </c>
      <c r="F73" s="1" t="s">
        <v>280</v>
      </c>
      <c r="G73" s="1"/>
    </row>
    <row r="74" spans="1:7" x14ac:dyDescent="0.15">
      <c r="A74" s="19">
        <v>12</v>
      </c>
      <c r="B74" s="19" t="s">
        <v>1431</v>
      </c>
      <c r="C74" s="19" t="s">
        <v>1432</v>
      </c>
      <c r="F74" s="26" t="s">
        <v>1977</v>
      </c>
      <c r="G74" s="20"/>
    </row>
    <row r="75" spans="1:7" x14ac:dyDescent="0.15">
      <c r="A75" s="19">
        <v>13</v>
      </c>
      <c r="B75" s="19" t="s">
        <v>1433</v>
      </c>
      <c r="C75" s="19" t="s">
        <v>1434</v>
      </c>
      <c r="F75" s="20" t="s">
        <v>1974</v>
      </c>
      <c r="G75" s="26" t="s">
        <v>1976</v>
      </c>
    </row>
    <row r="76" spans="1:7" x14ac:dyDescent="0.15">
      <c r="A76" s="19">
        <v>14</v>
      </c>
      <c r="B76" s="19" t="s">
        <v>1435</v>
      </c>
      <c r="C76" s="19" t="s">
        <v>2060</v>
      </c>
    </row>
    <row r="77" spans="1:7" x14ac:dyDescent="0.15">
      <c r="A77" s="19">
        <v>15</v>
      </c>
      <c r="B77" s="19" t="s">
        <v>1436</v>
      </c>
      <c r="C77" s="19"/>
    </row>
    <row r="78" spans="1:7" x14ac:dyDescent="0.15">
      <c r="A78" s="19">
        <v>16</v>
      </c>
      <c r="B78" s="19" t="s">
        <v>1437</v>
      </c>
      <c r="C78" s="19" t="s">
        <v>1438</v>
      </c>
    </row>
    <row r="79" spans="1:7" x14ac:dyDescent="0.15">
      <c r="A79" s="19">
        <v>17</v>
      </c>
      <c r="B79" s="19" t="s">
        <v>1439</v>
      </c>
      <c r="C79" s="19" t="s">
        <v>2059</v>
      </c>
    </row>
    <row r="80" spans="1:7" x14ac:dyDescent="0.15">
      <c r="A80" s="19">
        <v>18</v>
      </c>
      <c r="B80" s="19" t="s">
        <v>1440</v>
      </c>
      <c r="C80" s="19" t="s">
        <v>1441</v>
      </c>
    </row>
    <row r="81" spans="1:5" x14ac:dyDescent="0.15">
      <c r="A81" s="19">
        <v>19</v>
      </c>
      <c r="B81" s="19" t="s">
        <v>1442</v>
      </c>
      <c r="C81" s="19" t="s">
        <v>1443</v>
      </c>
    </row>
    <row r="82" spans="1:5" x14ac:dyDescent="0.15">
      <c r="A82" s="19">
        <v>20</v>
      </c>
      <c r="B82" s="19" t="s">
        <v>1444</v>
      </c>
      <c r="C82" s="19" t="s">
        <v>1445</v>
      </c>
    </row>
    <row r="84" spans="1:5" x14ac:dyDescent="0.15">
      <c r="A84" s="31" t="s">
        <v>1350</v>
      </c>
      <c r="B84" s="31" t="s">
        <v>1265</v>
      </c>
      <c r="C84" s="31" t="s">
        <v>1266</v>
      </c>
      <c r="D84" s="31" t="s">
        <v>1408</v>
      </c>
      <c r="E84" s="31"/>
    </row>
    <row r="85" spans="1:5" x14ac:dyDescent="0.15">
      <c r="A85" s="23" t="s">
        <v>1264</v>
      </c>
      <c r="B85" s="23"/>
      <c r="C85" s="23"/>
      <c r="D85" s="23"/>
      <c r="E85" s="23" t="s">
        <v>1941</v>
      </c>
    </row>
    <row r="86" spans="1:5" ht="13.5" customHeight="1" x14ac:dyDescent="0.15">
      <c r="A86" s="17" t="s">
        <v>1267</v>
      </c>
      <c r="B86" s="17" t="s">
        <v>1268</v>
      </c>
      <c r="C86" s="17" t="s">
        <v>1269</v>
      </c>
      <c r="D86" s="17" t="s">
        <v>1270</v>
      </c>
      <c r="E86" s="17" t="s">
        <v>1942</v>
      </c>
    </row>
    <row r="87" spans="1:5" ht="13.5" customHeight="1" x14ac:dyDescent="0.15">
      <c r="A87" s="17" t="s">
        <v>1271</v>
      </c>
      <c r="B87" s="17" t="s">
        <v>1272</v>
      </c>
      <c r="C87" s="17" t="s">
        <v>1273</v>
      </c>
      <c r="D87" s="17" t="s">
        <v>1274</v>
      </c>
      <c r="E87" s="17"/>
    </row>
    <row r="88" spans="1:5" ht="13.5" customHeight="1" x14ac:dyDescent="0.15">
      <c r="A88" s="17" t="s">
        <v>1484</v>
      </c>
      <c r="B88" s="17" t="s">
        <v>1275</v>
      </c>
      <c r="C88" s="17" t="s">
        <v>1276</v>
      </c>
      <c r="D88" s="17" t="s">
        <v>1277</v>
      </c>
      <c r="E88" s="17" t="s">
        <v>1946</v>
      </c>
    </row>
    <row r="89" spans="1:5" ht="13.5" customHeight="1" x14ac:dyDescent="0.15">
      <c r="A89" s="17" t="s">
        <v>1278</v>
      </c>
      <c r="B89" s="17" t="s">
        <v>1275</v>
      </c>
      <c r="C89" s="17" t="s">
        <v>1279</v>
      </c>
      <c r="D89" s="17" t="s">
        <v>1280</v>
      </c>
      <c r="E89" s="17"/>
    </row>
    <row r="90" spans="1:5" ht="13.5" customHeight="1" x14ac:dyDescent="0.15">
      <c r="A90" s="17" t="s">
        <v>1281</v>
      </c>
      <c r="B90" s="17" t="s">
        <v>1272</v>
      </c>
      <c r="C90" s="17" t="s">
        <v>1282</v>
      </c>
      <c r="D90" s="17" t="s">
        <v>1283</v>
      </c>
      <c r="E90" s="17" t="s">
        <v>1945</v>
      </c>
    </row>
    <row r="91" spans="1:5" ht="13.5" customHeight="1" x14ac:dyDescent="0.15">
      <c r="A91" s="23" t="s">
        <v>1284</v>
      </c>
      <c r="B91" s="23" t="s">
        <v>1268</v>
      </c>
      <c r="C91" s="23" t="s">
        <v>1285</v>
      </c>
      <c r="D91" s="23" t="s">
        <v>1286</v>
      </c>
      <c r="E91" s="23" t="s">
        <v>1494</v>
      </c>
    </row>
    <row r="92" spans="1:5" x14ac:dyDescent="0.15">
      <c r="A92" s="17" t="s">
        <v>1287</v>
      </c>
      <c r="B92" s="17" t="s">
        <v>1272</v>
      </c>
      <c r="C92" s="17" t="s">
        <v>1288</v>
      </c>
      <c r="D92" s="17" t="s">
        <v>1289</v>
      </c>
      <c r="E92" s="17" t="s">
        <v>2053</v>
      </c>
    </row>
    <row r="93" spans="1:5" x14ac:dyDescent="0.15">
      <c r="A93" s="17" t="s">
        <v>1486</v>
      </c>
      <c r="B93" s="17" t="s">
        <v>1290</v>
      </c>
      <c r="C93" s="17" t="s">
        <v>1291</v>
      </c>
      <c r="D93" s="17" t="s">
        <v>1292</v>
      </c>
      <c r="E93" s="17" t="s">
        <v>2052</v>
      </c>
    </row>
    <row r="94" spans="1:5" x14ac:dyDescent="0.15">
      <c r="A94" s="17" t="s">
        <v>1487</v>
      </c>
      <c r="B94" s="17" t="s">
        <v>1275</v>
      </c>
      <c r="C94" s="17" t="s">
        <v>1293</v>
      </c>
      <c r="D94" s="17" t="s">
        <v>1294</v>
      </c>
      <c r="E94" s="17"/>
    </row>
    <row r="95" spans="1:5" x14ac:dyDescent="0.15">
      <c r="A95" s="17" t="s">
        <v>1488</v>
      </c>
      <c r="B95" s="17" t="s">
        <v>1275</v>
      </c>
      <c r="C95" s="17" t="s">
        <v>1296</v>
      </c>
      <c r="D95" s="17" t="s">
        <v>1297</v>
      </c>
      <c r="E95" s="17"/>
    </row>
    <row r="96" spans="1:5" x14ac:dyDescent="0.15">
      <c r="A96" s="17" t="s">
        <v>1485</v>
      </c>
      <c r="B96" s="17" t="s">
        <v>1272</v>
      </c>
      <c r="C96" s="17" t="s">
        <v>1298</v>
      </c>
      <c r="D96" s="17" t="s">
        <v>1299</v>
      </c>
      <c r="E96" s="17"/>
    </row>
    <row r="97" spans="1:5" x14ac:dyDescent="0.15">
      <c r="A97" s="17" t="s">
        <v>1489</v>
      </c>
      <c r="B97" s="17" t="s">
        <v>1275</v>
      </c>
      <c r="C97" s="17" t="s">
        <v>1300</v>
      </c>
      <c r="D97" s="17" t="s">
        <v>1301</v>
      </c>
      <c r="E97" s="17"/>
    </row>
    <row r="98" spans="1:5" x14ac:dyDescent="0.15">
      <c r="A98" s="13"/>
      <c r="B98" s="13"/>
      <c r="C98" s="13"/>
      <c r="D98" s="13"/>
      <c r="E98" s="13"/>
    </row>
    <row r="99" spans="1:5" x14ac:dyDescent="0.15">
      <c r="A99" s="23" t="s">
        <v>1348</v>
      </c>
      <c r="B99" s="23"/>
      <c r="C99" s="23"/>
      <c r="D99" s="23"/>
      <c r="E99" s="23" t="s">
        <v>1940</v>
      </c>
    </row>
    <row r="100" spans="1:5" x14ac:dyDescent="0.15">
      <c r="A100" s="17" t="s">
        <v>1302</v>
      </c>
      <c r="B100" s="17" t="s">
        <v>1303</v>
      </c>
      <c r="C100" s="17" t="s">
        <v>1304</v>
      </c>
      <c r="D100" s="17" t="s">
        <v>1318</v>
      </c>
      <c r="E100" s="23" t="s">
        <v>1943</v>
      </c>
    </row>
    <row r="101" spans="1:5" x14ac:dyDescent="0.15">
      <c r="A101" s="17" t="s">
        <v>1306</v>
      </c>
      <c r="B101" s="17" t="s">
        <v>1303</v>
      </c>
      <c r="C101" s="17" t="s">
        <v>1307</v>
      </c>
      <c r="D101" s="17" t="s">
        <v>1319</v>
      </c>
      <c r="E101" s="23" t="s">
        <v>1980</v>
      </c>
    </row>
    <row r="102" spans="1:5" x14ac:dyDescent="0.15">
      <c r="A102" s="17" t="s">
        <v>1308</v>
      </c>
      <c r="B102" s="17" t="s">
        <v>1309</v>
      </c>
      <c r="C102" s="17" t="s">
        <v>1310</v>
      </c>
      <c r="D102" s="17" t="s">
        <v>1311</v>
      </c>
      <c r="E102" s="17"/>
    </row>
    <row r="103" spans="1:5" x14ac:dyDescent="0.15">
      <c r="A103" s="17" t="s">
        <v>1312</v>
      </c>
      <c r="B103" s="17" t="s">
        <v>1272</v>
      </c>
      <c r="C103" s="17" t="s">
        <v>1313</v>
      </c>
      <c r="D103" s="17" t="s">
        <v>1314</v>
      </c>
      <c r="E103" s="17"/>
    </row>
    <row r="104" spans="1:5" x14ac:dyDescent="0.15">
      <c r="A104" s="17" t="s">
        <v>1315</v>
      </c>
      <c r="B104" s="17" t="s">
        <v>1268</v>
      </c>
      <c r="C104" s="17" t="s">
        <v>1316</v>
      </c>
      <c r="D104" s="17" t="s">
        <v>1317</v>
      </c>
      <c r="E104" s="17"/>
    </row>
    <row r="105" spans="1:5" x14ac:dyDescent="0.15">
      <c r="A105" s="13"/>
      <c r="B105" s="13"/>
      <c r="C105" s="13"/>
      <c r="D105" s="13"/>
      <c r="E105" s="13"/>
    </row>
    <row r="106" spans="1:5" x14ac:dyDescent="0.15">
      <c r="A106" s="23" t="s">
        <v>1349</v>
      </c>
      <c r="B106" s="23"/>
      <c r="C106" s="23"/>
      <c r="D106" s="23"/>
      <c r="E106" s="23" t="s">
        <v>2024</v>
      </c>
    </row>
    <row r="107" spans="1:5" x14ac:dyDescent="0.15">
      <c r="A107" s="17" t="s">
        <v>1320</v>
      </c>
      <c r="B107" s="17" t="s">
        <v>1268</v>
      </c>
      <c r="C107" s="17" t="s">
        <v>1347</v>
      </c>
      <c r="D107" s="17" t="s">
        <v>1321</v>
      </c>
      <c r="E107" s="17"/>
    </row>
    <row r="108" spans="1:5" x14ac:dyDescent="0.15">
      <c r="A108" s="17" t="s">
        <v>1322</v>
      </c>
      <c r="B108" s="17" t="s">
        <v>1268</v>
      </c>
      <c r="C108" s="17" t="s">
        <v>1323</v>
      </c>
      <c r="D108" s="17" t="s">
        <v>1324</v>
      </c>
      <c r="E108" s="17"/>
    </row>
    <row r="109" spans="1:5" x14ac:dyDescent="0.15">
      <c r="A109" s="23" t="s">
        <v>1325</v>
      </c>
      <c r="B109" s="23" t="s">
        <v>1268</v>
      </c>
      <c r="C109" s="23" t="s">
        <v>1326</v>
      </c>
      <c r="D109" s="23" t="s">
        <v>1327</v>
      </c>
      <c r="E109" s="23" t="s">
        <v>1495</v>
      </c>
    </row>
    <row r="110" spans="1:5" x14ac:dyDescent="0.15">
      <c r="A110" s="17" t="s">
        <v>1328</v>
      </c>
      <c r="B110" s="17" t="s">
        <v>1275</v>
      </c>
      <c r="C110" s="17" t="s">
        <v>1329</v>
      </c>
      <c r="D110" s="17" t="s">
        <v>1330</v>
      </c>
      <c r="E110" s="17"/>
    </row>
    <row r="111" spans="1:5" x14ac:dyDescent="0.15">
      <c r="A111" s="17" t="s">
        <v>1331</v>
      </c>
      <c r="B111" s="17" t="s">
        <v>1272</v>
      </c>
      <c r="C111" s="17" t="s">
        <v>1332</v>
      </c>
      <c r="D111" s="17" t="s">
        <v>1333</v>
      </c>
      <c r="E111" s="17"/>
    </row>
    <row r="112" spans="1:5" x14ac:dyDescent="0.15">
      <c r="A112" s="17" t="s">
        <v>1334</v>
      </c>
      <c r="B112" s="17" t="s">
        <v>1275</v>
      </c>
      <c r="C112" s="17" t="s">
        <v>1335</v>
      </c>
      <c r="D112" s="17" t="s">
        <v>1336</v>
      </c>
      <c r="E112" s="17"/>
    </row>
    <row r="113" spans="1:5" x14ac:dyDescent="0.15">
      <c r="A113" s="17" t="s">
        <v>1337</v>
      </c>
      <c r="B113" s="17" t="s">
        <v>1338</v>
      </c>
      <c r="C113" s="17" t="s">
        <v>1339</v>
      </c>
      <c r="D113" s="17" t="s">
        <v>1340</v>
      </c>
      <c r="E113" s="36" t="s">
        <v>2046</v>
      </c>
    </row>
    <row r="114" spans="1:5" x14ac:dyDescent="0.15">
      <c r="A114" s="17" t="s">
        <v>1341</v>
      </c>
      <c r="B114" s="17" t="s">
        <v>1309</v>
      </c>
      <c r="C114" s="17" t="s">
        <v>1342</v>
      </c>
      <c r="D114" s="17" t="s">
        <v>1343</v>
      </c>
      <c r="E114" s="17"/>
    </row>
    <row r="115" spans="1:5" x14ac:dyDescent="0.15">
      <c r="A115" s="23" t="s">
        <v>1344</v>
      </c>
      <c r="B115" s="23" t="s">
        <v>1272</v>
      </c>
      <c r="C115" s="23" t="s">
        <v>1345</v>
      </c>
      <c r="D115" s="24" t="s">
        <v>1346</v>
      </c>
      <c r="E115" s="25" t="s">
        <v>1950</v>
      </c>
    </row>
    <row r="116" spans="1:5" x14ac:dyDescent="0.15">
      <c r="E116" s="28" t="s">
        <v>1949</v>
      </c>
    </row>
    <row r="117" spans="1:5" x14ac:dyDescent="0.15">
      <c r="E117" s="28" t="s">
        <v>1951</v>
      </c>
    </row>
    <row r="118" spans="1:5" x14ac:dyDescent="0.15">
      <c r="E118" s="28" t="s">
        <v>1944</v>
      </c>
    </row>
  </sheetData>
  <phoneticPr fontId="18" type="noConversion"/>
  <hyperlinks>
    <hyperlink ref="C107" r:id="rId1" display="https://www.jx3box.com/tool/17349" xr:uid="{DF1F1DD7-5BF8-465E-8363-D9A13201D8DE}"/>
    <hyperlink ref="E3" r:id="rId2" xr:uid="{DD9471A8-4A2C-489C-B88B-A1490E949694}"/>
    <hyperlink ref="E2" r:id="rId3" xr:uid="{3C9C8690-54A5-4C9D-B350-B4ACC40FFB31}"/>
  </hyperlinks>
  <pageMargins left="0.7" right="0.7" top="0.75" bottom="0.75" header="0.3" footer="0.3"/>
  <pageSetup paperSize="9" orientation="portrait" horizontalDpi="1200" verticalDpi="1200" r:id="rId4"/>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EF5C0-9FAC-4269-A65A-FB3E6B24BE74}">
  <dimension ref="A1:AC579"/>
  <sheetViews>
    <sheetView topLeftCell="A170" workbookViewId="0">
      <selection activeCell="B194" sqref="B194"/>
    </sheetView>
  </sheetViews>
  <sheetFormatPr defaultRowHeight="13.5" x14ac:dyDescent="0.15"/>
  <cols>
    <col min="1" max="1" width="6.625" style="10" customWidth="1"/>
    <col min="2" max="2" width="24.625" style="10" customWidth="1"/>
    <col min="3" max="5" width="6.625" style="2" customWidth="1"/>
    <col min="6" max="9" width="10.625" style="2" customWidth="1"/>
    <col min="10" max="10" width="8.625" style="2" customWidth="1"/>
    <col min="11" max="11" width="12.625" style="2" customWidth="1"/>
    <col min="12" max="12" width="8.625" style="2" customWidth="1"/>
    <col min="13" max="13" width="16.625" customWidth="1"/>
    <col min="14" max="15" width="18.625" customWidth="1"/>
    <col min="16" max="17" width="9" style="2"/>
    <col min="18" max="20" width="6.625" style="2" customWidth="1"/>
    <col min="21" max="23" width="10.625" customWidth="1"/>
    <col min="24" max="24" width="6.625" customWidth="1"/>
    <col min="25" max="25" width="10.625" customWidth="1"/>
    <col min="26" max="27" width="6.625" customWidth="1"/>
  </cols>
  <sheetData>
    <row r="1" spans="1:29" x14ac:dyDescent="0.15">
      <c r="A1" s="15" t="s">
        <v>1519</v>
      </c>
      <c r="B1" s="15" t="s">
        <v>1520</v>
      </c>
      <c r="C1" s="15" t="s">
        <v>1517</v>
      </c>
      <c r="D1" s="15" t="s">
        <v>1516</v>
      </c>
      <c r="E1" s="15" t="s">
        <v>1518</v>
      </c>
      <c r="F1" s="16" t="s">
        <v>1249</v>
      </c>
      <c r="G1" s="16" t="s">
        <v>1521</v>
      </c>
      <c r="H1" s="16" t="s">
        <v>1561</v>
      </c>
      <c r="I1" s="16" t="s">
        <v>1522</v>
      </c>
      <c r="J1" s="15" t="s">
        <v>1562</v>
      </c>
      <c r="K1" s="15" t="s">
        <v>1563</v>
      </c>
      <c r="L1" s="15" t="s">
        <v>2018</v>
      </c>
      <c r="M1" s="22" t="s">
        <v>1564</v>
      </c>
      <c r="N1" s="22" t="s">
        <v>1936</v>
      </c>
      <c r="O1" s="22" t="s">
        <v>1937</v>
      </c>
      <c r="P1" s="37" t="s">
        <v>632</v>
      </c>
      <c r="Q1" s="37"/>
      <c r="R1" s="37" t="s">
        <v>1518</v>
      </c>
      <c r="S1" s="37" t="s">
        <v>627</v>
      </c>
      <c r="T1" s="37" t="s">
        <v>628</v>
      </c>
      <c r="U1" s="37"/>
      <c r="V1" s="37" t="s">
        <v>629</v>
      </c>
      <c r="W1" s="37"/>
      <c r="X1" s="38" t="s">
        <v>630</v>
      </c>
      <c r="Y1" s="39"/>
      <c r="Z1" s="38" t="s">
        <v>631</v>
      </c>
      <c r="AA1" s="39"/>
    </row>
    <row r="2" spans="1:29" x14ac:dyDescent="0.15">
      <c r="A2" s="3">
        <v>-31</v>
      </c>
      <c r="B2" s="3"/>
      <c r="C2" s="3" t="s">
        <v>1515</v>
      </c>
      <c r="D2" s="3">
        <v>0</v>
      </c>
      <c r="E2" s="3">
        <v>0</v>
      </c>
      <c r="F2" s="3" t="s">
        <v>1515</v>
      </c>
      <c r="G2" s="3">
        <v>0</v>
      </c>
      <c r="H2" s="3" t="s">
        <v>1523</v>
      </c>
      <c r="I2" s="3" t="s">
        <v>1524</v>
      </c>
      <c r="J2" s="3" t="s">
        <v>1199</v>
      </c>
      <c r="K2" s="14" t="s">
        <v>1982</v>
      </c>
      <c r="L2" s="14" t="str">
        <f>DEC2HEX(LEFT(K2,FIND(",",K2)-1),2)&amp;DEC2HEX(LEFT(RIGHT(K2,LEN(K2)-LEN(LEFT(K2,FIND(",",K2)-1))-1),FIND(",",RIGHT(K2,LEN(K2)-LEN(LEFT(K2,FIND(",",K2)-1))-1))-1),2)&amp;DEC2HEX(LEFT(RIGHT(K2,LEN(K2)-LEN(LEFT(RIGHT(K2,LEN(K2)-LEN(LEFT(K2,FIND(",",K2)-1))-1),FIND(",",RIGHT(K2,LEN(K2)-LEN(LEFT(K2,FIND(",",K2)-1))-1))-1))-LEN(LEFT(K2,FIND(",",K2)-1))-2),FIND(",",RIGHT(K2,LEN(K2)-LEN(LEFT(RIGHT(K2,LEN(K2)-LEN(LEFT(K2,FIND(",",K2)-1))-1),FIND(",",RIGHT(K2,LEN(K2)-LEN(LEFT(K2,FIND(",",K2)-1))-1))-1))-LEN(LEFT(K2,FIND(",",K2)-1))-2))-1),2)</f>
        <v>3C80DC</v>
      </c>
      <c r="M2" s="3" t="s">
        <v>1565</v>
      </c>
      <c r="N2" s="3" t="s">
        <v>1566</v>
      </c>
      <c r="O2" s="3" t="s">
        <v>1567</v>
      </c>
      <c r="P2" s="3" t="s">
        <v>639</v>
      </c>
      <c r="Q2" s="3" t="s">
        <v>640</v>
      </c>
      <c r="R2" s="3">
        <v>0</v>
      </c>
      <c r="S2" s="3" t="str">
        <f>""</f>
        <v/>
      </c>
      <c r="T2" s="3">
        <v>0</v>
      </c>
      <c r="U2" s="3" t="str">
        <f>""</f>
        <v/>
      </c>
      <c r="V2" s="3" t="s">
        <v>633</v>
      </c>
      <c r="W2" s="4" t="s">
        <v>634</v>
      </c>
      <c r="X2" s="3" t="s">
        <v>635</v>
      </c>
      <c r="Y2" s="3" t="s">
        <v>636</v>
      </c>
      <c r="Z2" s="3" t="s">
        <v>637</v>
      </c>
      <c r="AA2" s="3" t="s">
        <v>638</v>
      </c>
    </row>
    <row r="3" spans="1:29" x14ac:dyDescent="0.15">
      <c r="A3" s="3">
        <v>-30</v>
      </c>
      <c r="B3" s="3"/>
      <c r="C3" s="3" t="s">
        <v>691</v>
      </c>
      <c r="D3" s="3">
        <v>1</v>
      </c>
      <c r="E3" s="3">
        <v>3</v>
      </c>
      <c r="F3" s="3" t="s">
        <v>323</v>
      </c>
      <c r="G3" s="3">
        <v>10003</v>
      </c>
      <c r="H3" s="3" t="s">
        <v>1525</v>
      </c>
      <c r="I3" s="3" t="s">
        <v>1526</v>
      </c>
      <c r="J3" s="3" t="s">
        <v>1200</v>
      </c>
      <c r="K3" s="3" t="s">
        <v>1983</v>
      </c>
      <c r="L3" s="14" t="str">
        <f>DEC2HEX(LEFT(K3,FIND(",",K3)-1),2)&amp;DEC2HEX(LEFT(RIGHT(K3,LEN(K3)-LEN(LEFT(K3,FIND(",",K3)-1))-1),FIND(",",RIGHT(K3,LEN(K3)-LEN(LEFT(K3,FIND(",",K3)-1))-1))-1),2)&amp;DEC2HEX(LEFT(RIGHT(K3,LEN(K3)-LEN(LEFT(RIGHT(K3,LEN(K3)-LEN(LEFT(K3,FIND(",",K3)-1))-1),FIND(",",RIGHT(K3,LEN(K3)-LEN(LEFT(K3,FIND(",",K3)-1))-1))-1))-LEN(LEFT(K3,FIND(",",K3)-1))-2),FIND(",",RIGHT(K3,LEN(K3)-LEN(LEFT(RIGHT(K3,LEN(K3)-LEN(LEFT(K3,FIND(",",K3)-1))-1),FIND(",",RIGHT(K3,LEN(K3)-LEN(LEFT(K3,FIND(",",K3)-1))-1))-1))-LEN(LEFT(K3,FIND(",",K3)-1))-2))-1),2)</f>
        <v>A01E1E</v>
      </c>
      <c r="M3" s="3" t="s">
        <v>1568</v>
      </c>
      <c r="N3" s="3" t="s">
        <v>1569</v>
      </c>
      <c r="O3" s="3" t="s">
        <v>1570</v>
      </c>
      <c r="P3" s="3" t="s">
        <v>646</v>
      </c>
      <c r="Q3" s="3" t="s">
        <v>647</v>
      </c>
      <c r="R3" s="3">
        <v>1</v>
      </c>
      <c r="S3" s="3" t="s">
        <v>641</v>
      </c>
      <c r="T3" s="3">
        <v>1</v>
      </c>
      <c r="U3" s="3" t="s">
        <v>642</v>
      </c>
      <c r="V3" s="3" t="s">
        <v>643</v>
      </c>
      <c r="W3" s="4" t="s">
        <v>636</v>
      </c>
      <c r="X3" s="3" t="s">
        <v>641</v>
      </c>
      <c r="Y3" s="3" t="s">
        <v>634</v>
      </c>
      <c r="Z3" s="3" t="s">
        <v>644</v>
      </c>
      <c r="AA3" s="3" t="s">
        <v>638</v>
      </c>
    </row>
    <row r="4" spans="1:29" x14ac:dyDescent="0.15">
      <c r="A4" s="3">
        <v>-29</v>
      </c>
      <c r="B4" s="3"/>
      <c r="C4" s="3" t="s">
        <v>232</v>
      </c>
      <c r="D4" s="3">
        <v>2</v>
      </c>
      <c r="E4" s="3">
        <v>2</v>
      </c>
      <c r="F4" s="3" t="s">
        <v>322</v>
      </c>
      <c r="G4" s="3">
        <v>10002</v>
      </c>
      <c r="H4" s="3" t="s">
        <v>1525</v>
      </c>
      <c r="I4" s="3" t="s">
        <v>1526</v>
      </c>
      <c r="J4" s="3" t="s">
        <v>665</v>
      </c>
      <c r="K4" s="3" t="s">
        <v>1984</v>
      </c>
      <c r="L4" s="14" t="str">
        <f t="shared" ref="L4:L37" si="0">DEC2HEX(LEFT(K4,FIND(",",K4)-1),2)&amp;DEC2HEX(LEFT(RIGHT(K4,LEN(K4)-LEN(LEFT(K4,FIND(",",K4)-1))-1),FIND(",",RIGHT(K4,LEN(K4)-LEN(LEFT(K4,FIND(",",K4)-1))-1))-1),2)&amp;DEC2HEX(LEFT(RIGHT(K4,LEN(K4)-LEN(LEFT(RIGHT(K4,LEN(K4)-LEN(LEFT(K4,FIND(",",K4)-1))-1),FIND(",",RIGHT(K4,LEN(K4)-LEN(LEFT(K4,FIND(",",K4)-1))-1))-1))-LEN(LEFT(K4,FIND(",",K4)-1))-2),FIND(",",RIGHT(K4,LEN(K4)-LEN(LEFT(RIGHT(K4,LEN(K4)-LEN(LEFT(K4,FIND(",",K4)-1))-1),FIND(",",RIGHT(K4,LEN(K4)-LEN(LEFT(K4,FIND(",",K4)-1))-1))-1))-LEN(LEFT(K4,FIND(",",K4)-1))-2))-1),2)</f>
        <v>FFB25F</v>
      </c>
      <c r="M4" s="3" t="s">
        <v>1571</v>
      </c>
      <c r="N4" s="3" t="s">
        <v>1572</v>
      </c>
      <c r="O4" s="3" t="s">
        <v>1573</v>
      </c>
      <c r="P4" s="3" t="s">
        <v>653</v>
      </c>
      <c r="Q4" s="3" t="s">
        <v>647</v>
      </c>
      <c r="R4" s="3">
        <v>2</v>
      </c>
      <c r="S4" s="3" t="s">
        <v>635</v>
      </c>
      <c r="T4" s="3">
        <v>2</v>
      </c>
      <c r="U4" s="3" t="s">
        <v>648</v>
      </c>
      <c r="V4" s="3" t="s">
        <v>649</v>
      </c>
      <c r="W4" s="4" t="s">
        <v>650</v>
      </c>
      <c r="X4" s="3" t="s">
        <v>638</v>
      </c>
      <c r="Y4" s="3" t="s">
        <v>651</v>
      </c>
      <c r="Z4" s="3" t="s">
        <v>652</v>
      </c>
      <c r="AA4" s="3" t="s">
        <v>638</v>
      </c>
    </row>
    <row r="5" spans="1:29" x14ac:dyDescent="0.15">
      <c r="A5" s="3">
        <v>-28</v>
      </c>
      <c r="B5" s="3"/>
      <c r="C5" s="3" t="s">
        <v>675</v>
      </c>
      <c r="D5" s="3">
        <v>3</v>
      </c>
      <c r="E5" s="3">
        <v>4</v>
      </c>
      <c r="F5" s="3" t="s">
        <v>1223</v>
      </c>
      <c r="G5" s="3">
        <v>10015</v>
      </c>
      <c r="H5" s="3" t="s">
        <v>1527</v>
      </c>
      <c r="I5" s="3" t="s">
        <v>1528</v>
      </c>
      <c r="J5" s="3" t="s">
        <v>232</v>
      </c>
      <c r="K5" s="14" t="s">
        <v>1985</v>
      </c>
      <c r="L5" s="14" t="str">
        <f t="shared" si="0"/>
        <v>C498FF</v>
      </c>
      <c r="M5" s="3" t="s">
        <v>1574</v>
      </c>
      <c r="N5" s="3" t="s">
        <v>1575</v>
      </c>
      <c r="O5" s="3" t="s">
        <v>1574</v>
      </c>
      <c r="P5" s="3" t="s">
        <v>659</v>
      </c>
      <c r="Q5" s="3" t="s">
        <v>647</v>
      </c>
      <c r="R5" s="3">
        <v>3</v>
      </c>
      <c r="S5" s="3" t="s">
        <v>654</v>
      </c>
      <c r="T5" s="3">
        <v>3</v>
      </c>
      <c r="U5" s="3" t="s">
        <v>655</v>
      </c>
      <c r="V5" s="3" t="s">
        <v>656</v>
      </c>
      <c r="W5" s="4" t="s">
        <v>656</v>
      </c>
      <c r="X5" s="3" t="s">
        <v>657</v>
      </c>
      <c r="Y5" s="4" t="s">
        <v>650</v>
      </c>
      <c r="Z5" s="6"/>
      <c r="AA5" s="11"/>
      <c r="AB5" s="12"/>
      <c r="AC5" s="12"/>
    </row>
    <row r="6" spans="1:29" x14ac:dyDescent="0.15">
      <c r="A6" s="3">
        <v>-27</v>
      </c>
      <c r="B6" s="3"/>
      <c r="C6" s="3" t="s">
        <v>233</v>
      </c>
      <c r="D6" s="3">
        <v>4</v>
      </c>
      <c r="E6" s="3">
        <v>5</v>
      </c>
      <c r="F6" s="3" t="s">
        <v>303</v>
      </c>
      <c r="G6" s="3">
        <v>10014</v>
      </c>
      <c r="H6" s="3" t="s">
        <v>1527</v>
      </c>
      <c r="I6" s="3" t="s">
        <v>1528</v>
      </c>
      <c r="J6" s="3" t="s">
        <v>691</v>
      </c>
      <c r="K6" s="3" t="s">
        <v>1986</v>
      </c>
      <c r="L6" s="14" t="str">
        <f t="shared" si="0"/>
        <v>FF6F53</v>
      </c>
      <c r="M6" s="3" t="s">
        <v>1576</v>
      </c>
      <c r="N6" s="3" t="s">
        <v>1577</v>
      </c>
      <c r="O6" s="3" t="s">
        <v>1578</v>
      </c>
      <c r="P6" s="3" t="s">
        <v>666</v>
      </c>
      <c r="Q6" s="3" t="s">
        <v>647</v>
      </c>
      <c r="R6" s="3">
        <v>4</v>
      </c>
      <c r="S6" s="3" t="s">
        <v>660</v>
      </c>
      <c r="T6" s="3">
        <v>4</v>
      </c>
      <c r="U6" s="3" t="s">
        <v>661</v>
      </c>
      <c r="V6" s="3" t="s">
        <v>662</v>
      </c>
      <c r="W6" s="4" t="s">
        <v>663</v>
      </c>
      <c r="X6" s="3" t="s">
        <v>664</v>
      </c>
      <c r="Y6" s="4" t="s">
        <v>650</v>
      </c>
      <c r="Z6" s="7"/>
      <c r="AA6" s="10"/>
      <c r="AB6" s="12"/>
      <c r="AC6" s="12"/>
    </row>
    <row r="7" spans="1:29" x14ac:dyDescent="0.15">
      <c r="A7" s="3">
        <v>-26</v>
      </c>
      <c r="B7" s="3"/>
      <c r="C7" s="3" t="s">
        <v>665</v>
      </c>
      <c r="D7" s="3">
        <v>5</v>
      </c>
      <c r="E7" s="3">
        <v>1</v>
      </c>
      <c r="F7" s="3" t="s">
        <v>1224</v>
      </c>
      <c r="G7" s="3">
        <v>10021</v>
      </c>
      <c r="H7" s="3" t="s">
        <v>1529</v>
      </c>
      <c r="I7" s="3" t="s">
        <v>1530</v>
      </c>
      <c r="J7" s="3" t="s">
        <v>675</v>
      </c>
      <c r="K7" s="14" t="s">
        <v>1987</v>
      </c>
      <c r="L7" s="14" t="str">
        <f t="shared" si="0"/>
        <v>16D8D8</v>
      </c>
      <c r="M7" s="3" t="s">
        <v>1579</v>
      </c>
      <c r="N7" s="3" t="s">
        <v>1580</v>
      </c>
      <c r="O7" s="3" t="s">
        <v>1579</v>
      </c>
      <c r="P7" s="3" t="s">
        <v>672</v>
      </c>
      <c r="Q7" s="3" t="s">
        <v>647</v>
      </c>
      <c r="T7" s="3">
        <v>5</v>
      </c>
      <c r="U7" s="3" t="s">
        <v>667</v>
      </c>
      <c r="V7" s="5" t="s">
        <v>668</v>
      </c>
      <c r="W7" s="6" t="s">
        <v>669</v>
      </c>
      <c r="X7" s="3" t="s">
        <v>670</v>
      </c>
      <c r="Y7" s="4" t="s">
        <v>663</v>
      </c>
      <c r="Z7" s="7"/>
      <c r="AA7" s="10"/>
      <c r="AB7" s="12"/>
      <c r="AC7" s="12"/>
    </row>
    <row r="8" spans="1:29" x14ac:dyDescent="0.15">
      <c r="A8" s="3">
        <v>-25</v>
      </c>
      <c r="B8" s="3"/>
      <c r="C8" s="3" t="s">
        <v>1201</v>
      </c>
      <c r="D8" s="3">
        <v>6</v>
      </c>
      <c r="E8" s="3">
        <v>8</v>
      </c>
      <c r="F8" s="3" t="s">
        <v>1225</v>
      </c>
      <c r="G8" s="3">
        <v>10028</v>
      </c>
      <c r="H8" s="3" t="s">
        <v>1529</v>
      </c>
      <c r="I8" s="3" t="s">
        <v>1530</v>
      </c>
      <c r="J8" s="3" t="s">
        <v>233</v>
      </c>
      <c r="K8" s="14" t="s">
        <v>1988</v>
      </c>
      <c r="L8" s="14" t="str">
        <f t="shared" si="0"/>
        <v>FF81B0</v>
      </c>
      <c r="M8" s="3" t="s">
        <v>1581</v>
      </c>
      <c r="N8" s="3" t="s">
        <v>1582</v>
      </c>
      <c r="O8" s="3" t="s">
        <v>1581</v>
      </c>
      <c r="P8" s="3" t="s">
        <v>676</v>
      </c>
      <c r="Q8" s="3" t="s">
        <v>647</v>
      </c>
      <c r="T8" s="3">
        <v>6</v>
      </c>
      <c r="U8" s="4" t="s">
        <v>673</v>
      </c>
      <c r="V8" s="3" t="s">
        <v>674</v>
      </c>
      <c r="W8" s="3" t="s">
        <v>651</v>
      </c>
      <c r="X8" s="3" t="s">
        <v>660</v>
      </c>
      <c r="Y8" s="4" t="s">
        <v>656</v>
      </c>
      <c r="Z8" s="7"/>
      <c r="AA8" s="10"/>
      <c r="AB8" s="12"/>
      <c r="AC8" s="12"/>
    </row>
    <row r="9" spans="1:29" x14ac:dyDescent="0.15">
      <c r="A9" s="3">
        <v>-24</v>
      </c>
      <c r="B9" s="3"/>
      <c r="C9" s="3" t="s">
        <v>246</v>
      </c>
      <c r="D9" s="3">
        <v>7</v>
      </c>
      <c r="E9" s="3">
        <v>9</v>
      </c>
      <c r="F9" s="3" t="s">
        <v>1226</v>
      </c>
      <c r="G9" s="3">
        <v>10026</v>
      </c>
      <c r="H9" s="3" t="s">
        <v>1531</v>
      </c>
      <c r="I9" s="3" t="s">
        <v>1532</v>
      </c>
      <c r="J9" s="3" t="s">
        <v>760</v>
      </c>
      <c r="K9" s="14" t="s">
        <v>1989</v>
      </c>
      <c r="L9" s="14" t="str">
        <f t="shared" si="0"/>
        <v>3793FF</v>
      </c>
      <c r="M9" s="3" t="s">
        <v>1583</v>
      </c>
      <c r="N9" s="3" t="s">
        <v>1584</v>
      </c>
      <c r="O9" s="3" t="s">
        <v>1585</v>
      </c>
      <c r="P9" s="3" t="s">
        <v>680</v>
      </c>
      <c r="Q9" s="3" t="s">
        <v>647</v>
      </c>
      <c r="T9" s="3">
        <v>7</v>
      </c>
      <c r="U9" s="4" t="s">
        <v>677</v>
      </c>
      <c r="V9" s="7"/>
      <c r="W9" s="8"/>
      <c r="X9" s="3" t="s">
        <v>678</v>
      </c>
      <c r="Y9" s="3" t="s">
        <v>669</v>
      </c>
      <c r="Z9" s="2"/>
      <c r="AA9" s="10"/>
      <c r="AB9" s="12"/>
      <c r="AC9" s="12"/>
    </row>
    <row r="10" spans="1:29" x14ac:dyDescent="0.15">
      <c r="A10" s="3">
        <v>-23</v>
      </c>
      <c r="B10" s="3"/>
      <c r="C10" s="3" t="s">
        <v>245</v>
      </c>
      <c r="D10" s="3">
        <v>8</v>
      </c>
      <c r="E10" s="3">
        <v>10</v>
      </c>
      <c r="F10" s="3" t="s">
        <v>1227</v>
      </c>
      <c r="G10" s="3">
        <v>10062</v>
      </c>
      <c r="H10" s="3" t="s">
        <v>1531</v>
      </c>
      <c r="I10" s="3" t="s">
        <v>1532</v>
      </c>
      <c r="J10" s="3" t="s">
        <v>244</v>
      </c>
      <c r="K10" s="3" t="s">
        <v>1990</v>
      </c>
      <c r="L10" s="14" t="str">
        <f t="shared" si="0"/>
        <v>79B736</v>
      </c>
      <c r="M10" s="3" t="s">
        <v>1586</v>
      </c>
      <c r="N10" s="3" t="s">
        <v>1587</v>
      </c>
      <c r="O10" s="3" t="s">
        <v>1588</v>
      </c>
      <c r="P10" s="3" t="s">
        <v>685</v>
      </c>
      <c r="Q10" s="3" t="s">
        <v>647</v>
      </c>
      <c r="T10" s="3">
        <v>8</v>
      </c>
      <c r="U10" s="4" t="s">
        <v>681</v>
      </c>
      <c r="V10" s="7"/>
      <c r="W10" s="8"/>
      <c r="X10" s="3" t="s">
        <v>682</v>
      </c>
      <c r="Y10" s="3" t="s">
        <v>683</v>
      </c>
      <c r="Z10" s="2"/>
      <c r="AA10" s="2"/>
      <c r="AB10" s="12"/>
      <c r="AC10" s="12"/>
    </row>
    <row r="11" spans="1:29" x14ac:dyDescent="0.15">
      <c r="A11" s="3">
        <v>-22</v>
      </c>
      <c r="B11" s="3"/>
      <c r="C11" s="3" t="s">
        <v>760</v>
      </c>
      <c r="D11" s="3">
        <v>9</v>
      </c>
      <c r="E11" s="3">
        <v>6</v>
      </c>
      <c r="F11" s="3" t="s">
        <v>1228</v>
      </c>
      <c r="G11" s="3">
        <v>10081</v>
      </c>
      <c r="H11" s="3" t="s">
        <v>1533</v>
      </c>
      <c r="I11" s="3" t="s">
        <v>1534</v>
      </c>
      <c r="J11" s="3" t="s">
        <v>1201</v>
      </c>
      <c r="K11" s="3" t="s">
        <v>1991</v>
      </c>
      <c r="L11" s="14" t="str">
        <f t="shared" si="0"/>
        <v>D6F95D</v>
      </c>
      <c r="M11" s="3" t="s">
        <v>1589</v>
      </c>
      <c r="N11" s="3" t="s">
        <v>1590</v>
      </c>
      <c r="O11" s="3" t="s">
        <v>1591</v>
      </c>
      <c r="P11" s="3" t="s">
        <v>688</v>
      </c>
      <c r="Q11" s="3" t="s">
        <v>689</v>
      </c>
      <c r="T11" s="3">
        <v>9</v>
      </c>
      <c r="U11" s="4" t="s">
        <v>686</v>
      </c>
      <c r="V11" s="7"/>
      <c r="W11" s="2"/>
      <c r="X11" s="2"/>
      <c r="Y11" s="2"/>
      <c r="Z11" s="2"/>
      <c r="AA11" s="2"/>
      <c r="AB11" s="12"/>
      <c r="AC11" s="12"/>
    </row>
    <row r="12" spans="1:29" x14ac:dyDescent="0.15">
      <c r="A12" s="3">
        <v>-21</v>
      </c>
      <c r="B12" s="3"/>
      <c r="C12" s="3" t="s">
        <v>244</v>
      </c>
      <c r="D12" s="3">
        <v>10</v>
      </c>
      <c r="E12" s="3">
        <v>7</v>
      </c>
      <c r="F12" s="3" t="s">
        <v>1229</v>
      </c>
      <c r="G12" s="3">
        <v>10080</v>
      </c>
      <c r="H12" s="3" t="s">
        <v>1533</v>
      </c>
      <c r="I12" s="3" t="s">
        <v>1534</v>
      </c>
      <c r="J12" s="3" t="s">
        <v>246</v>
      </c>
      <c r="K12" s="3" t="s">
        <v>1992</v>
      </c>
      <c r="L12" s="14" t="str">
        <f t="shared" si="0"/>
        <v>CD853F</v>
      </c>
      <c r="M12" s="3" t="s">
        <v>1592</v>
      </c>
      <c r="N12" s="3" t="s">
        <v>1593</v>
      </c>
      <c r="O12" s="3" t="s">
        <v>1594</v>
      </c>
      <c r="P12" s="3" t="s">
        <v>692</v>
      </c>
      <c r="Q12" s="3" t="s">
        <v>693</v>
      </c>
      <c r="T12" s="3">
        <v>10</v>
      </c>
      <c r="U12" s="4" t="s">
        <v>690</v>
      </c>
      <c r="V12" s="7"/>
      <c r="W12" s="2"/>
      <c r="X12" s="2"/>
      <c r="AA12" s="2"/>
    </row>
    <row r="13" spans="1:29" x14ac:dyDescent="0.15">
      <c r="A13" s="3">
        <v>-20</v>
      </c>
      <c r="B13" s="3"/>
      <c r="C13" s="3" t="s">
        <v>833</v>
      </c>
      <c r="D13" s="3">
        <v>18</v>
      </c>
      <c r="E13" s="3">
        <v>21</v>
      </c>
      <c r="F13" s="3" t="s">
        <v>1230</v>
      </c>
      <c r="G13" s="3">
        <v>10175</v>
      </c>
      <c r="H13" s="3" t="s">
        <v>1535</v>
      </c>
      <c r="I13" s="3" t="s">
        <v>1536</v>
      </c>
      <c r="J13" s="3" t="s">
        <v>245</v>
      </c>
      <c r="K13" s="3" t="s">
        <v>1993</v>
      </c>
      <c r="L13" s="14" t="str">
        <f t="shared" si="0"/>
        <v>F04660</v>
      </c>
      <c r="M13" s="3" t="s">
        <v>1595</v>
      </c>
      <c r="N13" s="3" t="s">
        <v>1596</v>
      </c>
      <c r="O13" s="3" t="s">
        <v>1595</v>
      </c>
      <c r="P13" s="3" t="s">
        <v>696</v>
      </c>
      <c r="Q13" s="3" t="s">
        <v>693</v>
      </c>
      <c r="T13" s="3">
        <v>11</v>
      </c>
      <c r="U13" s="4" t="s">
        <v>694</v>
      </c>
      <c r="V13" s="9"/>
    </row>
    <row r="14" spans="1:29" x14ac:dyDescent="0.15">
      <c r="A14" s="3">
        <v>-19</v>
      </c>
      <c r="B14" s="3"/>
      <c r="C14" s="3" t="s">
        <v>1202</v>
      </c>
      <c r="D14" s="3">
        <v>19</v>
      </c>
      <c r="E14" s="3">
        <v>22</v>
      </c>
      <c r="F14" s="3" t="s">
        <v>1231</v>
      </c>
      <c r="G14" s="3">
        <v>10176</v>
      </c>
      <c r="H14" s="3" t="s">
        <v>1535</v>
      </c>
      <c r="I14" s="3" t="s">
        <v>1536</v>
      </c>
      <c r="J14" s="3" t="s">
        <v>833</v>
      </c>
      <c r="K14" s="3" t="s">
        <v>1994</v>
      </c>
      <c r="L14" s="14" t="str">
        <f t="shared" si="0"/>
        <v>B43C00</v>
      </c>
      <c r="M14" s="3" t="s">
        <v>1597</v>
      </c>
      <c r="N14" s="3" t="s">
        <v>1598</v>
      </c>
      <c r="O14" s="3" t="s">
        <v>1597</v>
      </c>
      <c r="P14" s="3" t="s">
        <v>698</v>
      </c>
      <c r="Q14" s="3" t="s">
        <v>699</v>
      </c>
    </row>
    <row r="15" spans="1:29" x14ac:dyDescent="0.15">
      <c r="A15" s="3">
        <v>-18</v>
      </c>
      <c r="B15" s="3"/>
      <c r="C15" s="3" t="s">
        <v>1203</v>
      </c>
      <c r="D15" s="3">
        <v>20</v>
      </c>
      <c r="E15" s="3">
        <v>23</v>
      </c>
      <c r="F15" s="3" t="s">
        <v>1232</v>
      </c>
      <c r="G15" s="3">
        <v>10224</v>
      </c>
      <c r="H15" s="3" t="s">
        <v>1537</v>
      </c>
      <c r="I15" s="3" t="s">
        <v>1538</v>
      </c>
      <c r="J15" s="3" t="s">
        <v>1202</v>
      </c>
      <c r="K15" s="14" t="s">
        <v>1995</v>
      </c>
      <c r="L15" s="14" t="str">
        <f t="shared" si="0"/>
        <v>64FAB4</v>
      </c>
      <c r="M15" s="3" t="s">
        <v>1599</v>
      </c>
      <c r="N15" s="3" t="s">
        <v>1600</v>
      </c>
      <c r="O15" s="3" t="s">
        <v>1601</v>
      </c>
      <c r="P15" s="3" t="s">
        <v>701</v>
      </c>
      <c r="Q15" s="3" t="s">
        <v>699</v>
      </c>
    </row>
    <row r="16" spans="1:29" x14ac:dyDescent="0.15">
      <c r="A16" s="3">
        <v>-17</v>
      </c>
      <c r="B16" s="3" t="s">
        <v>2050</v>
      </c>
      <c r="C16" s="3" t="s">
        <v>942</v>
      </c>
      <c r="D16" s="3">
        <v>21</v>
      </c>
      <c r="E16" s="3">
        <v>24</v>
      </c>
      <c r="F16" s="3" t="s">
        <v>1233</v>
      </c>
      <c r="G16" s="3">
        <v>10225</v>
      </c>
      <c r="H16" s="3" t="s">
        <v>1537</v>
      </c>
      <c r="I16" s="3" t="s">
        <v>1538</v>
      </c>
      <c r="J16" s="3" t="s">
        <v>1203</v>
      </c>
      <c r="K16" s="14" t="s">
        <v>1996</v>
      </c>
      <c r="L16" s="14" t="str">
        <f t="shared" si="0"/>
        <v>6A6CBD</v>
      </c>
      <c r="M16" s="3" t="s">
        <v>1602</v>
      </c>
      <c r="N16" s="3" t="s">
        <v>1603</v>
      </c>
      <c r="O16" s="3" t="s">
        <v>1602</v>
      </c>
      <c r="P16" s="3" t="s">
        <v>703</v>
      </c>
      <c r="Q16" s="3" t="s">
        <v>699</v>
      </c>
    </row>
    <row r="17" spans="1:17" x14ac:dyDescent="0.15">
      <c r="A17" s="3">
        <v>-16</v>
      </c>
      <c r="B17" s="3" t="s">
        <v>1510</v>
      </c>
      <c r="C17" s="3" t="s">
        <v>1204</v>
      </c>
      <c r="D17" s="3">
        <v>22</v>
      </c>
      <c r="E17" s="3">
        <v>25</v>
      </c>
      <c r="F17" s="3" t="s">
        <v>1234</v>
      </c>
      <c r="G17" s="3">
        <v>10144</v>
      </c>
      <c r="H17" s="3" t="s">
        <v>1539</v>
      </c>
      <c r="I17" s="3" t="s">
        <v>1540</v>
      </c>
      <c r="J17" s="3" t="s">
        <v>942</v>
      </c>
      <c r="K17" s="14" t="s">
        <v>1997</v>
      </c>
      <c r="L17" s="14" t="str">
        <f>DEC2HEX(LEFT(K17,FIND(",",K17)-1),2)&amp;DEC2HEX(LEFT(RIGHT(K17,LEN(K17)-LEN(LEFT(K17,FIND(",",K17)-1))-1),FIND(",",RIGHT(K17,LEN(K17)-LEN(LEFT(K17,FIND(",",K17)-1))-1))-1),2)&amp;DEC2HEX(LEFT(RIGHT(K17,LEN(K17)-LEN(LEFT(RIGHT(K17,LEN(K17)-LEN(LEFT(K17,FIND(",",K17)-1))-1),FIND(",",RIGHT(K17,LEN(K17)-LEN(LEFT(K17,FIND(",",K17)-1))-1))-1))-LEN(LEFT(K17,FIND(",",K17)-1))-2),FIND(",",RIGHT(K17,LEN(K17)-LEN(LEFT(RIGHT(K17,LEN(K17)-LEN(LEFT(K17,FIND(",",K17)-1))-1),FIND(",",RIGHT(K17,LEN(K17)-LEN(LEFT(K17,FIND(",",K17)-1))-1))-1))-LEN(LEFT(K17,FIND(",",K17)-1))-2))-1),2)</f>
        <v>ABE3FA</v>
      </c>
      <c r="M17" s="3" t="s">
        <v>1604</v>
      </c>
      <c r="N17" s="3" t="s">
        <v>1605</v>
      </c>
      <c r="O17" s="3" t="s">
        <v>1604</v>
      </c>
      <c r="P17" s="3" t="s">
        <v>704</v>
      </c>
      <c r="Q17" s="3" t="s">
        <v>705</v>
      </c>
    </row>
    <row r="18" spans="1:17" x14ac:dyDescent="0.15">
      <c r="A18" s="3">
        <v>-15</v>
      </c>
      <c r="B18" s="3" t="s">
        <v>1509</v>
      </c>
      <c r="C18" s="3" t="s">
        <v>1205</v>
      </c>
      <c r="D18" s="3">
        <v>23</v>
      </c>
      <c r="E18" s="3">
        <v>211</v>
      </c>
      <c r="F18" s="3" t="s">
        <v>1235</v>
      </c>
      <c r="G18" s="3">
        <v>10145</v>
      </c>
      <c r="H18" s="3" t="s">
        <v>1539</v>
      </c>
      <c r="I18" s="3" t="s">
        <v>1540</v>
      </c>
      <c r="J18" s="3" t="s">
        <v>1204</v>
      </c>
      <c r="K18" s="3" t="s">
        <v>1998</v>
      </c>
      <c r="L18" s="14" t="str">
        <f t="shared" si="0"/>
        <v>A10922</v>
      </c>
      <c r="M18" s="3" t="s">
        <v>1606</v>
      </c>
      <c r="N18" s="3" t="s">
        <v>1607</v>
      </c>
      <c r="O18" s="3" t="s">
        <v>1608</v>
      </c>
      <c r="P18" s="3" t="s">
        <v>707</v>
      </c>
      <c r="Q18" s="3" t="s">
        <v>705</v>
      </c>
    </row>
    <row r="19" spans="1:17" x14ac:dyDescent="0.15">
      <c r="A19" s="3">
        <v>-14</v>
      </c>
      <c r="B19" s="3" t="s">
        <v>1508</v>
      </c>
      <c r="C19" s="3" t="s">
        <v>1206</v>
      </c>
      <c r="D19" s="3">
        <v>24</v>
      </c>
      <c r="E19" s="3">
        <v>212</v>
      </c>
      <c r="F19" s="3" t="s">
        <v>1236</v>
      </c>
      <c r="G19" s="3">
        <v>10268</v>
      </c>
      <c r="H19" s="3" t="s">
        <v>1541</v>
      </c>
      <c r="I19" s="3" t="s">
        <v>1542</v>
      </c>
      <c r="J19" s="3" t="s">
        <v>1205</v>
      </c>
      <c r="K19" s="3" t="s">
        <v>1999</v>
      </c>
      <c r="L19" s="14" t="str">
        <f t="shared" si="0"/>
        <v>A653FB</v>
      </c>
      <c r="M19" s="3" t="s">
        <v>1609</v>
      </c>
      <c r="N19" s="3" t="s">
        <v>1610</v>
      </c>
      <c r="O19" s="3" t="s">
        <v>1611</v>
      </c>
    </row>
    <row r="20" spans="1:17" x14ac:dyDescent="0.15">
      <c r="A20" s="3">
        <v>-13</v>
      </c>
      <c r="B20" s="3" t="s">
        <v>1507</v>
      </c>
      <c r="C20" s="3" t="s">
        <v>1122</v>
      </c>
      <c r="D20" s="3">
        <v>26</v>
      </c>
      <c r="E20" s="3">
        <v>213</v>
      </c>
      <c r="F20" s="3" t="s">
        <v>1237</v>
      </c>
      <c r="G20" s="3">
        <v>10242</v>
      </c>
      <c r="H20" s="3" t="s">
        <v>1543</v>
      </c>
      <c r="I20" s="3" t="s">
        <v>1544</v>
      </c>
      <c r="J20" s="3" t="s">
        <v>1206</v>
      </c>
      <c r="K20" s="3" t="s">
        <v>2000</v>
      </c>
      <c r="L20" s="14" t="str">
        <f t="shared" si="0"/>
        <v>00AC99</v>
      </c>
      <c r="M20" s="3" t="s">
        <v>1612</v>
      </c>
      <c r="N20" s="3" t="s">
        <v>1613</v>
      </c>
      <c r="O20" s="3" t="s">
        <v>1614</v>
      </c>
    </row>
    <row r="21" spans="1:17" x14ac:dyDescent="0.15">
      <c r="A21" s="3">
        <v>-12</v>
      </c>
      <c r="B21" s="3" t="s">
        <v>1506</v>
      </c>
      <c r="F21" s="3" t="s">
        <v>1238</v>
      </c>
      <c r="G21" s="3">
        <v>10243</v>
      </c>
      <c r="H21" s="3" t="s">
        <v>1543</v>
      </c>
      <c r="I21" s="3" t="s">
        <v>1544</v>
      </c>
      <c r="J21" s="3" t="s">
        <v>1122</v>
      </c>
      <c r="K21" s="14" t="s">
        <v>2001</v>
      </c>
      <c r="L21" s="14" t="str">
        <f t="shared" si="0"/>
        <v>6BB7F2</v>
      </c>
      <c r="M21" s="3" t="s">
        <v>1615</v>
      </c>
      <c r="N21" s="3" t="s">
        <v>1616</v>
      </c>
      <c r="O21" s="3" t="s">
        <v>1617</v>
      </c>
    </row>
    <row r="22" spans="1:17" x14ac:dyDescent="0.15">
      <c r="A22" s="3">
        <v>-11</v>
      </c>
      <c r="B22" s="3" t="s">
        <v>1505</v>
      </c>
      <c r="F22" s="3" t="s">
        <v>1239</v>
      </c>
      <c r="G22" s="3">
        <v>10389</v>
      </c>
      <c r="H22" s="3" t="s">
        <v>1545</v>
      </c>
      <c r="I22" s="3" t="s">
        <v>1546</v>
      </c>
      <c r="J22" s="3" t="s">
        <v>1207</v>
      </c>
      <c r="K22" s="14" t="s">
        <v>2002</v>
      </c>
      <c r="L22" s="14" t="str">
        <f t="shared" si="0"/>
        <v>EBD773</v>
      </c>
      <c r="M22" s="3" t="s">
        <v>1618</v>
      </c>
      <c r="N22" s="3" t="s">
        <v>1619</v>
      </c>
      <c r="O22" s="3" t="s">
        <v>1620</v>
      </c>
    </row>
    <row r="23" spans="1:17" x14ac:dyDescent="0.15">
      <c r="A23" s="3">
        <v>-10</v>
      </c>
      <c r="B23" s="3" t="s">
        <v>1504</v>
      </c>
      <c r="F23" s="3" t="s">
        <v>1240</v>
      </c>
      <c r="G23" s="3">
        <v>10390</v>
      </c>
      <c r="H23" s="3" t="s">
        <v>1545</v>
      </c>
      <c r="I23" s="3" t="s">
        <v>1546</v>
      </c>
      <c r="J23" s="3" t="s">
        <v>1214</v>
      </c>
      <c r="K23" s="14" t="s">
        <v>2003</v>
      </c>
      <c r="L23" s="14" t="str">
        <f t="shared" si="0"/>
        <v>FFFFFF</v>
      </c>
      <c r="M23" s="3" t="s">
        <v>1621</v>
      </c>
      <c r="N23" s="3" t="s">
        <v>1622</v>
      </c>
      <c r="O23" s="3" t="s">
        <v>1623</v>
      </c>
    </row>
    <row r="24" spans="1:17" x14ac:dyDescent="0.15">
      <c r="A24" s="3">
        <v>-9</v>
      </c>
      <c r="B24" s="3" t="s">
        <v>1503</v>
      </c>
      <c r="F24" s="3" t="s">
        <v>1241</v>
      </c>
      <c r="G24" s="3">
        <v>10447</v>
      </c>
      <c r="H24" s="3" t="s">
        <v>1547</v>
      </c>
      <c r="I24" s="3" t="s">
        <v>1548</v>
      </c>
      <c r="J24" s="3" t="s">
        <v>1212</v>
      </c>
      <c r="K24" s="3" t="s">
        <v>2004</v>
      </c>
      <c r="L24" s="14" t="str">
        <f t="shared" si="0"/>
        <v>FF3232</v>
      </c>
      <c r="M24" s="22" t="s">
        <v>1624</v>
      </c>
      <c r="N24" s="22" t="s">
        <v>1936</v>
      </c>
      <c r="O24" s="22" t="s">
        <v>1937</v>
      </c>
    </row>
    <row r="25" spans="1:17" x14ac:dyDescent="0.15">
      <c r="A25" s="3">
        <v>-8</v>
      </c>
      <c r="B25" s="3" t="s">
        <v>1502</v>
      </c>
      <c r="F25" s="3" t="s">
        <v>1242</v>
      </c>
      <c r="G25" s="3">
        <v>10448</v>
      </c>
      <c r="H25" s="3" t="s">
        <v>1547</v>
      </c>
      <c r="I25" s="3" t="s">
        <v>1548</v>
      </c>
      <c r="J25" s="3" t="s">
        <v>1215</v>
      </c>
      <c r="K25" s="3" t="s">
        <v>2005</v>
      </c>
      <c r="L25" s="14" t="str">
        <f t="shared" si="0"/>
        <v>FF9600</v>
      </c>
      <c r="M25" s="3" t="s">
        <v>1625</v>
      </c>
      <c r="N25" s="3" t="s">
        <v>1626</v>
      </c>
      <c r="O25" s="3" t="s">
        <v>1625</v>
      </c>
    </row>
    <row r="26" spans="1:17" x14ac:dyDescent="0.15">
      <c r="A26" s="3">
        <v>-7</v>
      </c>
      <c r="B26" s="3" t="s">
        <v>1501</v>
      </c>
      <c r="F26" s="3" t="s">
        <v>1243</v>
      </c>
      <c r="G26" s="3">
        <v>10464</v>
      </c>
      <c r="H26" s="3" t="s">
        <v>1549</v>
      </c>
      <c r="I26" s="3" t="s">
        <v>1550</v>
      </c>
      <c r="J26" s="3" t="s">
        <v>1209</v>
      </c>
      <c r="K26" s="3" t="s">
        <v>2006</v>
      </c>
      <c r="L26" s="14" t="str">
        <f t="shared" si="0"/>
        <v>FFFF00</v>
      </c>
      <c r="M26" s="3" t="s">
        <v>1627</v>
      </c>
      <c r="N26" s="3" t="s">
        <v>1628</v>
      </c>
      <c r="O26" s="3" t="s">
        <v>1629</v>
      </c>
    </row>
    <row r="27" spans="1:17" x14ac:dyDescent="0.15">
      <c r="A27" s="3">
        <v>-6</v>
      </c>
      <c r="B27" s="3" t="s">
        <v>1500</v>
      </c>
      <c r="F27" s="3" t="s">
        <v>1244</v>
      </c>
      <c r="G27" s="3">
        <v>10533</v>
      </c>
      <c r="H27" s="3" t="s">
        <v>1551</v>
      </c>
      <c r="I27" s="3" t="s">
        <v>1552</v>
      </c>
      <c r="J27" s="3" t="s">
        <v>1208</v>
      </c>
      <c r="K27" s="3" t="s">
        <v>2007</v>
      </c>
      <c r="L27" s="14" t="str">
        <f t="shared" si="0"/>
        <v>00FF00</v>
      </c>
      <c r="M27" s="3" t="s">
        <v>1630</v>
      </c>
      <c r="N27" s="3" t="s">
        <v>1631</v>
      </c>
      <c r="O27" s="3" t="s">
        <v>1632</v>
      </c>
    </row>
    <row r="28" spans="1:17" x14ac:dyDescent="0.15">
      <c r="A28" s="3">
        <v>-5</v>
      </c>
      <c r="B28" s="3" t="s">
        <v>1499</v>
      </c>
      <c r="F28" s="3" t="s">
        <v>1245</v>
      </c>
      <c r="G28" s="3">
        <v>10585</v>
      </c>
      <c r="H28" s="3" t="s">
        <v>1553</v>
      </c>
      <c r="I28" s="3" t="s">
        <v>1554</v>
      </c>
      <c r="J28" s="3" t="s">
        <v>1213</v>
      </c>
      <c r="K28" s="3" t="s">
        <v>2008</v>
      </c>
      <c r="L28" s="14" t="str">
        <f t="shared" si="0"/>
        <v>00FFFF</v>
      </c>
      <c r="M28" s="3" t="s">
        <v>1633</v>
      </c>
      <c r="N28" s="3" t="s">
        <v>1634</v>
      </c>
      <c r="O28" s="3" t="s">
        <v>1635</v>
      </c>
    </row>
    <row r="29" spans="1:17" x14ac:dyDescent="0.15">
      <c r="A29" s="3">
        <v>-4</v>
      </c>
      <c r="B29" s="3" t="s">
        <v>1498</v>
      </c>
      <c r="F29" s="3" t="s">
        <v>1246</v>
      </c>
      <c r="G29" s="3">
        <v>10615</v>
      </c>
      <c r="H29" s="3" t="s">
        <v>1555</v>
      </c>
      <c r="I29" s="3" t="s">
        <v>1556</v>
      </c>
      <c r="J29" s="3" t="s">
        <v>1211</v>
      </c>
      <c r="K29" s="3" t="s">
        <v>2009</v>
      </c>
      <c r="L29" s="14" t="str">
        <f t="shared" si="0"/>
        <v>0032FF</v>
      </c>
      <c r="M29" s="3" t="s">
        <v>1636</v>
      </c>
      <c r="N29" s="3" t="s">
        <v>1637</v>
      </c>
      <c r="O29" s="3" t="s">
        <v>1638</v>
      </c>
    </row>
    <row r="30" spans="1:17" x14ac:dyDescent="0.15">
      <c r="A30" s="3">
        <v>-3</v>
      </c>
      <c r="B30" s="3" t="s">
        <v>1497</v>
      </c>
      <c r="F30" s="3" t="s">
        <v>1247</v>
      </c>
      <c r="G30" s="3">
        <v>10626</v>
      </c>
      <c r="H30" s="3" t="s">
        <v>1557</v>
      </c>
      <c r="I30" s="3" t="s">
        <v>1558</v>
      </c>
      <c r="J30" s="3" t="s">
        <v>1210</v>
      </c>
      <c r="K30" s="3" t="s">
        <v>2010</v>
      </c>
      <c r="L30" s="14" t="str">
        <f t="shared" si="0"/>
        <v>FF32FF</v>
      </c>
      <c r="M30" s="3" t="s">
        <v>1639</v>
      </c>
      <c r="N30" s="3" t="s">
        <v>1640</v>
      </c>
      <c r="O30" s="3" t="s">
        <v>1641</v>
      </c>
    </row>
    <row r="31" spans="1:17" x14ac:dyDescent="0.15">
      <c r="A31" s="3">
        <v>-2</v>
      </c>
      <c r="B31" s="3" t="s">
        <v>1496</v>
      </c>
      <c r="F31" s="3" t="s">
        <v>1248</v>
      </c>
      <c r="G31" s="3">
        <v>10627</v>
      </c>
      <c r="H31" s="3" t="s">
        <v>1557</v>
      </c>
      <c r="I31" s="3" t="s">
        <v>1558</v>
      </c>
      <c r="J31" s="3" t="s">
        <v>1216</v>
      </c>
      <c r="K31" s="3" t="s">
        <v>2011</v>
      </c>
      <c r="L31" s="14" t="str">
        <f t="shared" si="0"/>
        <v>DFBF1F</v>
      </c>
      <c r="M31" s="3" t="s">
        <v>1642</v>
      </c>
      <c r="N31" s="3" t="s">
        <v>1643</v>
      </c>
      <c r="O31" s="3" t="s">
        <v>1644</v>
      </c>
    </row>
    <row r="32" spans="1:17" x14ac:dyDescent="0.15">
      <c r="A32" s="3">
        <v>-1</v>
      </c>
      <c r="B32" s="3" t="s">
        <v>1250</v>
      </c>
      <c r="F32" s="3" t="s">
        <v>1122</v>
      </c>
      <c r="G32" s="3">
        <v>10698</v>
      </c>
      <c r="H32" s="3" t="s">
        <v>1559</v>
      </c>
      <c r="I32" s="3" t="s">
        <v>1560</v>
      </c>
      <c r="J32" s="3" t="s">
        <v>1217</v>
      </c>
      <c r="K32" s="3" t="s">
        <v>2012</v>
      </c>
      <c r="L32" s="14" t="str">
        <f t="shared" si="0"/>
        <v>B3EE4A</v>
      </c>
      <c r="M32" s="22" t="s">
        <v>1645</v>
      </c>
      <c r="N32" s="22" t="s">
        <v>1936</v>
      </c>
      <c r="O32" s="22" t="s">
        <v>1937</v>
      </c>
    </row>
    <row r="33" spans="1:15" x14ac:dyDescent="0.15">
      <c r="A33" s="3">
        <v>0</v>
      </c>
      <c r="B33" s="3" t="str">
        <f>""</f>
        <v/>
      </c>
      <c r="F33" s="3" t="s">
        <v>1207</v>
      </c>
      <c r="G33" s="3">
        <v>10756</v>
      </c>
      <c r="J33" s="3" t="s">
        <v>1218</v>
      </c>
      <c r="K33" s="14" t="s">
        <v>2013</v>
      </c>
      <c r="L33" s="14" t="str">
        <f t="shared" si="0"/>
        <v>FF99CC</v>
      </c>
      <c r="M33" s="3" t="s">
        <v>1646</v>
      </c>
      <c r="N33" s="3" t="s">
        <v>1647</v>
      </c>
      <c r="O33" s="3" t="s">
        <v>1646</v>
      </c>
    </row>
    <row r="34" spans="1:15" x14ac:dyDescent="0.15">
      <c r="A34" s="3">
        <v>1</v>
      </c>
      <c r="B34" s="3" t="s">
        <v>645</v>
      </c>
      <c r="J34" s="3" t="s">
        <v>1219</v>
      </c>
      <c r="K34" s="14" t="s">
        <v>2014</v>
      </c>
      <c r="L34" s="14" t="str">
        <f t="shared" si="0"/>
        <v>AAAAAA</v>
      </c>
      <c r="M34" s="3" t="s">
        <v>1648</v>
      </c>
      <c r="N34" s="3" t="s">
        <v>1649</v>
      </c>
      <c r="O34" s="3" t="s">
        <v>1650</v>
      </c>
    </row>
    <row r="35" spans="1:15" x14ac:dyDescent="0.15">
      <c r="A35" s="3">
        <v>2</v>
      </c>
      <c r="B35" s="3" t="s">
        <v>232</v>
      </c>
      <c r="J35" s="3" t="s">
        <v>1220</v>
      </c>
      <c r="K35" s="3" t="s">
        <v>2015</v>
      </c>
      <c r="L35" s="14" t="str">
        <f t="shared" si="0"/>
        <v>FFCC00</v>
      </c>
      <c r="M35" s="3" t="s">
        <v>1651</v>
      </c>
      <c r="N35" s="3" t="s">
        <v>1652</v>
      </c>
      <c r="O35" s="3" t="s">
        <v>1651</v>
      </c>
    </row>
    <row r="36" spans="1:15" x14ac:dyDescent="0.15">
      <c r="A36" s="3">
        <v>3</v>
      </c>
      <c r="B36" s="3" t="s">
        <v>658</v>
      </c>
      <c r="J36" s="3" t="s">
        <v>1221</v>
      </c>
      <c r="K36" s="3" t="s">
        <v>2016</v>
      </c>
      <c r="L36" s="14" t="str">
        <f t="shared" si="0"/>
        <v>A560E8</v>
      </c>
      <c r="M36" s="3" t="s">
        <v>1653</v>
      </c>
      <c r="N36" s="3" t="s">
        <v>1654</v>
      </c>
      <c r="O36" s="3" t="s">
        <v>1653</v>
      </c>
    </row>
    <row r="37" spans="1:15" x14ac:dyDescent="0.15">
      <c r="A37" s="3">
        <v>5</v>
      </c>
      <c r="B37" s="3" t="s">
        <v>665</v>
      </c>
      <c r="J37" s="3" t="s">
        <v>1222</v>
      </c>
      <c r="K37" s="3" t="s">
        <v>2017</v>
      </c>
      <c r="L37" s="14" t="str">
        <f t="shared" si="0"/>
        <v>00EE00</v>
      </c>
      <c r="M37" s="3" t="s">
        <v>1655</v>
      </c>
      <c r="N37" s="3" t="s">
        <v>1656</v>
      </c>
      <c r="O37" s="3" t="s">
        <v>1655</v>
      </c>
    </row>
    <row r="38" spans="1:15" x14ac:dyDescent="0.15">
      <c r="A38" s="3">
        <v>6</v>
      </c>
      <c r="B38" s="3" t="s">
        <v>671</v>
      </c>
      <c r="L38" s="14"/>
      <c r="M38" s="3" t="s">
        <v>1657</v>
      </c>
      <c r="N38" s="3" t="s">
        <v>1658</v>
      </c>
      <c r="O38" s="3" t="s">
        <v>1659</v>
      </c>
    </row>
    <row r="39" spans="1:15" x14ac:dyDescent="0.15">
      <c r="A39" s="3">
        <v>7</v>
      </c>
      <c r="B39" s="3" t="s">
        <v>675</v>
      </c>
      <c r="L39" s="14"/>
      <c r="M39" s="3" t="s">
        <v>1660</v>
      </c>
      <c r="N39" s="3" t="s">
        <v>1661</v>
      </c>
      <c r="O39" s="3" t="s">
        <v>1660</v>
      </c>
    </row>
    <row r="40" spans="1:15" x14ac:dyDescent="0.15">
      <c r="A40" s="3">
        <v>8</v>
      </c>
      <c r="B40" s="3" t="s">
        <v>679</v>
      </c>
      <c r="L40" s="14"/>
      <c r="M40" s="3" t="s">
        <v>1662</v>
      </c>
      <c r="N40" s="3" t="s">
        <v>1663</v>
      </c>
      <c r="O40" s="3" t="s">
        <v>1664</v>
      </c>
    </row>
    <row r="41" spans="1:15" x14ac:dyDescent="0.15">
      <c r="A41" s="3">
        <v>9</v>
      </c>
      <c r="B41" s="3" t="s">
        <v>684</v>
      </c>
      <c r="M41" s="3" t="s">
        <v>1665</v>
      </c>
      <c r="N41" s="3" t="s">
        <v>1666</v>
      </c>
      <c r="O41" s="3" t="s">
        <v>1667</v>
      </c>
    </row>
    <row r="42" spans="1:15" x14ac:dyDescent="0.15">
      <c r="A42" s="3">
        <v>10</v>
      </c>
      <c r="B42" s="3" t="s">
        <v>687</v>
      </c>
      <c r="M42" s="3" t="s">
        <v>1668</v>
      </c>
      <c r="N42" s="3" t="s">
        <v>1669</v>
      </c>
      <c r="O42" s="3" t="s">
        <v>1668</v>
      </c>
    </row>
    <row r="43" spans="1:15" x14ac:dyDescent="0.15">
      <c r="A43" s="3">
        <v>11</v>
      </c>
      <c r="B43" s="3" t="s">
        <v>691</v>
      </c>
      <c r="M43" s="3" t="s">
        <v>1670</v>
      </c>
      <c r="N43" s="3" t="s">
        <v>1671</v>
      </c>
      <c r="O43" s="3" t="s">
        <v>1672</v>
      </c>
    </row>
    <row r="44" spans="1:15" x14ac:dyDescent="0.15">
      <c r="A44" s="3">
        <v>12</v>
      </c>
      <c r="B44" s="3" t="s">
        <v>695</v>
      </c>
      <c r="M44" s="3" t="s">
        <v>1673</v>
      </c>
      <c r="N44" s="3" t="s">
        <v>1674</v>
      </c>
      <c r="O44" s="3" t="s">
        <v>1675</v>
      </c>
    </row>
    <row r="45" spans="1:15" x14ac:dyDescent="0.15">
      <c r="A45" s="3">
        <v>13</v>
      </c>
      <c r="B45" s="3" t="s">
        <v>697</v>
      </c>
      <c r="M45" s="3" t="s">
        <v>1676</v>
      </c>
      <c r="N45" s="3" t="s">
        <v>1677</v>
      </c>
      <c r="O45" s="3" t="s">
        <v>1678</v>
      </c>
    </row>
    <row r="46" spans="1:15" x14ac:dyDescent="0.15">
      <c r="A46" s="3">
        <v>14</v>
      </c>
      <c r="B46" s="3" t="s">
        <v>700</v>
      </c>
      <c r="M46" s="3" t="s">
        <v>1679</v>
      </c>
      <c r="N46" s="3" t="s">
        <v>1680</v>
      </c>
      <c r="O46" s="3" t="s">
        <v>1681</v>
      </c>
    </row>
    <row r="47" spans="1:15" x14ac:dyDescent="0.15">
      <c r="A47" s="3">
        <v>15</v>
      </c>
      <c r="B47" s="3" t="s">
        <v>702</v>
      </c>
      <c r="M47" s="3" t="s">
        <v>1682</v>
      </c>
      <c r="N47" s="3" t="s">
        <v>1683</v>
      </c>
      <c r="O47" s="3" t="s">
        <v>1684</v>
      </c>
    </row>
    <row r="48" spans="1:15" x14ac:dyDescent="0.15">
      <c r="A48" s="3">
        <v>16</v>
      </c>
      <c r="B48" s="3" t="s">
        <v>233</v>
      </c>
      <c r="M48" s="3" t="s">
        <v>1685</v>
      </c>
      <c r="N48" s="3" t="s">
        <v>1686</v>
      </c>
      <c r="O48" s="3" t="s">
        <v>1687</v>
      </c>
    </row>
    <row r="49" spans="1:15" x14ac:dyDescent="0.15">
      <c r="A49" s="3">
        <v>17</v>
      </c>
      <c r="B49" s="3" t="s">
        <v>706</v>
      </c>
      <c r="M49" s="3" t="s">
        <v>1688</v>
      </c>
      <c r="N49" s="3" t="s">
        <v>1689</v>
      </c>
      <c r="O49" s="3" t="s">
        <v>1688</v>
      </c>
    </row>
    <row r="50" spans="1:15" x14ac:dyDescent="0.15">
      <c r="A50" s="3">
        <v>18</v>
      </c>
      <c r="B50" s="3" t="s">
        <v>708</v>
      </c>
      <c r="M50" s="3" t="s">
        <v>1690</v>
      </c>
      <c r="N50" s="3" t="s">
        <v>1691</v>
      </c>
      <c r="O50" s="3" t="s">
        <v>1692</v>
      </c>
    </row>
    <row r="51" spans="1:15" x14ac:dyDescent="0.15">
      <c r="A51" s="3">
        <v>19</v>
      </c>
      <c r="B51" s="3" t="s">
        <v>709</v>
      </c>
      <c r="M51" s="3" t="s">
        <v>1693</v>
      </c>
      <c r="N51" s="3" t="s">
        <v>1694</v>
      </c>
      <c r="O51" s="3" t="s">
        <v>1695</v>
      </c>
    </row>
    <row r="52" spans="1:15" x14ac:dyDescent="0.15">
      <c r="A52" s="3">
        <v>20</v>
      </c>
      <c r="B52" s="3" t="s">
        <v>710</v>
      </c>
      <c r="M52" s="22" t="s">
        <v>1696</v>
      </c>
      <c r="N52" s="22" t="s">
        <v>1936</v>
      </c>
      <c r="O52" s="22" t="s">
        <v>1937</v>
      </c>
    </row>
    <row r="53" spans="1:15" x14ac:dyDescent="0.15">
      <c r="A53" s="3">
        <v>21</v>
      </c>
      <c r="B53" s="3" t="s">
        <v>711</v>
      </c>
      <c r="M53" s="3" t="s">
        <v>1697</v>
      </c>
      <c r="N53" s="3" t="s">
        <v>1698</v>
      </c>
      <c r="O53" s="3" t="s">
        <v>1697</v>
      </c>
    </row>
    <row r="54" spans="1:15" x14ac:dyDescent="0.15">
      <c r="A54" s="3">
        <v>22</v>
      </c>
      <c r="B54" s="3" t="s">
        <v>712</v>
      </c>
      <c r="M54" s="3" t="s">
        <v>1699</v>
      </c>
      <c r="N54" s="3" t="s">
        <v>1700</v>
      </c>
      <c r="O54" s="3" t="s">
        <v>1699</v>
      </c>
    </row>
    <row r="55" spans="1:15" x14ac:dyDescent="0.15">
      <c r="A55" s="3">
        <v>23</v>
      </c>
      <c r="B55" s="3" t="s">
        <v>234</v>
      </c>
      <c r="M55" s="3" t="s">
        <v>1701</v>
      </c>
      <c r="N55" s="3" t="s">
        <v>1702</v>
      </c>
      <c r="O55" s="3" t="s">
        <v>1703</v>
      </c>
    </row>
    <row r="56" spans="1:15" x14ac:dyDescent="0.15">
      <c r="A56" s="3">
        <v>25</v>
      </c>
      <c r="B56" s="3" t="s">
        <v>240</v>
      </c>
      <c r="M56" s="3" t="s">
        <v>1704</v>
      </c>
      <c r="N56" s="3" t="s">
        <v>1705</v>
      </c>
      <c r="O56" s="3" t="s">
        <v>1706</v>
      </c>
    </row>
    <row r="57" spans="1:15" x14ac:dyDescent="0.15">
      <c r="A57" s="3">
        <v>26</v>
      </c>
      <c r="B57" s="3" t="s">
        <v>713</v>
      </c>
      <c r="M57" s="3" t="s">
        <v>1707</v>
      </c>
      <c r="N57" s="3" t="s">
        <v>1708</v>
      </c>
      <c r="O57" s="3" t="s">
        <v>1709</v>
      </c>
    </row>
    <row r="58" spans="1:15" x14ac:dyDescent="0.15">
      <c r="A58" s="3">
        <v>27</v>
      </c>
      <c r="B58" s="3" t="s">
        <v>241</v>
      </c>
      <c r="M58" s="3" t="s">
        <v>1710</v>
      </c>
      <c r="N58" s="3" t="s">
        <v>1711</v>
      </c>
      <c r="O58" s="3" t="s">
        <v>1712</v>
      </c>
    </row>
    <row r="59" spans="1:15" x14ac:dyDescent="0.15">
      <c r="A59" s="3">
        <v>28</v>
      </c>
      <c r="B59" s="3" t="s">
        <v>714</v>
      </c>
      <c r="M59" s="3" t="s">
        <v>1713</v>
      </c>
      <c r="N59" s="3" t="s">
        <v>1714</v>
      </c>
      <c r="O59" s="3" t="s">
        <v>1715</v>
      </c>
    </row>
    <row r="60" spans="1:15" x14ac:dyDescent="0.15">
      <c r="A60" s="3">
        <v>29</v>
      </c>
      <c r="B60" s="3" t="s">
        <v>715</v>
      </c>
      <c r="M60" s="22" t="s">
        <v>1716</v>
      </c>
      <c r="N60" s="22" t="s">
        <v>1936</v>
      </c>
      <c r="O60" s="22" t="s">
        <v>1937</v>
      </c>
    </row>
    <row r="61" spans="1:15" x14ac:dyDescent="0.15">
      <c r="A61" s="3">
        <v>30</v>
      </c>
      <c r="B61" s="3" t="s">
        <v>716</v>
      </c>
      <c r="M61" s="3" t="s">
        <v>1717</v>
      </c>
      <c r="N61" s="3" t="s">
        <v>1718</v>
      </c>
      <c r="O61" s="3" t="s">
        <v>1717</v>
      </c>
    </row>
    <row r="62" spans="1:15" x14ac:dyDescent="0.15">
      <c r="A62" s="3">
        <v>31</v>
      </c>
      <c r="B62" s="3" t="s">
        <v>717</v>
      </c>
      <c r="M62" s="3" t="s">
        <v>1719</v>
      </c>
      <c r="N62" s="3" t="s">
        <v>1720</v>
      </c>
      <c r="O62" s="3" t="s">
        <v>1719</v>
      </c>
    </row>
    <row r="63" spans="1:15" x14ac:dyDescent="0.15">
      <c r="A63" s="3">
        <v>32</v>
      </c>
      <c r="B63" s="3" t="s">
        <v>718</v>
      </c>
      <c r="M63" s="3" t="s">
        <v>1721</v>
      </c>
      <c r="N63" s="3" t="s">
        <v>1722</v>
      </c>
      <c r="O63" s="3" t="s">
        <v>1723</v>
      </c>
    </row>
    <row r="64" spans="1:15" x14ac:dyDescent="0.15">
      <c r="A64" s="3">
        <v>33</v>
      </c>
      <c r="B64" s="3" t="s">
        <v>719</v>
      </c>
      <c r="M64" s="3" t="s">
        <v>1724</v>
      </c>
      <c r="N64" s="3" t="s">
        <v>1725</v>
      </c>
      <c r="O64" s="3" t="s">
        <v>1724</v>
      </c>
    </row>
    <row r="65" spans="1:15" x14ac:dyDescent="0.15">
      <c r="A65" s="3">
        <v>34</v>
      </c>
      <c r="B65" s="3" t="s">
        <v>720</v>
      </c>
      <c r="M65" s="22" t="s">
        <v>1726</v>
      </c>
      <c r="N65" s="22" t="s">
        <v>1936</v>
      </c>
      <c r="O65" s="22" t="s">
        <v>1937</v>
      </c>
    </row>
    <row r="66" spans="1:15" x14ac:dyDescent="0.15">
      <c r="A66" s="3">
        <v>35</v>
      </c>
      <c r="B66" s="3" t="s">
        <v>242</v>
      </c>
      <c r="M66" s="3" t="s">
        <v>1727</v>
      </c>
      <c r="N66" s="3" t="s">
        <v>1728</v>
      </c>
      <c r="O66" s="3" t="s">
        <v>1727</v>
      </c>
    </row>
    <row r="67" spans="1:15" x14ac:dyDescent="0.15">
      <c r="A67" s="3">
        <v>36</v>
      </c>
      <c r="B67" s="3" t="s">
        <v>721</v>
      </c>
      <c r="M67" s="3" t="s">
        <v>1729</v>
      </c>
      <c r="N67" s="3" t="s">
        <v>1730</v>
      </c>
      <c r="O67" s="3" t="s">
        <v>1729</v>
      </c>
    </row>
    <row r="68" spans="1:15" x14ac:dyDescent="0.15">
      <c r="A68" s="3">
        <v>37</v>
      </c>
      <c r="B68" s="3" t="s">
        <v>722</v>
      </c>
      <c r="M68" s="3" t="s">
        <v>1731</v>
      </c>
      <c r="N68" s="3" t="s">
        <v>1732</v>
      </c>
      <c r="O68" s="3" t="s">
        <v>1731</v>
      </c>
    </row>
    <row r="69" spans="1:15" x14ac:dyDescent="0.15">
      <c r="A69" s="3">
        <v>38</v>
      </c>
      <c r="B69" s="3" t="s">
        <v>723</v>
      </c>
      <c r="M69" s="3" t="s">
        <v>1733</v>
      </c>
      <c r="N69" s="3" t="s">
        <v>1734</v>
      </c>
      <c r="O69" s="3" t="s">
        <v>1733</v>
      </c>
    </row>
    <row r="70" spans="1:15" x14ac:dyDescent="0.15">
      <c r="A70" s="3">
        <v>39</v>
      </c>
      <c r="B70" s="3" t="s">
        <v>724</v>
      </c>
      <c r="M70" s="3" t="s">
        <v>1735</v>
      </c>
      <c r="N70" s="3" t="s">
        <v>1736</v>
      </c>
      <c r="O70" s="3" t="s">
        <v>1735</v>
      </c>
    </row>
    <row r="71" spans="1:15" x14ac:dyDescent="0.15">
      <c r="A71" s="3">
        <v>40</v>
      </c>
      <c r="B71" s="3" t="s">
        <v>725</v>
      </c>
      <c r="M71" s="3" t="s">
        <v>1737</v>
      </c>
      <c r="N71" s="3" t="s">
        <v>1738</v>
      </c>
      <c r="O71" s="3" t="s">
        <v>1737</v>
      </c>
    </row>
    <row r="72" spans="1:15" x14ac:dyDescent="0.15">
      <c r="A72" s="3">
        <v>41</v>
      </c>
      <c r="B72" s="3" t="s">
        <v>726</v>
      </c>
      <c r="M72" s="3" t="s">
        <v>1739</v>
      </c>
      <c r="N72" s="3" t="s">
        <v>1740</v>
      </c>
      <c r="O72" s="3" t="s">
        <v>1739</v>
      </c>
    </row>
    <row r="73" spans="1:15" x14ac:dyDescent="0.15">
      <c r="A73" s="3">
        <v>42</v>
      </c>
      <c r="B73" s="3" t="s">
        <v>727</v>
      </c>
      <c r="M73" s="3" t="s">
        <v>1741</v>
      </c>
      <c r="N73" s="3" t="s">
        <v>1742</v>
      </c>
      <c r="O73" s="3" t="s">
        <v>1741</v>
      </c>
    </row>
    <row r="74" spans="1:15" x14ac:dyDescent="0.15">
      <c r="A74" s="3">
        <v>43</v>
      </c>
      <c r="B74" s="3" t="s">
        <v>728</v>
      </c>
      <c r="M74" s="3" t="s">
        <v>1743</v>
      </c>
      <c r="N74" s="3" t="s">
        <v>1744</v>
      </c>
      <c r="O74" s="3" t="s">
        <v>1743</v>
      </c>
    </row>
    <row r="75" spans="1:15" x14ac:dyDescent="0.15">
      <c r="A75" s="3">
        <v>44</v>
      </c>
      <c r="B75" s="3" t="s">
        <v>729</v>
      </c>
      <c r="M75" s="3" t="s">
        <v>1745</v>
      </c>
      <c r="N75" s="3" t="s">
        <v>1746</v>
      </c>
      <c r="O75" s="3" t="s">
        <v>1747</v>
      </c>
    </row>
    <row r="76" spans="1:15" x14ac:dyDescent="0.15">
      <c r="A76" s="3">
        <v>45</v>
      </c>
      <c r="B76" s="3" t="s">
        <v>730</v>
      </c>
      <c r="M76" s="3" t="s">
        <v>1748</v>
      </c>
      <c r="N76" s="3" t="s">
        <v>1749</v>
      </c>
      <c r="O76" s="3" t="s">
        <v>1748</v>
      </c>
    </row>
    <row r="77" spans="1:15" x14ac:dyDescent="0.15">
      <c r="A77" s="3">
        <v>46</v>
      </c>
      <c r="B77" s="3" t="s">
        <v>731</v>
      </c>
      <c r="M77" s="3" t="s">
        <v>1750</v>
      </c>
      <c r="N77" s="3" t="s">
        <v>1751</v>
      </c>
      <c r="O77" s="3" t="s">
        <v>1750</v>
      </c>
    </row>
    <row r="78" spans="1:15" x14ac:dyDescent="0.15">
      <c r="A78" s="3">
        <v>47</v>
      </c>
      <c r="B78" s="3" t="s">
        <v>732</v>
      </c>
      <c r="M78" s="3" t="s">
        <v>1752</v>
      </c>
      <c r="N78" s="3" t="s">
        <v>1753</v>
      </c>
      <c r="O78" s="3" t="s">
        <v>1752</v>
      </c>
    </row>
    <row r="79" spans="1:15" x14ac:dyDescent="0.15">
      <c r="A79" s="3">
        <v>48</v>
      </c>
      <c r="B79" s="3" t="s">
        <v>733</v>
      </c>
      <c r="M79" s="3" t="s">
        <v>1754</v>
      </c>
      <c r="N79" s="3" t="s">
        <v>1755</v>
      </c>
      <c r="O79" s="3" t="s">
        <v>1754</v>
      </c>
    </row>
    <row r="80" spans="1:15" x14ac:dyDescent="0.15">
      <c r="A80" s="3">
        <v>49</v>
      </c>
      <c r="B80" s="3" t="s">
        <v>734</v>
      </c>
      <c r="M80" s="3" t="s">
        <v>1756</v>
      </c>
      <c r="N80" s="3" t="s">
        <v>1757</v>
      </c>
      <c r="O80" s="3" t="s">
        <v>1756</v>
      </c>
    </row>
    <row r="81" spans="1:15" x14ac:dyDescent="0.15">
      <c r="A81" s="3">
        <v>50</v>
      </c>
      <c r="B81" s="3" t="s">
        <v>735</v>
      </c>
      <c r="M81" s="3" t="s">
        <v>1758</v>
      </c>
      <c r="N81" s="3" t="s">
        <v>1759</v>
      </c>
      <c r="O81" s="3" t="s">
        <v>1758</v>
      </c>
    </row>
    <row r="82" spans="1:15" x14ac:dyDescent="0.15">
      <c r="A82" s="3">
        <v>51</v>
      </c>
      <c r="B82" s="3" t="s">
        <v>736</v>
      </c>
      <c r="M82" s="3" t="s">
        <v>1760</v>
      </c>
      <c r="N82" s="3" t="s">
        <v>1761</v>
      </c>
      <c r="O82" s="3" t="s">
        <v>1760</v>
      </c>
    </row>
    <row r="83" spans="1:15" x14ac:dyDescent="0.15">
      <c r="A83" s="3">
        <v>52</v>
      </c>
      <c r="B83" s="3" t="s">
        <v>243</v>
      </c>
      <c r="M83" s="3" t="s">
        <v>1762</v>
      </c>
      <c r="N83" s="3" t="s">
        <v>1763</v>
      </c>
      <c r="O83" s="3" t="s">
        <v>1762</v>
      </c>
    </row>
    <row r="84" spans="1:15" x14ac:dyDescent="0.15">
      <c r="A84" s="3">
        <v>53</v>
      </c>
      <c r="B84" s="3" t="s">
        <v>737</v>
      </c>
      <c r="M84" s="3" t="s">
        <v>1764</v>
      </c>
      <c r="N84" s="3" t="s">
        <v>1765</v>
      </c>
      <c r="O84" s="3" t="s">
        <v>1764</v>
      </c>
    </row>
    <row r="85" spans="1:15" x14ac:dyDescent="0.15">
      <c r="A85" s="3">
        <v>55</v>
      </c>
      <c r="B85" s="3" t="s">
        <v>738</v>
      </c>
      <c r="M85" s="3" t="s">
        <v>1766</v>
      </c>
      <c r="N85" s="3" t="s">
        <v>1767</v>
      </c>
      <c r="O85" s="3" t="s">
        <v>1766</v>
      </c>
    </row>
    <row r="86" spans="1:15" x14ac:dyDescent="0.15">
      <c r="A86" s="3">
        <v>56</v>
      </c>
      <c r="B86" s="3" t="s">
        <v>739</v>
      </c>
      <c r="M86" s="3" t="s">
        <v>1768</v>
      </c>
      <c r="N86" s="3" t="s">
        <v>1769</v>
      </c>
      <c r="O86" s="3" t="s">
        <v>1768</v>
      </c>
    </row>
    <row r="87" spans="1:15" x14ac:dyDescent="0.15">
      <c r="A87" s="3">
        <v>57</v>
      </c>
      <c r="B87" s="3" t="s">
        <v>740</v>
      </c>
      <c r="M87" s="3" t="s">
        <v>1770</v>
      </c>
      <c r="N87" s="3" t="s">
        <v>1771</v>
      </c>
      <c r="O87" s="3" t="s">
        <v>1770</v>
      </c>
    </row>
    <row r="88" spans="1:15" x14ac:dyDescent="0.15">
      <c r="A88" s="3">
        <v>58</v>
      </c>
      <c r="B88" s="3" t="s">
        <v>741</v>
      </c>
      <c r="M88" s="3" t="s">
        <v>1772</v>
      </c>
      <c r="N88" s="3" t="s">
        <v>1773</v>
      </c>
      <c r="O88" s="3" t="s">
        <v>1772</v>
      </c>
    </row>
    <row r="89" spans="1:15" x14ac:dyDescent="0.15">
      <c r="A89" s="3">
        <v>60</v>
      </c>
      <c r="B89" s="3" t="s">
        <v>742</v>
      </c>
      <c r="M89" s="3" t="s">
        <v>1774</v>
      </c>
      <c r="N89" s="3" t="s">
        <v>1775</v>
      </c>
      <c r="O89" s="3" t="s">
        <v>1774</v>
      </c>
    </row>
    <row r="90" spans="1:15" x14ac:dyDescent="0.15">
      <c r="A90" s="3">
        <v>61</v>
      </c>
      <c r="B90" s="3" t="s">
        <v>743</v>
      </c>
      <c r="M90" s="3" t="s">
        <v>1776</v>
      </c>
      <c r="N90" s="3" t="s">
        <v>1777</v>
      </c>
      <c r="O90" s="3" t="s">
        <v>1776</v>
      </c>
    </row>
    <row r="91" spans="1:15" x14ac:dyDescent="0.15">
      <c r="A91" s="3">
        <v>62</v>
      </c>
      <c r="B91" s="3" t="s">
        <v>744</v>
      </c>
      <c r="M91" s="3" t="s">
        <v>1778</v>
      </c>
      <c r="N91" s="3" t="s">
        <v>1779</v>
      </c>
      <c r="O91" s="3" t="s">
        <v>1778</v>
      </c>
    </row>
    <row r="92" spans="1:15" x14ac:dyDescent="0.15">
      <c r="A92" s="3">
        <v>63</v>
      </c>
      <c r="B92" s="3" t="s">
        <v>745</v>
      </c>
      <c r="M92" s="3" t="s">
        <v>1780</v>
      </c>
      <c r="N92" s="3" t="s">
        <v>1781</v>
      </c>
      <c r="O92" s="3" t="s">
        <v>1780</v>
      </c>
    </row>
    <row r="93" spans="1:15" x14ac:dyDescent="0.15">
      <c r="A93" s="3">
        <v>64</v>
      </c>
      <c r="B93" s="3" t="s">
        <v>746</v>
      </c>
      <c r="M93" s="3" t="s">
        <v>1782</v>
      </c>
      <c r="N93" s="3" t="s">
        <v>1783</v>
      </c>
      <c r="O93" s="3" t="s">
        <v>1782</v>
      </c>
    </row>
    <row r="94" spans="1:15" x14ac:dyDescent="0.15">
      <c r="A94" s="3">
        <v>65</v>
      </c>
      <c r="B94" s="3" t="s">
        <v>747</v>
      </c>
      <c r="M94" s="3" t="s">
        <v>1784</v>
      </c>
      <c r="N94" s="3" t="s">
        <v>1785</v>
      </c>
      <c r="O94" s="3" t="s">
        <v>1784</v>
      </c>
    </row>
    <row r="95" spans="1:15" x14ac:dyDescent="0.15">
      <c r="A95" s="3">
        <v>66</v>
      </c>
      <c r="B95" s="3" t="s">
        <v>748</v>
      </c>
      <c r="M95" s="3" t="s">
        <v>1786</v>
      </c>
      <c r="N95" s="3" t="s">
        <v>1787</v>
      </c>
      <c r="O95" s="3" t="s">
        <v>1786</v>
      </c>
    </row>
    <row r="96" spans="1:15" x14ac:dyDescent="0.15">
      <c r="A96" s="3">
        <v>67</v>
      </c>
      <c r="B96" s="3" t="s">
        <v>749</v>
      </c>
      <c r="M96" s="3" t="s">
        <v>1788</v>
      </c>
      <c r="N96" s="3" t="s">
        <v>1789</v>
      </c>
      <c r="O96" s="3" t="s">
        <v>1788</v>
      </c>
    </row>
    <row r="97" spans="1:15" x14ac:dyDescent="0.15">
      <c r="A97" s="3">
        <v>68</v>
      </c>
      <c r="B97" s="3" t="s">
        <v>750</v>
      </c>
      <c r="M97" s="3" t="s">
        <v>1790</v>
      </c>
      <c r="N97" s="3" t="s">
        <v>1791</v>
      </c>
      <c r="O97" s="3" t="s">
        <v>1790</v>
      </c>
    </row>
    <row r="98" spans="1:15" x14ac:dyDescent="0.15">
      <c r="A98" s="3">
        <v>69</v>
      </c>
      <c r="B98" s="3" t="s">
        <v>751</v>
      </c>
      <c r="M98" s="3" t="s">
        <v>1792</v>
      </c>
      <c r="N98" s="3" t="s">
        <v>1793</v>
      </c>
      <c r="O98" s="3" t="s">
        <v>1792</v>
      </c>
    </row>
    <row r="99" spans="1:15" x14ac:dyDescent="0.15">
      <c r="A99" s="3">
        <v>70</v>
      </c>
      <c r="B99" s="3" t="s">
        <v>752</v>
      </c>
      <c r="M99" s="3" t="s">
        <v>1794</v>
      </c>
      <c r="N99" s="3" t="s">
        <v>1795</v>
      </c>
      <c r="O99" s="3" t="s">
        <v>1794</v>
      </c>
    </row>
    <row r="100" spans="1:15" x14ac:dyDescent="0.15">
      <c r="A100" s="3">
        <v>71</v>
      </c>
      <c r="B100" s="3" t="s">
        <v>753</v>
      </c>
      <c r="M100" s="3" t="s">
        <v>1796</v>
      </c>
      <c r="N100" s="3" t="s">
        <v>1797</v>
      </c>
      <c r="O100" s="3" t="s">
        <v>1796</v>
      </c>
    </row>
    <row r="101" spans="1:15" x14ac:dyDescent="0.15">
      <c r="A101" s="3">
        <v>72</v>
      </c>
      <c r="B101" s="3" t="s">
        <v>754</v>
      </c>
      <c r="M101" s="3" t="s">
        <v>1798</v>
      </c>
      <c r="N101" s="3" t="s">
        <v>1799</v>
      </c>
      <c r="O101" s="3" t="s">
        <v>1798</v>
      </c>
    </row>
    <row r="102" spans="1:15" x14ac:dyDescent="0.15">
      <c r="A102" s="3">
        <v>73</v>
      </c>
      <c r="B102" s="3" t="s">
        <v>755</v>
      </c>
      <c r="M102" s="3" t="s">
        <v>1800</v>
      </c>
      <c r="N102" s="3" t="s">
        <v>1801</v>
      </c>
      <c r="O102" s="3" t="s">
        <v>1800</v>
      </c>
    </row>
    <row r="103" spans="1:15" x14ac:dyDescent="0.15">
      <c r="A103" s="3">
        <v>74</v>
      </c>
      <c r="B103" s="3" t="s">
        <v>756</v>
      </c>
      <c r="M103" s="3" t="s">
        <v>1802</v>
      </c>
      <c r="N103" s="3" t="s">
        <v>1803</v>
      </c>
      <c r="O103" s="3" t="s">
        <v>1802</v>
      </c>
    </row>
    <row r="104" spans="1:15" x14ac:dyDescent="0.15">
      <c r="A104" s="3">
        <v>75</v>
      </c>
      <c r="B104" s="3" t="s">
        <v>757</v>
      </c>
      <c r="M104" s="3" t="s">
        <v>1804</v>
      </c>
      <c r="N104" s="3" t="s">
        <v>1805</v>
      </c>
      <c r="O104" s="3" t="s">
        <v>1804</v>
      </c>
    </row>
    <row r="105" spans="1:15" x14ac:dyDescent="0.15">
      <c r="A105" s="3">
        <v>100</v>
      </c>
      <c r="B105" s="3" t="s">
        <v>758</v>
      </c>
      <c r="M105" s="3" t="s">
        <v>1806</v>
      </c>
      <c r="N105" s="3" t="s">
        <v>1807</v>
      </c>
      <c r="O105" s="3" t="s">
        <v>1806</v>
      </c>
    </row>
    <row r="106" spans="1:15" x14ac:dyDescent="0.15">
      <c r="A106" s="3">
        <v>101</v>
      </c>
      <c r="B106" s="3" t="s">
        <v>759</v>
      </c>
      <c r="M106" s="3" t="s">
        <v>1808</v>
      </c>
      <c r="N106" s="3" t="s">
        <v>1809</v>
      </c>
      <c r="O106" s="3" t="s">
        <v>1808</v>
      </c>
    </row>
    <row r="107" spans="1:15" x14ac:dyDescent="0.15">
      <c r="A107" s="3">
        <v>102</v>
      </c>
      <c r="B107" s="3" t="s">
        <v>760</v>
      </c>
      <c r="M107" s="3" t="s">
        <v>1810</v>
      </c>
      <c r="N107" s="3" t="s">
        <v>1811</v>
      </c>
      <c r="O107" s="3" t="s">
        <v>1810</v>
      </c>
    </row>
    <row r="108" spans="1:15" x14ac:dyDescent="0.15">
      <c r="A108" s="3">
        <v>103</v>
      </c>
      <c r="B108" s="3" t="s">
        <v>761</v>
      </c>
      <c r="M108" s="3" t="s">
        <v>1812</v>
      </c>
      <c r="N108" s="3" t="s">
        <v>1813</v>
      </c>
      <c r="O108" s="3" t="s">
        <v>1812</v>
      </c>
    </row>
    <row r="109" spans="1:15" x14ac:dyDescent="0.15">
      <c r="A109" s="3">
        <v>104</v>
      </c>
      <c r="B109" s="3" t="s">
        <v>762</v>
      </c>
      <c r="M109" s="3" t="s">
        <v>1814</v>
      </c>
      <c r="N109" s="3" t="s">
        <v>1815</v>
      </c>
      <c r="O109" s="3" t="s">
        <v>1814</v>
      </c>
    </row>
    <row r="110" spans="1:15" x14ac:dyDescent="0.15">
      <c r="A110" s="3">
        <v>105</v>
      </c>
      <c r="B110" s="3" t="s">
        <v>763</v>
      </c>
      <c r="M110" s="3" t="s">
        <v>1816</v>
      </c>
      <c r="N110" s="3" t="s">
        <v>1817</v>
      </c>
      <c r="O110" s="3" t="s">
        <v>1816</v>
      </c>
    </row>
    <row r="111" spans="1:15" x14ac:dyDescent="0.15">
      <c r="A111" s="3">
        <v>106</v>
      </c>
      <c r="B111" s="3" t="s">
        <v>764</v>
      </c>
      <c r="M111" s="3" t="s">
        <v>1818</v>
      </c>
      <c r="N111" s="3" t="s">
        <v>1819</v>
      </c>
      <c r="O111" s="3" t="s">
        <v>1818</v>
      </c>
    </row>
    <row r="112" spans="1:15" x14ac:dyDescent="0.15">
      <c r="A112" s="3">
        <v>107</v>
      </c>
      <c r="B112" s="3" t="s">
        <v>765</v>
      </c>
      <c r="M112" s="3" t="s">
        <v>1820</v>
      </c>
      <c r="N112" s="3" t="s">
        <v>1821</v>
      </c>
      <c r="O112" s="3" t="s">
        <v>1820</v>
      </c>
    </row>
    <row r="113" spans="1:15" x14ac:dyDescent="0.15">
      <c r="A113" s="3">
        <v>108</v>
      </c>
      <c r="B113" s="3" t="s">
        <v>766</v>
      </c>
      <c r="M113" s="3" t="s">
        <v>1822</v>
      </c>
      <c r="N113" s="3" t="s">
        <v>1823</v>
      </c>
      <c r="O113" s="3" t="s">
        <v>1822</v>
      </c>
    </row>
    <row r="114" spans="1:15" x14ac:dyDescent="0.15">
      <c r="A114" s="3">
        <v>109</v>
      </c>
      <c r="B114" s="3" t="s">
        <v>767</v>
      </c>
      <c r="M114" s="3" t="s">
        <v>1824</v>
      </c>
      <c r="N114" s="3" t="s">
        <v>1825</v>
      </c>
      <c r="O114" s="3" t="s">
        <v>1824</v>
      </c>
    </row>
    <row r="115" spans="1:15" x14ac:dyDescent="0.15">
      <c r="A115" s="3">
        <v>110</v>
      </c>
      <c r="B115" s="3" t="s">
        <v>768</v>
      </c>
      <c r="M115" s="3" t="s">
        <v>1826</v>
      </c>
      <c r="N115" s="3" t="s">
        <v>1827</v>
      </c>
      <c r="O115" s="3" t="s">
        <v>1826</v>
      </c>
    </row>
    <row r="116" spans="1:15" x14ac:dyDescent="0.15">
      <c r="A116" s="3">
        <v>111</v>
      </c>
      <c r="B116" s="3" t="s">
        <v>769</v>
      </c>
      <c r="M116" s="3" t="s">
        <v>1828</v>
      </c>
      <c r="N116" s="3" t="s">
        <v>1829</v>
      </c>
      <c r="O116" s="3" t="s">
        <v>1828</v>
      </c>
    </row>
    <row r="117" spans="1:15" x14ac:dyDescent="0.15">
      <c r="A117" s="3">
        <v>112</v>
      </c>
      <c r="B117" s="3" t="s">
        <v>770</v>
      </c>
      <c r="M117" s="3" t="s">
        <v>1830</v>
      </c>
      <c r="N117" s="3" t="s">
        <v>1831</v>
      </c>
      <c r="O117" s="3" t="s">
        <v>1830</v>
      </c>
    </row>
    <row r="118" spans="1:15" x14ac:dyDescent="0.15">
      <c r="A118" s="3">
        <v>113</v>
      </c>
      <c r="B118" s="3" t="s">
        <v>771</v>
      </c>
      <c r="M118" s="3" t="s">
        <v>1832</v>
      </c>
      <c r="N118" s="3" t="s">
        <v>1833</v>
      </c>
      <c r="O118" s="3" t="s">
        <v>1832</v>
      </c>
    </row>
    <row r="119" spans="1:15" x14ac:dyDescent="0.15">
      <c r="A119" s="3">
        <v>114</v>
      </c>
      <c r="B119" s="3" t="s">
        <v>772</v>
      </c>
      <c r="M119" s="3" t="s">
        <v>1834</v>
      </c>
      <c r="N119" s="3" t="s">
        <v>1835</v>
      </c>
      <c r="O119" s="3" t="s">
        <v>1834</v>
      </c>
    </row>
    <row r="120" spans="1:15" x14ac:dyDescent="0.15">
      <c r="A120" s="3">
        <v>115</v>
      </c>
      <c r="B120" s="3" t="s">
        <v>773</v>
      </c>
      <c r="M120" s="3" t="s">
        <v>1836</v>
      </c>
      <c r="N120" s="3" t="s">
        <v>1837</v>
      </c>
      <c r="O120" s="3" t="s">
        <v>1836</v>
      </c>
    </row>
    <row r="121" spans="1:15" x14ac:dyDescent="0.15">
      <c r="A121" s="3">
        <v>116</v>
      </c>
      <c r="B121" s="3" t="s">
        <v>774</v>
      </c>
      <c r="M121" s="3" t="s">
        <v>1838</v>
      </c>
      <c r="N121" s="3" t="s">
        <v>1839</v>
      </c>
      <c r="O121" s="3" t="s">
        <v>1838</v>
      </c>
    </row>
    <row r="122" spans="1:15" x14ac:dyDescent="0.15">
      <c r="A122" s="3">
        <v>117</v>
      </c>
      <c r="B122" s="3" t="s">
        <v>775</v>
      </c>
      <c r="M122" s="3" t="s">
        <v>1840</v>
      </c>
      <c r="N122" s="3" t="s">
        <v>1841</v>
      </c>
      <c r="O122" s="3" t="s">
        <v>1840</v>
      </c>
    </row>
    <row r="123" spans="1:15" x14ac:dyDescent="0.15">
      <c r="A123" s="3">
        <v>118</v>
      </c>
      <c r="B123" s="3" t="s">
        <v>776</v>
      </c>
      <c r="M123" s="3" t="s">
        <v>1842</v>
      </c>
      <c r="N123" s="3" t="s">
        <v>1843</v>
      </c>
      <c r="O123" s="3" t="s">
        <v>1842</v>
      </c>
    </row>
    <row r="124" spans="1:15" x14ac:dyDescent="0.15">
      <c r="A124" s="3">
        <v>119</v>
      </c>
      <c r="B124" s="3" t="s">
        <v>777</v>
      </c>
      <c r="M124" s="3" t="s">
        <v>1844</v>
      </c>
      <c r="N124" s="3" t="s">
        <v>1845</v>
      </c>
      <c r="O124" s="3" t="s">
        <v>1844</v>
      </c>
    </row>
    <row r="125" spans="1:15" x14ac:dyDescent="0.15">
      <c r="A125" s="3">
        <v>120</v>
      </c>
      <c r="B125" s="3" t="s">
        <v>778</v>
      </c>
      <c r="M125" s="3" t="s">
        <v>1846</v>
      </c>
      <c r="N125" s="3" t="s">
        <v>1847</v>
      </c>
      <c r="O125" s="3" t="s">
        <v>1846</v>
      </c>
    </row>
    <row r="126" spans="1:15" x14ac:dyDescent="0.15">
      <c r="A126" s="3">
        <v>121</v>
      </c>
      <c r="B126" s="3" t="s">
        <v>779</v>
      </c>
      <c r="M126" s="22" t="s">
        <v>1848</v>
      </c>
      <c r="N126" s="22" t="s">
        <v>1938</v>
      </c>
      <c r="O126" s="22" t="s">
        <v>1937</v>
      </c>
    </row>
    <row r="127" spans="1:15" x14ac:dyDescent="0.15">
      <c r="A127" s="3">
        <v>122</v>
      </c>
      <c r="B127" s="3" t="s">
        <v>244</v>
      </c>
      <c r="M127" s="3" t="s">
        <v>1849</v>
      </c>
      <c r="N127" s="3" t="s">
        <v>1850</v>
      </c>
      <c r="O127" s="3" t="s">
        <v>1849</v>
      </c>
    </row>
    <row r="128" spans="1:15" x14ac:dyDescent="0.15">
      <c r="A128" s="3">
        <v>123</v>
      </c>
      <c r="B128" s="3" t="s">
        <v>780</v>
      </c>
      <c r="M128" s="3" t="s">
        <v>1851</v>
      </c>
      <c r="N128" s="3" t="s">
        <v>1852</v>
      </c>
      <c r="O128" s="3" t="s">
        <v>1851</v>
      </c>
    </row>
    <row r="129" spans="1:15" x14ac:dyDescent="0.15">
      <c r="A129" s="3">
        <v>125</v>
      </c>
      <c r="B129" s="3" t="s">
        <v>781</v>
      </c>
      <c r="M129" s="3" t="s">
        <v>1853</v>
      </c>
      <c r="N129" s="3" t="s">
        <v>1854</v>
      </c>
      <c r="O129" s="3" t="s">
        <v>1853</v>
      </c>
    </row>
    <row r="130" spans="1:15" x14ac:dyDescent="0.15">
      <c r="A130" s="3">
        <v>126</v>
      </c>
      <c r="B130" s="3" t="s">
        <v>782</v>
      </c>
      <c r="M130" s="3" t="s">
        <v>1855</v>
      </c>
      <c r="N130" s="3" t="s">
        <v>1856</v>
      </c>
      <c r="O130" s="3" t="s">
        <v>1855</v>
      </c>
    </row>
    <row r="131" spans="1:15" x14ac:dyDescent="0.15">
      <c r="A131" s="3">
        <v>127</v>
      </c>
      <c r="B131" s="3" t="s">
        <v>783</v>
      </c>
      <c r="M131" s="3" t="s">
        <v>1857</v>
      </c>
      <c r="N131" s="3" t="s">
        <v>1858</v>
      </c>
      <c r="O131" s="3" t="s">
        <v>1857</v>
      </c>
    </row>
    <row r="132" spans="1:15" x14ac:dyDescent="0.15">
      <c r="A132" s="3">
        <v>128</v>
      </c>
      <c r="B132" s="3" t="s">
        <v>784</v>
      </c>
      <c r="M132" s="3" t="s">
        <v>1859</v>
      </c>
      <c r="N132" s="3" t="s">
        <v>1860</v>
      </c>
      <c r="O132" s="3" t="s">
        <v>1859</v>
      </c>
    </row>
    <row r="133" spans="1:15" x14ac:dyDescent="0.15">
      <c r="A133" s="3">
        <v>129</v>
      </c>
      <c r="B133" s="3" t="s">
        <v>785</v>
      </c>
      <c r="M133" s="3" t="s">
        <v>1861</v>
      </c>
      <c r="N133" s="3" t="s">
        <v>1862</v>
      </c>
      <c r="O133" s="3" t="s">
        <v>1861</v>
      </c>
    </row>
    <row r="134" spans="1:15" x14ac:dyDescent="0.15">
      <c r="A134" s="3">
        <v>130</v>
      </c>
      <c r="B134" s="3" t="s">
        <v>786</v>
      </c>
      <c r="M134" s="3" t="s">
        <v>1863</v>
      </c>
      <c r="N134" s="3" t="s">
        <v>1864</v>
      </c>
      <c r="O134" s="3" t="s">
        <v>1863</v>
      </c>
    </row>
    <row r="135" spans="1:15" x14ac:dyDescent="0.15">
      <c r="A135" s="3">
        <v>131</v>
      </c>
      <c r="B135" s="3" t="s">
        <v>787</v>
      </c>
      <c r="M135" s="3" t="s">
        <v>1865</v>
      </c>
      <c r="N135" s="3" t="s">
        <v>1866</v>
      </c>
      <c r="O135" s="3" t="s">
        <v>1865</v>
      </c>
    </row>
    <row r="136" spans="1:15" x14ac:dyDescent="0.15">
      <c r="A136" s="3">
        <v>133</v>
      </c>
      <c r="B136" s="3" t="s">
        <v>788</v>
      </c>
      <c r="M136" s="3" t="s">
        <v>1867</v>
      </c>
      <c r="N136" s="3" t="s">
        <v>1868</v>
      </c>
      <c r="O136" s="3" t="s">
        <v>1867</v>
      </c>
    </row>
    <row r="137" spans="1:15" x14ac:dyDescent="0.15">
      <c r="A137" s="3">
        <v>134</v>
      </c>
      <c r="B137" s="3" t="s">
        <v>789</v>
      </c>
      <c r="M137" s="3" t="s">
        <v>1869</v>
      </c>
      <c r="N137" s="3" t="s">
        <v>1870</v>
      </c>
      <c r="O137" s="3" t="s">
        <v>1869</v>
      </c>
    </row>
    <row r="138" spans="1:15" x14ac:dyDescent="0.15">
      <c r="A138" s="3">
        <v>135</v>
      </c>
      <c r="B138" s="3" t="s">
        <v>790</v>
      </c>
      <c r="M138" s="3" t="s">
        <v>1871</v>
      </c>
      <c r="N138" s="3" t="s">
        <v>1872</v>
      </c>
      <c r="O138" s="3" t="s">
        <v>1871</v>
      </c>
    </row>
    <row r="139" spans="1:15" x14ac:dyDescent="0.15">
      <c r="A139" s="3">
        <v>136</v>
      </c>
      <c r="B139" s="3" t="s">
        <v>791</v>
      </c>
      <c r="M139" s="3" t="s">
        <v>1873</v>
      </c>
      <c r="N139" s="3" t="s">
        <v>1874</v>
      </c>
      <c r="O139" s="3" t="s">
        <v>1873</v>
      </c>
    </row>
    <row r="140" spans="1:15" x14ac:dyDescent="0.15">
      <c r="A140" s="3">
        <v>137</v>
      </c>
      <c r="B140" s="3" t="s">
        <v>792</v>
      </c>
      <c r="M140" s="3" t="s">
        <v>1875</v>
      </c>
      <c r="N140" s="3" t="s">
        <v>1876</v>
      </c>
      <c r="O140" s="3" t="s">
        <v>1875</v>
      </c>
    </row>
    <row r="141" spans="1:15" x14ac:dyDescent="0.15">
      <c r="A141" s="3">
        <v>138</v>
      </c>
      <c r="B141" s="3" t="s">
        <v>793</v>
      </c>
      <c r="M141" s="3" t="s">
        <v>1877</v>
      </c>
      <c r="N141" s="3" t="s">
        <v>1878</v>
      </c>
      <c r="O141" s="3" t="s">
        <v>1877</v>
      </c>
    </row>
    <row r="142" spans="1:15" x14ac:dyDescent="0.15">
      <c r="A142" s="3">
        <v>139</v>
      </c>
      <c r="B142" s="3" t="s">
        <v>794</v>
      </c>
      <c r="M142" s="3" t="s">
        <v>1879</v>
      </c>
      <c r="N142" s="3" t="s">
        <v>1880</v>
      </c>
      <c r="O142" s="3" t="s">
        <v>1879</v>
      </c>
    </row>
    <row r="143" spans="1:15" x14ac:dyDescent="0.15">
      <c r="A143" s="3">
        <v>140</v>
      </c>
      <c r="B143" s="3" t="s">
        <v>795</v>
      </c>
      <c r="M143" s="3" t="s">
        <v>1881</v>
      </c>
      <c r="N143" s="3" t="s">
        <v>1882</v>
      </c>
      <c r="O143" s="3" t="s">
        <v>1881</v>
      </c>
    </row>
    <row r="144" spans="1:15" x14ac:dyDescent="0.15">
      <c r="A144" s="3">
        <v>141</v>
      </c>
      <c r="B144" s="3" t="s">
        <v>796</v>
      </c>
      <c r="M144" s="3" t="s">
        <v>1883</v>
      </c>
      <c r="N144" s="3" t="s">
        <v>1884</v>
      </c>
      <c r="O144" s="3" t="s">
        <v>1883</v>
      </c>
    </row>
    <row r="145" spans="1:15" x14ac:dyDescent="0.15">
      <c r="A145" s="3">
        <v>142</v>
      </c>
      <c r="B145" s="3" t="s">
        <v>797</v>
      </c>
      <c r="M145" s="3" t="s">
        <v>1885</v>
      </c>
      <c r="N145" s="3" t="s">
        <v>1886</v>
      </c>
      <c r="O145" s="3" t="s">
        <v>1885</v>
      </c>
    </row>
    <row r="146" spans="1:15" x14ac:dyDescent="0.15">
      <c r="A146" s="3">
        <v>143</v>
      </c>
      <c r="B146" s="3" t="s">
        <v>798</v>
      </c>
      <c r="M146" s="3" t="s">
        <v>1887</v>
      </c>
      <c r="N146" s="3" t="s">
        <v>1888</v>
      </c>
      <c r="O146" s="3" t="s">
        <v>1887</v>
      </c>
    </row>
    <row r="147" spans="1:15" x14ac:dyDescent="0.15">
      <c r="A147" s="3">
        <v>144</v>
      </c>
      <c r="B147" s="3" t="s">
        <v>798</v>
      </c>
      <c r="M147" s="3" t="s">
        <v>1889</v>
      </c>
      <c r="N147" s="3" t="s">
        <v>1890</v>
      </c>
      <c r="O147" s="3" t="s">
        <v>1889</v>
      </c>
    </row>
    <row r="148" spans="1:15" x14ac:dyDescent="0.15">
      <c r="A148" s="3">
        <v>145</v>
      </c>
      <c r="B148" s="3" t="s">
        <v>798</v>
      </c>
      <c r="M148" s="3" t="s">
        <v>1891</v>
      </c>
      <c r="N148" s="3" t="s">
        <v>1892</v>
      </c>
      <c r="O148" s="3" t="s">
        <v>1891</v>
      </c>
    </row>
    <row r="149" spans="1:15" x14ac:dyDescent="0.15">
      <c r="A149" s="3">
        <v>146</v>
      </c>
      <c r="B149" s="3" t="s">
        <v>798</v>
      </c>
      <c r="M149" s="22" t="s">
        <v>1893</v>
      </c>
      <c r="N149" s="22" t="s">
        <v>1936</v>
      </c>
      <c r="O149" s="22" t="s">
        <v>1937</v>
      </c>
    </row>
    <row r="150" spans="1:15" x14ac:dyDescent="0.15">
      <c r="A150" s="3">
        <v>147</v>
      </c>
      <c r="B150" s="3" t="s">
        <v>798</v>
      </c>
      <c r="M150" s="3" t="s">
        <v>1894</v>
      </c>
      <c r="N150" s="3" t="s">
        <v>1895</v>
      </c>
      <c r="O150" s="3" t="s">
        <v>1894</v>
      </c>
    </row>
    <row r="151" spans="1:15" x14ac:dyDescent="0.15">
      <c r="A151" s="3">
        <v>148</v>
      </c>
      <c r="B151" s="3" t="s">
        <v>799</v>
      </c>
      <c r="M151" s="3" t="s">
        <v>1896</v>
      </c>
      <c r="N151" s="3" t="s">
        <v>1897</v>
      </c>
      <c r="O151" s="3" t="s">
        <v>1896</v>
      </c>
    </row>
    <row r="152" spans="1:15" x14ac:dyDescent="0.15">
      <c r="A152" s="3">
        <v>149</v>
      </c>
      <c r="B152" s="3" t="s">
        <v>800</v>
      </c>
      <c r="M152" s="3" t="s">
        <v>1898</v>
      </c>
      <c r="N152" s="3" t="s">
        <v>1899</v>
      </c>
      <c r="O152" s="3" t="s">
        <v>1898</v>
      </c>
    </row>
    <row r="153" spans="1:15" x14ac:dyDescent="0.15">
      <c r="A153" s="3">
        <v>150</v>
      </c>
      <c r="B153" s="3" t="s">
        <v>245</v>
      </c>
      <c r="M153" s="3" t="s">
        <v>1900</v>
      </c>
      <c r="N153" s="3" t="s">
        <v>1901</v>
      </c>
      <c r="O153" s="3" t="s">
        <v>1900</v>
      </c>
    </row>
    <row r="154" spans="1:15" x14ac:dyDescent="0.15">
      <c r="A154" s="3">
        <v>151</v>
      </c>
      <c r="B154" s="3" t="s">
        <v>801</v>
      </c>
      <c r="M154" s="3" t="s">
        <v>1902</v>
      </c>
      <c r="N154" s="3" t="s">
        <v>1903</v>
      </c>
      <c r="O154" s="3" t="s">
        <v>1902</v>
      </c>
    </row>
    <row r="155" spans="1:15" x14ac:dyDescent="0.15">
      <c r="A155" s="3">
        <v>152</v>
      </c>
      <c r="B155" s="3" t="s">
        <v>802</v>
      </c>
      <c r="M155" s="3" t="s">
        <v>1904</v>
      </c>
      <c r="N155" s="3" t="s">
        <v>1905</v>
      </c>
      <c r="O155" s="3" t="s">
        <v>1904</v>
      </c>
    </row>
    <row r="156" spans="1:15" x14ac:dyDescent="0.15">
      <c r="A156" s="3">
        <v>153</v>
      </c>
      <c r="B156" s="3" t="s">
        <v>803</v>
      </c>
      <c r="M156" s="3" t="s">
        <v>1906</v>
      </c>
      <c r="N156" s="3" t="s">
        <v>1907</v>
      </c>
      <c r="O156" s="3" t="s">
        <v>1906</v>
      </c>
    </row>
    <row r="157" spans="1:15" x14ac:dyDescent="0.15">
      <c r="A157" s="3">
        <v>155</v>
      </c>
      <c r="B157" s="3" t="s">
        <v>804</v>
      </c>
      <c r="M157" s="3" t="s">
        <v>1908</v>
      </c>
      <c r="N157" s="3" t="s">
        <v>1909</v>
      </c>
      <c r="O157" s="3" t="s">
        <v>1908</v>
      </c>
    </row>
    <row r="158" spans="1:15" x14ac:dyDescent="0.15">
      <c r="A158" s="3">
        <v>156</v>
      </c>
      <c r="B158" s="3" t="s">
        <v>805</v>
      </c>
      <c r="M158" s="3" t="s">
        <v>1910</v>
      </c>
      <c r="N158" s="3" t="s">
        <v>1911</v>
      </c>
      <c r="O158" s="3" t="s">
        <v>1910</v>
      </c>
    </row>
    <row r="159" spans="1:15" x14ac:dyDescent="0.15">
      <c r="A159" s="3">
        <v>157</v>
      </c>
      <c r="B159" s="3" t="s">
        <v>806</v>
      </c>
      <c r="M159" s="3" t="s">
        <v>1912</v>
      </c>
      <c r="N159" s="3" t="s">
        <v>1913</v>
      </c>
      <c r="O159" s="3" t="s">
        <v>1912</v>
      </c>
    </row>
    <row r="160" spans="1:15" x14ac:dyDescent="0.15">
      <c r="A160" s="3">
        <v>158</v>
      </c>
      <c r="B160" s="3" t="s">
        <v>807</v>
      </c>
      <c r="M160" s="3" t="s">
        <v>1914</v>
      </c>
      <c r="N160" s="3" t="s">
        <v>1915</v>
      </c>
      <c r="O160" s="3" t="s">
        <v>1914</v>
      </c>
    </row>
    <row r="161" spans="1:15" x14ac:dyDescent="0.15">
      <c r="A161" s="3">
        <v>159</v>
      </c>
      <c r="B161" s="3" t="s">
        <v>246</v>
      </c>
      <c r="M161" s="3" t="s">
        <v>1916</v>
      </c>
      <c r="N161" s="3" t="s">
        <v>1917</v>
      </c>
      <c r="O161" s="3" t="s">
        <v>1916</v>
      </c>
    </row>
    <row r="162" spans="1:15" x14ac:dyDescent="0.15">
      <c r="A162" s="3">
        <v>160</v>
      </c>
      <c r="B162" s="3" t="s">
        <v>808</v>
      </c>
      <c r="M162" s="22" t="s">
        <v>1918</v>
      </c>
      <c r="N162" s="22" t="s">
        <v>1936</v>
      </c>
      <c r="O162" s="22" t="s">
        <v>1937</v>
      </c>
    </row>
    <row r="163" spans="1:15" x14ac:dyDescent="0.15">
      <c r="A163" s="3">
        <v>161</v>
      </c>
      <c r="B163" s="3" t="s">
        <v>809</v>
      </c>
      <c r="M163" s="3" t="s">
        <v>1919</v>
      </c>
      <c r="N163" s="3" t="s">
        <v>1920</v>
      </c>
      <c r="O163" s="3" t="s">
        <v>1919</v>
      </c>
    </row>
    <row r="164" spans="1:15" x14ac:dyDescent="0.15">
      <c r="A164" s="3">
        <v>162</v>
      </c>
      <c r="B164" s="3" t="s">
        <v>810</v>
      </c>
      <c r="M164" s="3" t="s">
        <v>1921</v>
      </c>
      <c r="N164" s="3" t="s">
        <v>1922</v>
      </c>
      <c r="O164" s="3" t="s">
        <v>1921</v>
      </c>
    </row>
    <row r="165" spans="1:15" x14ac:dyDescent="0.15">
      <c r="A165" s="3">
        <v>163</v>
      </c>
      <c r="B165" s="3" t="s">
        <v>811</v>
      </c>
      <c r="M165" s="3" t="s">
        <v>1923</v>
      </c>
      <c r="N165" s="3" t="s">
        <v>1924</v>
      </c>
      <c r="O165" s="3" t="s">
        <v>1923</v>
      </c>
    </row>
    <row r="166" spans="1:15" x14ac:dyDescent="0.15">
      <c r="A166" s="3">
        <v>164</v>
      </c>
      <c r="B166" s="3" t="s">
        <v>812</v>
      </c>
      <c r="M166" s="3" t="s">
        <v>1925</v>
      </c>
      <c r="N166" s="3" t="s">
        <v>1926</v>
      </c>
      <c r="O166" s="3" t="s">
        <v>1927</v>
      </c>
    </row>
    <row r="167" spans="1:15" x14ac:dyDescent="0.15">
      <c r="A167" s="3">
        <v>165</v>
      </c>
      <c r="B167" s="3" t="s">
        <v>813</v>
      </c>
      <c r="M167" s="3" t="s">
        <v>1928</v>
      </c>
      <c r="N167" s="3" t="s">
        <v>1929</v>
      </c>
      <c r="O167" s="3" t="s">
        <v>1930</v>
      </c>
    </row>
    <row r="168" spans="1:15" x14ac:dyDescent="0.15">
      <c r="A168" s="3">
        <v>167</v>
      </c>
      <c r="B168" s="3" t="s">
        <v>814</v>
      </c>
      <c r="M168" s="3">
        <v>666666</v>
      </c>
      <c r="N168" s="3" t="s">
        <v>1931</v>
      </c>
      <c r="O168" s="3">
        <v>666666</v>
      </c>
    </row>
    <row r="169" spans="1:15" x14ac:dyDescent="0.15">
      <c r="A169" s="3">
        <v>169</v>
      </c>
      <c r="B169" s="3" t="s">
        <v>815</v>
      </c>
      <c r="M169" s="3" t="s">
        <v>1932</v>
      </c>
      <c r="N169" s="3" t="s">
        <v>1933</v>
      </c>
      <c r="O169" s="3" t="s">
        <v>1932</v>
      </c>
    </row>
    <row r="170" spans="1:15" x14ac:dyDescent="0.15">
      <c r="A170" s="3">
        <v>170</v>
      </c>
      <c r="B170" s="3" t="s">
        <v>816</v>
      </c>
      <c r="M170" s="3" t="s">
        <v>1934</v>
      </c>
      <c r="N170" s="3" t="s">
        <v>1935</v>
      </c>
      <c r="O170" s="3" t="s">
        <v>1934</v>
      </c>
    </row>
    <row r="171" spans="1:15" x14ac:dyDescent="0.15">
      <c r="A171" s="3">
        <v>171</v>
      </c>
      <c r="B171" s="3" t="s">
        <v>817</v>
      </c>
      <c r="M171" s="3"/>
      <c r="N171" s="3"/>
      <c r="O171" s="3"/>
    </row>
    <row r="172" spans="1:15" x14ac:dyDescent="0.15">
      <c r="A172" s="3">
        <v>172</v>
      </c>
      <c r="B172" s="3" t="s">
        <v>250</v>
      </c>
      <c r="M172" s="3"/>
      <c r="N172" s="3"/>
      <c r="O172" s="3"/>
    </row>
    <row r="173" spans="1:15" x14ac:dyDescent="0.15">
      <c r="A173" s="3">
        <v>173</v>
      </c>
      <c r="B173" s="3" t="s">
        <v>818</v>
      </c>
      <c r="M173" s="3"/>
      <c r="N173" s="3"/>
      <c r="O173" s="3"/>
    </row>
    <row r="174" spans="1:15" x14ac:dyDescent="0.15">
      <c r="A174" s="3">
        <v>174</v>
      </c>
      <c r="B174" s="3" t="s">
        <v>819</v>
      </c>
      <c r="M174" s="3"/>
      <c r="N174" s="3"/>
      <c r="O174" s="3"/>
    </row>
    <row r="175" spans="1:15" x14ac:dyDescent="0.15">
      <c r="A175" s="3">
        <v>175</v>
      </c>
      <c r="B175" s="3" t="s">
        <v>398</v>
      </c>
      <c r="M175" s="3"/>
      <c r="N175" s="3"/>
      <c r="O175" s="3"/>
    </row>
    <row r="176" spans="1:15" x14ac:dyDescent="0.15">
      <c r="A176" s="3">
        <v>176</v>
      </c>
      <c r="B176" s="3" t="s">
        <v>820</v>
      </c>
      <c r="M176" s="3"/>
      <c r="N176" s="3"/>
      <c r="O176" s="3"/>
    </row>
    <row r="177" spans="1:15" x14ac:dyDescent="0.15">
      <c r="A177" s="3">
        <v>177</v>
      </c>
      <c r="B177" s="3" t="s">
        <v>821</v>
      </c>
      <c r="M177" s="3"/>
      <c r="N177" s="3"/>
      <c r="O177" s="3"/>
    </row>
    <row r="178" spans="1:15" x14ac:dyDescent="0.15">
      <c r="A178" s="3">
        <v>178</v>
      </c>
      <c r="B178" s="3" t="s">
        <v>822</v>
      </c>
      <c r="M178" s="3"/>
      <c r="N178" s="3"/>
      <c r="O178" s="3"/>
    </row>
    <row r="179" spans="1:15" x14ac:dyDescent="0.15">
      <c r="A179" s="3">
        <v>179</v>
      </c>
      <c r="B179" s="3" t="s">
        <v>823</v>
      </c>
      <c r="M179" s="3"/>
      <c r="N179" s="3"/>
      <c r="O179" s="3"/>
    </row>
    <row r="180" spans="1:15" x14ac:dyDescent="0.15">
      <c r="A180" s="3">
        <v>181</v>
      </c>
      <c r="B180" s="3" t="s">
        <v>824</v>
      </c>
      <c r="M180" s="3"/>
      <c r="N180" s="3"/>
      <c r="O180" s="3"/>
    </row>
    <row r="181" spans="1:15" x14ac:dyDescent="0.15">
      <c r="A181" s="3">
        <v>182</v>
      </c>
      <c r="B181" s="3" t="s">
        <v>825</v>
      </c>
      <c r="M181" s="3"/>
      <c r="N181" s="3"/>
      <c r="O181" s="3"/>
    </row>
    <row r="182" spans="1:15" x14ac:dyDescent="0.15">
      <c r="A182" s="3">
        <v>183</v>
      </c>
      <c r="B182" s="3" t="s">
        <v>826</v>
      </c>
      <c r="M182" s="3"/>
      <c r="N182" s="3"/>
      <c r="O182" s="3"/>
    </row>
    <row r="183" spans="1:15" x14ac:dyDescent="0.15">
      <c r="A183" s="3">
        <v>184</v>
      </c>
      <c r="B183" s="3" t="s">
        <v>827</v>
      </c>
      <c r="M183" s="3"/>
      <c r="N183" s="3"/>
      <c r="O183" s="3"/>
    </row>
    <row r="184" spans="1:15" x14ac:dyDescent="0.15">
      <c r="A184" s="3">
        <v>186</v>
      </c>
      <c r="B184" s="3" t="s">
        <v>251</v>
      </c>
      <c r="M184" s="3"/>
      <c r="N184" s="3"/>
      <c r="O184" s="3"/>
    </row>
    <row r="185" spans="1:15" x14ac:dyDescent="0.15">
      <c r="A185" s="3">
        <v>187</v>
      </c>
      <c r="B185" s="3" t="s">
        <v>828</v>
      </c>
      <c r="M185" s="3"/>
      <c r="N185" s="3"/>
      <c r="O185" s="3"/>
    </row>
    <row r="186" spans="1:15" x14ac:dyDescent="0.15">
      <c r="A186" s="3">
        <v>189</v>
      </c>
      <c r="B186" s="3" t="s">
        <v>829</v>
      </c>
      <c r="M186" s="3"/>
      <c r="N186" s="3"/>
      <c r="O186" s="3"/>
    </row>
    <row r="187" spans="1:15" x14ac:dyDescent="0.15">
      <c r="A187" s="3">
        <v>190</v>
      </c>
      <c r="B187" s="3" t="s">
        <v>830</v>
      </c>
      <c r="M187" s="3"/>
      <c r="N187" s="3"/>
      <c r="O187" s="3"/>
    </row>
    <row r="188" spans="1:15" x14ac:dyDescent="0.15">
      <c r="A188" s="3">
        <v>191</v>
      </c>
      <c r="B188" s="3" t="s">
        <v>831</v>
      </c>
      <c r="M188" s="3"/>
      <c r="N188" s="3"/>
      <c r="O188" s="3"/>
    </row>
    <row r="189" spans="1:15" x14ac:dyDescent="0.15">
      <c r="A189" s="3">
        <v>192</v>
      </c>
      <c r="B189" s="3" t="s">
        <v>832</v>
      </c>
      <c r="M189" s="3"/>
      <c r="N189" s="3"/>
      <c r="O189" s="3"/>
    </row>
    <row r="190" spans="1:15" x14ac:dyDescent="0.15">
      <c r="A190" s="3">
        <v>193</v>
      </c>
      <c r="B190" s="3" t="s">
        <v>833</v>
      </c>
      <c r="M190" s="3"/>
      <c r="N190" s="3"/>
      <c r="O190" s="3"/>
    </row>
    <row r="191" spans="1:15" x14ac:dyDescent="0.15">
      <c r="A191" s="3">
        <v>194</v>
      </c>
      <c r="B191" s="3" t="s">
        <v>834</v>
      </c>
      <c r="M191" s="3"/>
      <c r="N191" s="3"/>
      <c r="O191" s="3"/>
    </row>
    <row r="192" spans="1:15" x14ac:dyDescent="0.15">
      <c r="A192" s="3">
        <v>195</v>
      </c>
      <c r="B192" s="3" t="s">
        <v>835</v>
      </c>
      <c r="M192" s="3"/>
      <c r="N192" s="3"/>
      <c r="O192" s="3"/>
    </row>
    <row r="193" spans="1:15" x14ac:dyDescent="0.15">
      <c r="A193" s="3">
        <v>196</v>
      </c>
      <c r="B193" s="3" t="s">
        <v>836</v>
      </c>
      <c r="M193" s="3"/>
      <c r="N193" s="3"/>
      <c r="O193" s="3"/>
    </row>
    <row r="194" spans="1:15" x14ac:dyDescent="0.15">
      <c r="A194" s="3">
        <v>197</v>
      </c>
      <c r="B194" s="3" t="s">
        <v>2051</v>
      </c>
      <c r="M194" s="3"/>
      <c r="N194" s="3"/>
      <c r="O194" s="3"/>
    </row>
    <row r="195" spans="1:15" x14ac:dyDescent="0.15">
      <c r="A195" s="3">
        <v>198</v>
      </c>
      <c r="B195" s="3" t="s">
        <v>837</v>
      </c>
      <c r="M195" s="3"/>
      <c r="N195" s="3"/>
      <c r="O195" s="3"/>
    </row>
    <row r="196" spans="1:15" x14ac:dyDescent="0.15">
      <c r="A196" s="3">
        <v>199</v>
      </c>
      <c r="B196" s="3" t="s">
        <v>838</v>
      </c>
      <c r="M196" s="3"/>
      <c r="N196" s="3"/>
      <c r="O196" s="3"/>
    </row>
    <row r="197" spans="1:15" x14ac:dyDescent="0.15">
      <c r="A197" s="3">
        <v>200</v>
      </c>
      <c r="B197" s="3" t="s">
        <v>839</v>
      </c>
      <c r="M197" s="3"/>
      <c r="N197" s="3"/>
      <c r="O197" s="3"/>
    </row>
    <row r="198" spans="1:15" x14ac:dyDescent="0.15">
      <c r="A198" s="3">
        <v>203</v>
      </c>
      <c r="B198" s="3" t="s">
        <v>840</v>
      </c>
      <c r="M198" s="3"/>
      <c r="N198" s="3"/>
      <c r="O198" s="3"/>
    </row>
    <row r="199" spans="1:15" x14ac:dyDescent="0.15">
      <c r="A199" s="3">
        <v>204</v>
      </c>
      <c r="B199" s="3" t="s">
        <v>841</v>
      </c>
      <c r="M199" s="3"/>
      <c r="N199" s="3"/>
      <c r="O199" s="3"/>
    </row>
    <row r="200" spans="1:15" x14ac:dyDescent="0.15">
      <c r="A200" s="3">
        <v>205</v>
      </c>
      <c r="B200" s="3" t="s">
        <v>842</v>
      </c>
      <c r="M200" s="3"/>
      <c r="N200" s="3"/>
      <c r="O200" s="3"/>
    </row>
    <row r="201" spans="1:15" x14ac:dyDescent="0.15">
      <c r="A201" s="3">
        <v>206</v>
      </c>
      <c r="B201" s="3" t="s">
        <v>843</v>
      </c>
      <c r="M201" s="3"/>
      <c r="N201" s="3"/>
      <c r="O201" s="3"/>
    </row>
    <row r="202" spans="1:15" x14ac:dyDescent="0.15">
      <c r="A202" s="3">
        <v>209</v>
      </c>
      <c r="B202" s="3" t="s">
        <v>844</v>
      </c>
      <c r="M202" s="3"/>
      <c r="N202" s="3"/>
      <c r="O202" s="3"/>
    </row>
    <row r="203" spans="1:15" x14ac:dyDescent="0.15">
      <c r="A203" s="3">
        <v>211</v>
      </c>
      <c r="B203" s="3" t="s">
        <v>845</v>
      </c>
      <c r="M203" s="3"/>
      <c r="N203" s="3"/>
      <c r="O203" s="3"/>
    </row>
    <row r="204" spans="1:15" x14ac:dyDescent="0.15">
      <c r="A204" s="3">
        <v>212</v>
      </c>
      <c r="B204" s="3" t="s">
        <v>846</v>
      </c>
      <c r="M204" s="3"/>
      <c r="N204" s="3"/>
      <c r="O204" s="3"/>
    </row>
    <row r="205" spans="1:15" x14ac:dyDescent="0.15">
      <c r="A205" s="3">
        <v>213</v>
      </c>
      <c r="B205" s="3" t="s">
        <v>847</v>
      </c>
      <c r="M205" s="3"/>
      <c r="N205" s="3"/>
      <c r="O205" s="3"/>
    </row>
    <row r="206" spans="1:15" x14ac:dyDescent="0.15">
      <c r="A206" s="3">
        <v>214</v>
      </c>
      <c r="B206" s="3" t="s">
        <v>252</v>
      </c>
      <c r="M206" s="3"/>
      <c r="N206" s="3"/>
      <c r="O206" s="3"/>
    </row>
    <row r="207" spans="1:15" x14ac:dyDescent="0.15">
      <c r="A207" s="3">
        <v>215</v>
      </c>
      <c r="B207" s="3" t="s">
        <v>848</v>
      </c>
      <c r="M207" s="3"/>
      <c r="N207" s="3"/>
      <c r="O207" s="3"/>
    </row>
    <row r="208" spans="1:15" x14ac:dyDescent="0.15">
      <c r="A208" s="3">
        <v>216</v>
      </c>
      <c r="B208" s="3" t="s">
        <v>256</v>
      </c>
      <c r="M208" s="3"/>
      <c r="N208" s="3"/>
      <c r="O208" s="3"/>
    </row>
    <row r="209" spans="1:15" x14ac:dyDescent="0.15">
      <c r="A209" s="3">
        <v>217</v>
      </c>
      <c r="B209" s="3" t="s">
        <v>257</v>
      </c>
      <c r="M209" s="3"/>
      <c r="N209" s="3"/>
      <c r="O209" s="3"/>
    </row>
    <row r="210" spans="1:15" x14ac:dyDescent="0.15">
      <c r="A210" s="3">
        <v>218</v>
      </c>
      <c r="B210" s="3" t="s">
        <v>849</v>
      </c>
      <c r="M210" s="3"/>
      <c r="N210" s="3"/>
      <c r="O210" s="3"/>
    </row>
    <row r="211" spans="1:15" x14ac:dyDescent="0.15">
      <c r="A211" s="3">
        <v>219</v>
      </c>
      <c r="B211" s="3" t="s">
        <v>850</v>
      </c>
      <c r="M211" s="3"/>
      <c r="N211" s="3"/>
      <c r="O211" s="3"/>
    </row>
    <row r="212" spans="1:15" x14ac:dyDescent="0.15">
      <c r="A212" s="3">
        <v>220</v>
      </c>
      <c r="B212" s="3" t="s">
        <v>851</v>
      </c>
      <c r="M212" s="3"/>
      <c r="N212" s="3"/>
      <c r="O212" s="3"/>
    </row>
    <row r="213" spans="1:15" x14ac:dyDescent="0.15">
      <c r="A213" s="3">
        <v>221</v>
      </c>
      <c r="B213" s="3" t="s">
        <v>852</v>
      </c>
      <c r="M213" s="3"/>
      <c r="N213" s="3"/>
      <c r="O213" s="3"/>
    </row>
    <row r="214" spans="1:15" x14ac:dyDescent="0.15">
      <c r="A214" s="3">
        <v>222</v>
      </c>
      <c r="B214" s="3" t="s">
        <v>853</v>
      </c>
      <c r="M214" s="3"/>
      <c r="N214" s="3"/>
      <c r="O214" s="3"/>
    </row>
    <row r="215" spans="1:15" x14ac:dyDescent="0.15">
      <c r="A215" s="3">
        <v>224</v>
      </c>
      <c r="B215" s="3" t="s">
        <v>854</v>
      </c>
      <c r="M215" s="3"/>
      <c r="N215" s="3"/>
      <c r="O215" s="3"/>
    </row>
    <row r="216" spans="1:15" x14ac:dyDescent="0.15">
      <c r="A216" s="3">
        <v>225</v>
      </c>
      <c r="B216" s="3" t="s">
        <v>855</v>
      </c>
      <c r="M216" s="3"/>
      <c r="N216" s="3"/>
      <c r="O216" s="3"/>
    </row>
    <row r="217" spans="1:15" x14ac:dyDescent="0.15">
      <c r="A217" s="3">
        <v>227</v>
      </c>
      <c r="B217" s="3" t="s">
        <v>856</v>
      </c>
      <c r="M217" s="3"/>
      <c r="N217" s="3"/>
      <c r="O217" s="3"/>
    </row>
    <row r="218" spans="1:15" x14ac:dyDescent="0.15">
      <c r="A218" s="3">
        <v>228</v>
      </c>
      <c r="B218" s="3" t="s">
        <v>857</v>
      </c>
      <c r="M218" s="3"/>
      <c r="N218" s="3"/>
      <c r="O218" s="3"/>
    </row>
    <row r="219" spans="1:15" x14ac:dyDescent="0.15">
      <c r="A219" s="3">
        <v>229</v>
      </c>
      <c r="B219" s="3" t="s">
        <v>858</v>
      </c>
      <c r="M219" s="3"/>
      <c r="N219" s="3"/>
      <c r="O219" s="3"/>
    </row>
    <row r="220" spans="1:15" x14ac:dyDescent="0.15">
      <c r="A220" s="3">
        <v>230</v>
      </c>
      <c r="B220" s="3" t="s">
        <v>859</v>
      </c>
      <c r="M220" s="3"/>
      <c r="N220" s="3"/>
      <c r="O220" s="3"/>
    </row>
    <row r="221" spans="1:15" x14ac:dyDescent="0.15">
      <c r="A221" s="3">
        <v>231</v>
      </c>
      <c r="B221" s="3" t="s">
        <v>860</v>
      </c>
      <c r="M221" s="3"/>
      <c r="N221" s="3"/>
      <c r="O221" s="3"/>
    </row>
    <row r="222" spans="1:15" x14ac:dyDescent="0.15">
      <c r="A222" s="3">
        <v>232</v>
      </c>
      <c r="B222" s="3" t="s">
        <v>861</v>
      </c>
      <c r="M222" s="3"/>
      <c r="N222" s="3"/>
      <c r="O222" s="3"/>
    </row>
    <row r="223" spans="1:15" x14ac:dyDescent="0.15">
      <c r="A223" s="3">
        <v>233</v>
      </c>
      <c r="B223" s="3" t="s">
        <v>862</v>
      </c>
      <c r="M223" s="3"/>
      <c r="N223" s="3"/>
      <c r="O223" s="3"/>
    </row>
    <row r="224" spans="1:15" x14ac:dyDescent="0.15">
      <c r="A224" s="3">
        <v>234</v>
      </c>
      <c r="B224" s="3" t="s">
        <v>863</v>
      </c>
      <c r="M224" s="3"/>
      <c r="N224" s="3"/>
      <c r="O224" s="3"/>
    </row>
    <row r="225" spans="1:15" x14ac:dyDescent="0.15">
      <c r="A225" s="3">
        <v>235</v>
      </c>
      <c r="B225" s="3" t="s">
        <v>864</v>
      </c>
      <c r="M225" s="3"/>
      <c r="N225" s="3"/>
      <c r="O225" s="3"/>
    </row>
    <row r="226" spans="1:15" x14ac:dyDescent="0.15">
      <c r="A226" s="3">
        <v>236</v>
      </c>
      <c r="B226" s="3" t="s">
        <v>865</v>
      </c>
      <c r="M226" s="3"/>
      <c r="N226" s="3"/>
      <c r="O226" s="3"/>
    </row>
    <row r="227" spans="1:15" x14ac:dyDescent="0.15">
      <c r="A227" s="3">
        <v>237</v>
      </c>
      <c r="B227" s="3" t="s">
        <v>866</v>
      </c>
      <c r="M227" s="3"/>
      <c r="N227" s="3"/>
      <c r="O227" s="3"/>
    </row>
    <row r="228" spans="1:15" x14ac:dyDescent="0.15">
      <c r="A228" s="3">
        <v>238</v>
      </c>
      <c r="B228" s="3" t="s">
        <v>867</v>
      </c>
      <c r="M228" s="3"/>
      <c r="N228" s="3"/>
      <c r="O228" s="3"/>
    </row>
    <row r="229" spans="1:15" x14ac:dyDescent="0.15">
      <c r="A229" s="3">
        <v>239</v>
      </c>
      <c r="B229" s="3" t="s">
        <v>258</v>
      </c>
      <c r="M229" s="3"/>
      <c r="N229" s="3"/>
      <c r="O229" s="3"/>
    </row>
    <row r="230" spans="1:15" x14ac:dyDescent="0.15">
      <c r="A230" s="3">
        <v>240</v>
      </c>
      <c r="B230" s="3" t="s">
        <v>868</v>
      </c>
      <c r="M230" s="3"/>
      <c r="N230" s="3"/>
      <c r="O230" s="3"/>
    </row>
    <row r="231" spans="1:15" x14ac:dyDescent="0.15">
      <c r="A231" s="3">
        <v>241</v>
      </c>
      <c r="B231" s="3" t="s">
        <v>869</v>
      </c>
      <c r="M231" s="3"/>
      <c r="N231" s="3"/>
      <c r="O231" s="3"/>
    </row>
    <row r="232" spans="1:15" x14ac:dyDescent="0.15">
      <c r="A232" s="3">
        <v>242</v>
      </c>
      <c r="B232" s="3" t="s">
        <v>870</v>
      </c>
      <c r="M232" s="3"/>
      <c r="N232" s="3"/>
      <c r="O232" s="3"/>
    </row>
    <row r="233" spans="1:15" x14ac:dyDescent="0.15">
      <c r="A233" s="3">
        <v>243</v>
      </c>
      <c r="B233" s="3" t="s">
        <v>259</v>
      </c>
      <c r="M233" s="3"/>
      <c r="N233" s="3"/>
      <c r="O233" s="3"/>
    </row>
    <row r="234" spans="1:15" x14ac:dyDescent="0.15">
      <c r="A234" s="3">
        <v>244</v>
      </c>
      <c r="B234" s="3" t="s">
        <v>871</v>
      </c>
      <c r="M234" s="3"/>
      <c r="N234" s="3"/>
      <c r="O234" s="3"/>
    </row>
    <row r="235" spans="1:15" x14ac:dyDescent="0.15">
      <c r="A235" s="3">
        <v>245</v>
      </c>
      <c r="B235" s="3" t="s">
        <v>872</v>
      </c>
      <c r="M235" s="3"/>
      <c r="N235" s="3"/>
      <c r="O235" s="3"/>
    </row>
    <row r="236" spans="1:15" x14ac:dyDescent="0.15">
      <c r="A236" s="3">
        <v>246</v>
      </c>
      <c r="B236" s="3" t="s">
        <v>873</v>
      </c>
      <c r="M236" s="3"/>
      <c r="N236" s="3"/>
      <c r="O236" s="3"/>
    </row>
    <row r="237" spans="1:15" x14ac:dyDescent="0.15">
      <c r="A237" s="3">
        <v>247</v>
      </c>
      <c r="B237" s="3" t="s">
        <v>874</v>
      </c>
      <c r="M237" s="3"/>
      <c r="N237" s="3"/>
      <c r="O237" s="3"/>
    </row>
    <row r="238" spans="1:15" x14ac:dyDescent="0.15">
      <c r="A238" s="3">
        <v>248</v>
      </c>
      <c r="B238" s="3" t="s">
        <v>875</v>
      </c>
      <c r="M238" s="3"/>
      <c r="N238" s="3"/>
      <c r="O238" s="3"/>
    </row>
    <row r="239" spans="1:15" x14ac:dyDescent="0.15">
      <c r="A239" s="3">
        <v>249</v>
      </c>
      <c r="B239" s="3" t="s">
        <v>876</v>
      </c>
      <c r="M239" s="3"/>
      <c r="N239" s="3"/>
      <c r="O239" s="3"/>
    </row>
    <row r="240" spans="1:15" x14ac:dyDescent="0.15">
      <c r="A240" s="3">
        <v>250</v>
      </c>
      <c r="B240" s="3" t="s">
        <v>877</v>
      </c>
      <c r="M240" s="3"/>
      <c r="N240" s="3"/>
      <c r="O240" s="3"/>
    </row>
    <row r="241" spans="1:15" x14ac:dyDescent="0.15">
      <c r="A241" s="3">
        <v>251</v>
      </c>
      <c r="B241" s="3" t="s">
        <v>878</v>
      </c>
      <c r="M241" s="3"/>
      <c r="N241" s="3"/>
      <c r="O241" s="3"/>
    </row>
    <row r="242" spans="1:15" x14ac:dyDescent="0.15">
      <c r="A242" s="3">
        <v>256</v>
      </c>
      <c r="B242" s="3" t="s">
        <v>879</v>
      </c>
      <c r="M242" s="3"/>
      <c r="N242" s="3"/>
      <c r="O242" s="3"/>
    </row>
    <row r="243" spans="1:15" x14ac:dyDescent="0.15">
      <c r="A243" s="3">
        <v>257</v>
      </c>
      <c r="B243" s="3" t="s">
        <v>880</v>
      </c>
      <c r="M243" s="3"/>
      <c r="N243" s="3"/>
      <c r="O243" s="3"/>
    </row>
    <row r="244" spans="1:15" x14ac:dyDescent="0.15">
      <c r="A244" s="3">
        <v>258</v>
      </c>
      <c r="B244" s="3" t="s">
        <v>881</v>
      </c>
      <c r="M244" s="3"/>
      <c r="N244" s="3"/>
      <c r="O244" s="3"/>
    </row>
    <row r="245" spans="1:15" x14ac:dyDescent="0.15">
      <c r="A245" s="3">
        <v>259</v>
      </c>
      <c r="B245" s="3" t="s">
        <v>882</v>
      </c>
      <c r="M245" s="3"/>
      <c r="N245" s="3"/>
      <c r="O245" s="3"/>
    </row>
    <row r="246" spans="1:15" x14ac:dyDescent="0.15">
      <c r="A246" s="3">
        <v>260</v>
      </c>
      <c r="B246" s="3" t="s">
        <v>883</v>
      </c>
      <c r="M246" s="3"/>
      <c r="N246" s="3"/>
      <c r="O246" s="3"/>
    </row>
    <row r="247" spans="1:15" x14ac:dyDescent="0.15">
      <c r="A247" s="3">
        <v>261</v>
      </c>
      <c r="B247" s="3" t="s">
        <v>884</v>
      </c>
      <c r="M247" s="3"/>
      <c r="N247" s="3"/>
      <c r="O247" s="3"/>
    </row>
    <row r="248" spans="1:15" x14ac:dyDescent="0.15">
      <c r="A248" s="3">
        <v>262</v>
      </c>
      <c r="B248" s="3" t="s">
        <v>885</v>
      </c>
      <c r="M248" s="3"/>
      <c r="N248" s="3"/>
      <c r="O248" s="3"/>
    </row>
    <row r="249" spans="1:15" x14ac:dyDescent="0.15">
      <c r="A249" s="3">
        <v>263</v>
      </c>
      <c r="B249" s="3" t="s">
        <v>886</v>
      </c>
      <c r="M249" s="3"/>
      <c r="N249" s="3"/>
      <c r="O249" s="3"/>
    </row>
    <row r="250" spans="1:15" x14ac:dyDescent="0.15">
      <c r="A250" s="3">
        <v>264</v>
      </c>
      <c r="B250" s="3" t="s">
        <v>887</v>
      </c>
      <c r="M250" s="3"/>
      <c r="N250" s="3"/>
      <c r="O250" s="3"/>
    </row>
    <row r="251" spans="1:15" x14ac:dyDescent="0.15">
      <c r="A251" s="3">
        <v>265</v>
      </c>
      <c r="B251" s="3" t="s">
        <v>888</v>
      </c>
      <c r="M251" s="3"/>
      <c r="N251" s="3"/>
      <c r="O251" s="3"/>
    </row>
    <row r="252" spans="1:15" x14ac:dyDescent="0.15">
      <c r="A252" s="3">
        <v>266</v>
      </c>
      <c r="B252" s="3" t="s">
        <v>889</v>
      </c>
      <c r="M252" s="3"/>
      <c r="N252" s="3"/>
      <c r="O252" s="3"/>
    </row>
    <row r="253" spans="1:15" x14ac:dyDescent="0.15">
      <c r="A253" s="3">
        <v>267</v>
      </c>
      <c r="B253" s="3" t="s">
        <v>890</v>
      </c>
      <c r="M253" s="3"/>
      <c r="N253" s="3"/>
      <c r="O253" s="3"/>
    </row>
    <row r="254" spans="1:15" x14ac:dyDescent="0.15">
      <c r="A254" s="3">
        <v>268</v>
      </c>
      <c r="B254" s="3" t="s">
        <v>891</v>
      </c>
      <c r="M254" s="3"/>
      <c r="N254" s="3"/>
      <c r="O254" s="3"/>
    </row>
    <row r="255" spans="1:15" x14ac:dyDescent="0.15">
      <c r="A255" s="3">
        <v>269</v>
      </c>
      <c r="B255" s="3" t="s">
        <v>892</v>
      </c>
      <c r="M255" s="3"/>
      <c r="N255" s="3"/>
      <c r="O255" s="3"/>
    </row>
    <row r="256" spans="1:15" x14ac:dyDescent="0.15">
      <c r="A256" s="3">
        <v>270</v>
      </c>
      <c r="B256" s="3" t="s">
        <v>893</v>
      </c>
      <c r="M256" s="3"/>
      <c r="N256" s="3"/>
      <c r="O256" s="3"/>
    </row>
    <row r="257" spans="1:15" x14ac:dyDescent="0.15">
      <c r="A257" s="3">
        <v>271</v>
      </c>
      <c r="B257" s="3" t="s">
        <v>894</v>
      </c>
      <c r="M257" s="3"/>
      <c r="N257" s="3"/>
      <c r="O257" s="3"/>
    </row>
    <row r="258" spans="1:15" x14ac:dyDescent="0.15">
      <c r="A258" s="3">
        <v>272</v>
      </c>
      <c r="B258" s="3" t="s">
        <v>895</v>
      </c>
      <c r="M258" s="3"/>
      <c r="N258" s="3"/>
      <c r="O258" s="3"/>
    </row>
    <row r="259" spans="1:15" x14ac:dyDescent="0.15">
      <c r="A259" s="3">
        <v>273</v>
      </c>
      <c r="B259" s="3" t="s">
        <v>896</v>
      </c>
      <c r="M259" s="3"/>
      <c r="N259" s="3"/>
      <c r="O259" s="3"/>
    </row>
    <row r="260" spans="1:15" x14ac:dyDescent="0.15">
      <c r="A260" s="3">
        <v>274</v>
      </c>
      <c r="B260" s="3" t="s">
        <v>884</v>
      </c>
      <c r="M260" s="3"/>
      <c r="N260" s="3"/>
      <c r="O260" s="3"/>
    </row>
    <row r="261" spans="1:15" x14ac:dyDescent="0.15">
      <c r="A261" s="3">
        <v>275</v>
      </c>
      <c r="B261" s="3" t="s">
        <v>897</v>
      </c>
      <c r="M261" s="3"/>
      <c r="N261" s="3"/>
      <c r="O261" s="3"/>
    </row>
    <row r="262" spans="1:15" x14ac:dyDescent="0.15">
      <c r="A262" s="3">
        <v>276</v>
      </c>
      <c r="B262" s="3" t="s">
        <v>898</v>
      </c>
      <c r="M262" s="3"/>
      <c r="N262" s="3"/>
      <c r="O262" s="3"/>
    </row>
    <row r="263" spans="1:15" x14ac:dyDescent="0.15">
      <c r="A263" s="3">
        <v>277</v>
      </c>
      <c r="B263" s="3" t="s">
        <v>899</v>
      </c>
      <c r="M263" s="3"/>
      <c r="N263" s="3"/>
      <c r="O263" s="3"/>
    </row>
    <row r="264" spans="1:15" x14ac:dyDescent="0.15">
      <c r="A264" s="3">
        <v>278</v>
      </c>
      <c r="B264" s="3" t="s">
        <v>898</v>
      </c>
      <c r="M264" s="3"/>
      <c r="N264" s="3"/>
      <c r="O264" s="3"/>
    </row>
    <row r="265" spans="1:15" x14ac:dyDescent="0.15">
      <c r="A265" s="3">
        <v>279</v>
      </c>
      <c r="B265" s="3" t="s">
        <v>898</v>
      </c>
      <c r="M265" s="3"/>
      <c r="N265" s="3"/>
      <c r="O265" s="3"/>
    </row>
    <row r="266" spans="1:15" x14ac:dyDescent="0.15">
      <c r="A266" s="3">
        <v>280</v>
      </c>
      <c r="B266" s="3" t="s">
        <v>898</v>
      </c>
      <c r="M266" s="3"/>
      <c r="N266" s="3"/>
      <c r="O266" s="3"/>
    </row>
    <row r="267" spans="1:15" x14ac:dyDescent="0.15">
      <c r="A267" s="3">
        <v>281</v>
      </c>
      <c r="B267" s="3" t="s">
        <v>898</v>
      </c>
      <c r="M267" s="3"/>
      <c r="N267" s="3"/>
      <c r="O267" s="3"/>
    </row>
    <row r="268" spans="1:15" x14ac:dyDescent="0.15">
      <c r="A268" s="3">
        <v>282</v>
      </c>
      <c r="B268" s="3">
        <v>1024</v>
      </c>
      <c r="M268" s="3"/>
      <c r="N268" s="3"/>
      <c r="O268" s="3"/>
    </row>
    <row r="269" spans="1:15" x14ac:dyDescent="0.15">
      <c r="A269" s="3">
        <v>283</v>
      </c>
      <c r="B269" s="3" t="s">
        <v>900</v>
      </c>
      <c r="M269" s="3"/>
      <c r="N269" s="3"/>
      <c r="O269" s="3"/>
    </row>
    <row r="270" spans="1:15" x14ac:dyDescent="0.15">
      <c r="A270" s="3">
        <v>284</v>
      </c>
      <c r="B270" s="3" t="s">
        <v>901</v>
      </c>
      <c r="M270" s="3"/>
      <c r="N270" s="3"/>
      <c r="O270" s="3"/>
    </row>
    <row r="271" spans="1:15" x14ac:dyDescent="0.15">
      <c r="A271" s="3">
        <v>285</v>
      </c>
      <c r="B271" s="3" t="s">
        <v>902</v>
      </c>
      <c r="M271" s="3"/>
      <c r="N271" s="3"/>
      <c r="O271" s="3"/>
    </row>
    <row r="272" spans="1:15" x14ac:dyDescent="0.15">
      <c r="A272" s="3">
        <v>286</v>
      </c>
      <c r="B272" s="3" t="s">
        <v>903</v>
      </c>
      <c r="M272" s="3"/>
      <c r="N272" s="3"/>
      <c r="O272" s="3"/>
    </row>
    <row r="273" spans="1:15" x14ac:dyDescent="0.15">
      <c r="A273" s="3">
        <v>287</v>
      </c>
      <c r="B273" s="3" t="s">
        <v>904</v>
      </c>
      <c r="M273" s="3"/>
      <c r="N273" s="3"/>
      <c r="O273" s="3"/>
    </row>
    <row r="274" spans="1:15" x14ac:dyDescent="0.15">
      <c r="A274" s="3">
        <v>288</v>
      </c>
      <c r="B274" s="3" t="s">
        <v>905</v>
      </c>
      <c r="M274" s="3"/>
      <c r="N274" s="3"/>
      <c r="O274" s="3"/>
    </row>
    <row r="275" spans="1:15" x14ac:dyDescent="0.15">
      <c r="A275" s="3">
        <v>289</v>
      </c>
      <c r="B275" s="3" t="s">
        <v>906</v>
      </c>
      <c r="M275" s="3"/>
      <c r="N275" s="3"/>
      <c r="O275" s="3"/>
    </row>
    <row r="276" spans="1:15" x14ac:dyDescent="0.15">
      <c r="A276" s="3">
        <v>290</v>
      </c>
      <c r="B276" s="3" t="s">
        <v>907</v>
      </c>
      <c r="M276" s="3"/>
      <c r="N276" s="3"/>
      <c r="O276" s="3"/>
    </row>
    <row r="277" spans="1:15" x14ac:dyDescent="0.15">
      <c r="A277" s="3">
        <v>291</v>
      </c>
      <c r="B277" s="3" t="s">
        <v>908</v>
      </c>
      <c r="M277" s="3"/>
      <c r="N277" s="3"/>
      <c r="O277" s="3"/>
    </row>
    <row r="278" spans="1:15" x14ac:dyDescent="0.15">
      <c r="A278" s="3">
        <v>292</v>
      </c>
      <c r="B278" s="3" t="s">
        <v>909</v>
      </c>
      <c r="M278" s="3"/>
      <c r="N278" s="3"/>
      <c r="O278" s="3"/>
    </row>
    <row r="279" spans="1:15" x14ac:dyDescent="0.15">
      <c r="A279" s="3">
        <v>293</v>
      </c>
      <c r="B279" s="3" t="s">
        <v>910</v>
      </c>
      <c r="M279" s="3"/>
      <c r="N279" s="3"/>
      <c r="O279" s="3"/>
    </row>
    <row r="280" spans="1:15" x14ac:dyDescent="0.15">
      <c r="A280" s="3">
        <v>294</v>
      </c>
      <c r="B280" s="3" t="s">
        <v>911</v>
      </c>
      <c r="M280" s="3"/>
      <c r="N280" s="3"/>
      <c r="O280" s="3"/>
    </row>
    <row r="281" spans="1:15" x14ac:dyDescent="0.15">
      <c r="A281" s="3">
        <v>295</v>
      </c>
      <c r="B281" s="3" t="s">
        <v>912</v>
      </c>
      <c r="M281" s="3"/>
      <c r="N281" s="3"/>
      <c r="O281" s="3"/>
    </row>
    <row r="282" spans="1:15" x14ac:dyDescent="0.15">
      <c r="A282" s="3">
        <v>296</v>
      </c>
      <c r="B282" s="3" t="s">
        <v>913</v>
      </c>
      <c r="M282" s="3"/>
      <c r="N282" s="3"/>
      <c r="O282" s="3"/>
    </row>
    <row r="283" spans="1:15" x14ac:dyDescent="0.15">
      <c r="A283" s="3">
        <v>297</v>
      </c>
      <c r="B283" s="3" t="s">
        <v>914</v>
      </c>
      <c r="M283" s="3"/>
      <c r="N283" s="3"/>
      <c r="O283" s="3"/>
    </row>
    <row r="284" spans="1:15" x14ac:dyDescent="0.15">
      <c r="A284" s="3">
        <v>298</v>
      </c>
      <c r="B284" s="3" t="s">
        <v>915</v>
      </c>
      <c r="M284" s="3"/>
      <c r="N284" s="3"/>
      <c r="O284" s="3"/>
    </row>
    <row r="285" spans="1:15" x14ac:dyDescent="0.15">
      <c r="A285" s="3">
        <v>299</v>
      </c>
      <c r="B285" s="3" t="s">
        <v>916</v>
      </c>
      <c r="M285" s="3"/>
      <c r="N285" s="3"/>
      <c r="O285" s="3"/>
    </row>
    <row r="286" spans="1:15" x14ac:dyDescent="0.15">
      <c r="A286" s="3">
        <v>300</v>
      </c>
      <c r="B286" s="3" t="s">
        <v>917</v>
      </c>
      <c r="M286" s="3"/>
      <c r="N286" s="3"/>
      <c r="O286" s="3"/>
    </row>
    <row r="287" spans="1:15" x14ac:dyDescent="0.15">
      <c r="A287" s="3">
        <v>301</v>
      </c>
      <c r="B287" s="3" t="s">
        <v>918</v>
      </c>
      <c r="M287" s="3"/>
      <c r="N287" s="3"/>
      <c r="O287" s="3"/>
    </row>
    <row r="288" spans="1:15" x14ac:dyDescent="0.15">
      <c r="A288" s="3">
        <v>302</v>
      </c>
      <c r="B288" s="3" t="s">
        <v>260</v>
      </c>
      <c r="M288" s="3"/>
      <c r="N288" s="3"/>
      <c r="O288" s="3"/>
    </row>
    <row r="289" spans="1:15" x14ac:dyDescent="0.15">
      <c r="A289" s="3">
        <v>303</v>
      </c>
      <c r="B289" s="3" t="s">
        <v>919</v>
      </c>
      <c r="M289" s="3"/>
      <c r="N289" s="3"/>
      <c r="O289" s="3"/>
    </row>
    <row r="290" spans="1:15" x14ac:dyDescent="0.15">
      <c r="A290" s="3">
        <v>304</v>
      </c>
      <c r="B290" s="3" t="s">
        <v>920</v>
      </c>
      <c r="M290" s="3"/>
      <c r="N290" s="3"/>
      <c r="O290" s="3"/>
    </row>
    <row r="291" spans="1:15" x14ac:dyDescent="0.15">
      <c r="A291" s="3">
        <v>305</v>
      </c>
      <c r="B291" s="3" t="s">
        <v>921</v>
      </c>
      <c r="M291" s="3"/>
      <c r="N291" s="3"/>
      <c r="O291" s="3"/>
    </row>
    <row r="292" spans="1:15" x14ac:dyDescent="0.15">
      <c r="A292" s="3">
        <v>306</v>
      </c>
      <c r="B292" s="3" t="s">
        <v>922</v>
      </c>
      <c r="M292" s="3"/>
      <c r="N292" s="3"/>
      <c r="O292" s="3"/>
    </row>
    <row r="293" spans="1:15" x14ac:dyDescent="0.15">
      <c r="A293" s="3">
        <v>307</v>
      </c>
      <c r="B293" s="3" t="s">
        <v>923</v>
      </c>
      <c r="M293" s="3"/>
      <c r="N293" s="3"/>
      <c r="O293" s="3"/>
    </row>
    <row r="294" spans="1:15" x14ac:dyDescent="0.15">
      <c r="A294" s="3">
        <v>308</v>
      </c>
      <c r="B294" s="3" t="s">
        <v>924</v>
      </c>
      <c r="M294" s="3"/>
      <c r="N294" s="3"/>
      <c r="O294" s="3"/>
    </row>
    <row r="295" spans="1:15" x14ac:dyDescent="0.15">
      <c r="A295" s="3">
        <v>309</v>
      </c>
      <c r="B295" s="3" t="s">
        <v>925</v>
      </c>
      <c r="M295" s="3"/>
      <c r="N295" s="3"/>
      <c r="O295" s="3"/>
    </row>
    <row r="296" spans="1:15" x14ac:dyDescent="0.15">
      <c r="A296" s="3">
        <v>310</v>
      </c>
      <c r="B296" s="3" t="s">
        <v>926</v>
      </c>
      <c r="M296" s="3"/>
      <c r="N296" s="3"/>
      <c r="O296" s="3"/>
    </row>
    <row r="297" spans="1:15" x14ac:dyDescent="0.15">
      <c r="A297" s="3">
        <v>311</v>
      </c>
      <c r="B297" s="3" t="s">
        <v>927</v>
      </c>
      <c r="M297" s="3"/>
      <c r="N297" s="3"/>
      <c r="O297" s="3"/>
    </row>
    <row r="298" spans="1:15" x14ac:dyDescent="0.15">
      <c r="A298" s="3">
        <v>312</v>
      </c>
      <c r="B298" s="3" t="s">
        <v>928</v>
      </c>
      <c r="M298" s="3"/>
      <c r="N298" s="3"/>
      <c r="O298" s="3"/>
    </row>
    <row r="299" spans="1:15" x14ac:dyDescent="0.15">
      <c r="A299" s="3">
        <v>313</v>
      </c>
      <c r="B299" s="3" t="s">
        <v>929</v>
      </c>
      <c r="M299" s="3"/>
      <c r="N299" s="3"/>
      <c r="O299" s="3"/>
    </row>
    <row r="300" spans="1:15" x14ac:dyDescent="0.15">
      <c r="A300" s="3">
        <v>314</v>
      </c>
      <c r="B300" s="3" t="s">
        <v>930</v>
      </c>
      <c r="M300" s="3"/>
      <c r="N300" s="3"/>
      <c r="O300" s="3"/>
    </row>
    <row r="301" spans="1:15" x14ac:dyDescent="0.15">
      <c r="A301" s="3">
        <v>315</v>
      </c>
      <c r="B301" s="3" t="s">
        <v>931</v>
      </c>
      <c r="M301" s="3"/>
      <c r="N301" s="3"/>
      <c r="O301" s="3"/>
    </row>
    <row r="302" spans="1:15" x14ac:dyDescent="0.15">
      <c r="A302" s="3">
        <v>316</v>
      </c>
      <c r="B302" s="3" t="s">
        <v>932</v>
      </c>
      <c r="M302" s="3"/>
      <c r="N302" s="3"/>
      <c r="O302" s="3"/>
    </row>
    <row r="303" spans="1:15" x14ac:dyDescent="0.15">
      <c r="A303" s="3">
        <v>317</v>
      </c>
      <c r="B303" s="3" t="s">
        <v>933</v>
      </c>
      <c r="M303" s="3"/>
      <c r="N303" s="3"/>
      <c r="O303" s="3"/>
    </row>
    <row r="304" spans="1:15" x14ac:dyDescent="0.15">
      <c r="A304" s="3">
        <v>318</v>
      </c>
      <c r="B304" s="3" t="s">
        <v>934</v>
      </c>
      <c r="M304" s="3"/>
      <c r="N304" s="3"/>
      <c r="O304" s="3"/>
    </row>
    <row r="305" spans="1:15" x14ac:dyDescent="0.15">
      <c r="A305" s="3">
        <v>321</v>
      </c>
      <c r="B305" s="3" t="s">
        <v>935</v>
      </c>
      <c r="M305" s="3"/>
      <c r="N305" s="3"/>
      <c r="O305" s="3"/>
    </row>
    <row r="306" spans="1:15" x14ac:dyDescent="0.15">
      <c r="A306" s="3">
        <v>322</v>
      </c>
      <c r="B306" s="3" t="s">
        <v>936</v>
      </c>
      <c r="M306" s="3"/>
      <c r="N306" s="3"/>
      <c r="O306" s="3"/>
    </row>
    <row r="307" spans="1:15" x14ac:dyDescent="0.15">
      <c r="A307" s="3">
        <v>323</v>
      </c>
      <c r="B307" s="3" t="s">
        <v>937</v>
      </c>
      <c r="M307" s="3"/>
      <c r="N307" s="3"/>
      <c r="O307" s="3"/>
    </row>
    <row r="308" spans="1:15" x14ac:dyDescent="0.15">
      <c r="A308" s="3">
        <v>324</v>
      </c>
      <c r="B308" s="3" t="s">
        <v>938</v>
      </c>
      <c r="M308" s="3"/>
      <c r="N308" s="3"/>
      <c r="O308" s="3"/>
    </row>
    <row r="309" spans="1:15" x14ac:dyDescent="0.15">
      <c r="A309" s="3">
        <v>325</v>
      </c>
      <c r="B309" s="3" t="s">
        <v>939</v>
      </c>
      <c r="M309" s="3"/>
      <c r="N309" s="3"/>
      <c r="O309" s="3"/>
    </row>
    <row r="310" spans="1:15" x14ac:dyDescent="0.15">
      <c r="A310" s="3">
        <v>330</v>
      </c>
      <c r="B310" s="3" t="s">
        <v>261</v>
      </c>
      <c r="M310" s="3"/>
      <c r="N310" s="3"/>
      <c r="O310" s="3"/>
    </row>
    <row r="311" spans="1:15" x14ac:dyDescent="0.15">
      <c r="A311" s="3">
        <v>331</v>
      </c>
      <c r="B311" s="3" t="s">
        <v>940</v>
      </c>
      <c r="M311" s="3"/>
      <c r="N311" s="3"/>
      <c r="O311" s="3"/>
    </row>
    <row r="312" spans="1:15" x14ac:dyDescent="0.15">
      <c r="A312" s="3">
        <v>332</v>
      </c>
      <c r="B312" s="3" t="s">
        <v>941</v>
      </c>
      <c r="M312" s="3"/>
      <c r="N312" s="3"/>
      <c r="O312" s="3"/>
    </row>
    <row r="313" spans="1:15" x14ac:dyDescent="0.15">
      <c r="A313" s="3">
        <v>333</v>
      </c>
      <c r="B313" s="3" t="s">
        <v>942</v>
      </c>
      <c r="M313" s="3"/>
      <c r="N313" s="3"/>
      <c r="O313" s="3"/>
    </row>
    <row r="314" spans="1:15" x14ac:dyDescent="0.15">
      <c r="A314" s="3">
        <v>334</v>
      </c>
      <c r="B314" s="3" t="s">
        <v>262</v>
      </c>
      <c r="M314" s="3"/>
      <c r="N314" s="3"/>
      <c r="O314" s="3"/>
    </row>
    <row r="315" spans="1:15" x14ac:dyDescent="0.15">
      <c r="A315" s="3">
        <v>337</v>
      </c>
      <c r="B315" s="3" t="s">
        <v>943</v>
      </c>
      <c r="M315" s="3"/>
      <c r="N315" s="3"/>
      <c r="O315" s="3"/>
    </row>
    <row r="316" spans="1:15" x14ac:dyDescent="0.15">
      <c r="A316" s="3">
        <v>338</v>
      </c>
      <c r="B316" s="3" t="s">
        <v>944</v>
      </c>
      <c r="M316" s="3"/>
      <c r="N316" s="3"/>
      <c r="O316" s="3"/>
    </row>
    <row r="317" spans="1:15" x14ac:dyDescent="0.15">
      <c r="A317" s="3">
        <v>339</v>
      </c>
      <c r="B317" s="3" t="s">
        <v>945</v>
      </c>
      <c r="M317" s="3"/>
      <c r="N317" s="3"/>
      <c r="O317" s="3"/>
    </row>
    <row r="318" spans="1:15" x14ac:dyDescent="0.15">
      <c r="A318" s="3">
        <v>340</v>
      </c>
      <c r="B318" s="3" t="s">
        <v>946</v>
      </c>
      <c r="M318" s="3"/>
      <c r="N318" s="3"/>
      <c r="O318" s="3"/>
    </row>
    <row r="319" spans="1:15" x14ac:dyDescent="0.15">
      <c r="A319" s="3">
        <v>341</v>
      </c>
      <c r="B319" s="3" t="s">
        <v>947</v>
      </c>
      <c r="M319" s="3"/>
      <c r="N319" s="3"/>
      <c r="O319" s="3"/>
    </row>
    <row r="320" spans="1:15" x14ac:dyDescent="0.15">
      <c r="A320" s="3">
        <v>342</v>
      </c>
      <c r="B320" s="3" t="s">
        <v>948</v>
      </c>
      <c r="M320" s="3"/>
      <c r="N320" s="3"/>
      <c r="O320" s="3"/>
    </row>
    <row r="321" spans="1:15" x14ac:dyDescent="0.15">
      <c r="A321" s="3">
        <v>343</v>
      </c>
      <c r="B321" s="3" t="s">
        <v>949</v>
      </c>
      <c r="M321" s="3"/>
      <c r="N321" s="3"/>
      <c r="O321" s="3"/>
    </row>
    <row r="322" spans="1:15" x14ac:dyDescent="0.15">
      <c r="A322" s="3">
        <v>344</v>
      </c>
      <c r="B322" s="3" t="s">
        <v>950</v>
      </c>
      <c r="M322" s="3"/>
      <c r="N322" s="3"/>
      <c r="O322" s="3"/>
    </row>
    <row r="323" spans="1:15" x14ac:dyDescent="0.15">
      <c r="A323" s="3">
        <v>347</v>
      </c>
      <c r="B323" s="3" t="s">
        <v>951</v>
      </c>
      <c r="M323" s="3"/>
      <c r="N323" s="3"/>
      <c r="O323" s="3"/>
    </row>
    <row r="324" spans="1:15" x14ac:dyDescent="0.15">
      <c r="A324" s="3">
        <v>348</v>
      </c>
      <c r="B324" s="3" t="s">
        <v>952</v>
      </c>
      <c r="M324" s="3"/>
      <c r="N324" s="3"/>
      <c r="O324" s="3"/>
    </row>
    <row r="325" spans="1:15" x14ac:dyDescent="0.15">
      <c r="A325" s="3">
        <v>349</v>
      </c>
      <c r="B325" s="3" t="s">
        <v>953</v>
      </c>
      <c r="M325" s="3"/>
      <c r="N325" s="3"/>
      <c r="O325" s="3"/>
    </row>
    <row r="326" spans="1:15" x14ac:dyDescent="0.15">
      <c r="A326" s="3">
        <v>350</v>
      </c>
      <c r="B326" s="3" t="s">
        <v>954</v>
      </c>
      <c r="M326" s="3"/>
      <c r="N326" s="3"/>
      <c r="O326" s="3"/>
    </row>
    <row r="327" spans="1:15" x14ac:dyDescent="0.15">
      <c r="A327" s="3">
        <v>354</v>
      </c>
      <c r="B327" s="3" t="s">
        <v>955</v>
      </c>
      <c r="M327" s="3"/>
      <c r="N327" s="3"/>
      <c r="O327" s="3"/>
    </row>
    <row r="328" spans="1:15" x14ac:dyDescent="0.15">
      <c r="A328" s="3">
        <v>355</v>
      </c>
      <c r="B328" s="3" t="s">
        <v>956</v>
      </c>
      <c r="M328" s="3"/>
      <c r="N328" s="3"/>
      <c r="O328" s="3"/>
    </row>
    <row r="329" spans="1:15" x14ac:dyDescent="0.15">
      <c r="A329" s="3">
        <v>356</v>
      </c>
      <c r="B329" s="3" t="s">
        <v>957</v>
      </c>
      <c r="M329" s="3"/>
      <c r="N329" s="3"/>
      <c r="O329" s="3"/>
    </row>
    <row r="330" spans="1:15" x14ac:dyDescent="0.15">
      <c r="A330" s="3">
        <v>357</v>
      </c>
      <c r="B330" s="3" t="s">
        <v>958</v>
      </c>
      <c r="M330" s="3"/>
      <c r="N330" s="3"/>
      <c r="O330" s="3"/>
    </row>
    <row r="331" spans="1:15" x14ac:dyDescent="0.15">
      <c r="A331" s="3">
        <v>358</v>
      </c>
      <c r="B331" s="3" t="s">
        <v>959</v>
      </c>
      <c r="M331" s="3"/>
      <c r="N331" s="3"/>
      <c r="O331" s="3"/>
    </row>
    <row r="332" spans="1:15" x14ac:dyDescent="0.15">
      <c r="A332" s="3">
        <v>359</v>
      </c>
      <c r="B332" s="3" t="s">
        <v>960</v>
      </c>
      <c r="M332" s="3"/>
      <c r="N332" s="3"/>
      <c r="O332" s="3"/>
    </row>
    <row r="333" spans="1:15" x14ac:dyDescent="0.15">
      <c r="A333" s="3">
        <v>360</v>
      </c>
      <c r="B333" s="3" t="s">
        <v>961</v>
      </c>
      <c r="M333" s="3"/>
      <c r="N333" s="3"/>
      <c r="O333" s="3"/>
    </row>
    <row r="334" spans="1:15" x14ac:dyDescent="0.15">
      <c r="A334" s="3">
        <v>361</v>
      </c>
      <c r="B334" s="3" t="s">
        <v>962</v>
      </c>
      <c r="M334" s="3"/>
      <c r="N334" s="3"/>
      <c r="O334" s="3"/>
    </row>
    <row r="335" spans="1:15" x14ac:dyDescent="0.15">
      <c r="A335" s="3">
        <v>362</v>
      </c>
      <c r="B335" s="3" t="s">
        <v>963</v>
      </c>
    </row>
    <row r="336" spans="1:15" x14ac:dyDescent="0.15">
      <c r="A336" s="3">
        <v>364</v>
      </c>
      <c r="B336" s="3" t="s">
        <v>964</v>
      </c>
    </row>
    <row r="337" spans="1:2" x14ac:dyDescent="0.15">
      <c r="A337" s="3">
        <v>365</v>
      </c>
      <c r="B337" s="3" t="s">
        <v>965</v>
      </c>
    </row>
    <row r="338" spans="1:2" x14ac:dyDescent="0.15">
      <c r="A338" s="3">
        <v>366</v>
      </c>
      <c r="B338" s="3" t="s">
        <v>966</v>
      </c>
    </row>
    <row r="339" spans="1:2" x14ac:dyDescent="0.15">
      <c r="A339" s="3">
        <v>368</v>
      </c>
      <c r="B339" s="3" t="s">
        <v>967</v>
      </c>
    </row>
    <row r="340" spans="1:2" x14ac:dyDescent="0.15">
      <c r="A340" s="3">
        <v>369</v>
      </c>
      <c r="B340" s="3" t="s">
        <v>968</v>
      </c>
    </row>
    <row r="341" spans="1:2" x14ac:dyDescent="0.15">
      <c r="A341" s="3">
        <v>370</v>
      </c>
      <c r="B341" s="3" t="s">
        <v>969</v>
      </c>
    </row>
    <row r="342" spans="1:2" x14ac:dyDescent="0.15">
      <c r="A342" s="3">
        <v>406</v>
      </c>
      <c r="B342" s="3" t="s">
        <v>970</v>
      </c>
    </row>
    <row r="343" spans="1:2" x14ac:dyDescent="0.15">
      <c r="A343" s="3">
        <v>407</v>
      </c>
      <c r="B343" s="3" t="s">
        <v>971</v>
      </c>
    </row>
    <row r="344" spans="1:2" x14ac:dyDescent="0.15">
      <c r="A344" s="3">
        <v>410</v>
      </c>
      <c r="B344" s="3" t="s">
        <v>972</v>
      </c>
    </row>
    <row r="345" spans="1:2" x14ac:dyDescent="0.15">
      <c r="A345" s="3">
        <v>411</v>
      </c>
      <c r="B345" s="3" t="s">
        <v>264</v>
      </c>
    </row>
    <row r="346" spans="1:2" x14ac:dyDescent="0.15">
      <c r="A346" s="3">
        <v>412</v>
      </c>
      <c r="B346" s="3" t="s">
        <v>973</v>
      </c>
    </row>
    <row r="347" spans="1:2" x14ac:dyDescent="0.15">
      <c r="A347" s="3">
        <v>413</v>
      </c>
      <c r="B347" s="3" t="s">
        <v>974</v>
      </c>
    </row>
    <row r="348" spans="1:2" x14ac:dyDescent="0.15">
      <c r="A348" s="3">
        <v>414</v>
      </c>
      <c r="B348" s="3" t="s">
        <v>975</v>
      </c>
    </row>
    <row r="349" spans="1:2" x14ac:dyDescent="0.15">
      <c r="A349" s="3">
        <v>415</v>
      </c>
      <c r="B349" s="3" t="s">
        <v>976</v>
      </c>
    </row>
    <row r="350" spans="1:2" x14ac:dyDescent="0.15">
      <c r="A350" s="3">
        <v>417</v>
      </c>
      <c r="B350" s="3" t="s">
        <v>977</v>
      </c>
    </row>
    <row r="351" spans="1:2" x14ac:dyDescent="0.15">
      <c r="A351" s="3">
        <v>418</v>
      </c>
      <c r="B351" s="3" t="s">
        <v>978</v>
      </c>
    </row>
    <row r="352" spans="1:2" x14ac:dyDescent="0.15">
      <c r="A352" s="3">
        <v>419</v>
      </c>
      <c r="B352" s="3" t="s">
        <v>979</v>
      </c>
    </row>
    <row r="353" spans="1:2" x14ac:dyDescent="0.15">
      <c r="A353" s="3">
        <v>420</v>
      </c>
      <c r="B353" s="3" t="s">
        <v>980</v>
      </c>
    </row>
    <row r="354" spans="1:2" x14ac:dyDescent="0.15">
      <c r="A354" s="3">
        <v>421</v>
      </c>
      <c r="B354" s="3" t="s">
        <v>981</v>
      </c>
    </row>
    <row r="355" spans="1:2" x14ac:dyDescent="0.15">
      <c r="A355" s="3">
        <v>422</v>
      </c>
      <c r="B355" s="3" t="s">
        <v>982</v>
      </c>
    </row>
    <row r="356" spans="1:2" x14ac:dyDescent="0.15">
      <c r="A356" s="3">
        <v>423</v>
      </c>
      <c r="B356" s="3" t="s">
        <v>983</v>
      </c>
    </row>
    <row r="357" spans="1:2" x14ac:dyDescent="0.15">
      <c r="A357" s="3">
        <v>424</v>
      </c>
      <c r="B357" s="3" t="s">
        <v>984</v>
      </c>
    </row>
    <row r="358" spans="1:2" x14ac:dyDescent="0.15">
      <c r="A358" s="3">
        <v>425</v>
      </c>
      <c r="B358" s="3" t="s">
        <v>985</v>
      </c>
    </row>
    <row r="359" spans="1:2" x14ac:dyDescent="0.15">
      <c r="A359" s="3">
        <v>426</v>
      </c>
      <c r="B359" s="3" t="s">
        <v>986</v>
      </c>
    </row>
    <row r="360" spans="1:2" x14ac:dyDescent="0.15">
      <c r="A360" s="3">
        <v>427</v>
      </c>
      <c r="B360" s="3" t="s">
        <v>987</v>
      </c>
    </row>
    <row r="361" spans="1:2" x14ac:dyDescent="0.15">
      <c r="A361" s="3">
        <v>428</v>
      </c>
      <c r="B361" s="3" t="s">
        <v>988</v>
      </c>
    </row>
    <row r="362" spans="1:2" x14ac:dyDescent="0.15">
      <c r="A362" s="3">
        <v>431</v>
      </c>
      <c r="B362" s="3" t="s">
        <v>989</v>
      </c>
    </row>
    <row r="363" spans="1:2" x14ac:dyDescent="0.15">
      <c r="A363" s="3">
        <v>432</v>
      </c>
      <c r="B363" s="3" t="s">
        <v>990</v>
      </c>
    </row>
    <row r="364" spans="1:2" x14ac:dyDescent="0.15">
      <c r="A364" s="3">
        <v>433</v>
      </c>
      <c r="B364" s="3" t="s">
        <v>991</v>
      </c>
    </row>
    <row r="365" spans="1:2" x14ac:dyDescent="0.15">
      <c r="A365" s="3">
        <v>434</v>
      </c>
      <c r="B365" s="3" t="s">
        <v>992</v>
      </c>
    </row>
    <row r="366" spans="1:2" x14ac:dyDescent="0.15">
      <c r="A366" s="3">
        <v>435</v>
      </c>
      <c r="B366" s="3" t="s">
        <v>993</v>
      </c>
    </row>
    <row r="367" spans="1:2" x14ac:dyDescent="0.15">
      <c r="A367" s="3">
        <v>436</v>
      </c>
      <c r="B367" s="3" t="s">
        <v>994</v>
      </c>
    </row>
    <row r="368" spans="1:2" x14ac:dyDescent="0.15">
      <c r="A368" s="3">
        <v>437</v>
      </c>
      <c r="B368" s="3" t="s">
        <v>995</v>
      </c>
    </row>
    <row r="369" spans="1:2" x14ac:dyDescent="0.15">
      <c r="A369" s="3">
        <v>438</v>
      </c>
      <c r="B369" s="3" t="s">
        <v>996</v>
      </c>
    </row>
    <row r="370" spans="1:2" x14ac:dyDescent="0.15">
      <c r="A370" s="3">
        <v>439</v>
      </c>
      <c r="B370" s="3" t="s">
        <v>997</v>
      </c>
    </row>
    <row r="371" spans="1:2" x14ac:dyDescent="0.15">
      <c r="A371" s="3">
        <v>440</v>
      </c>
      <c r="B371" s="3" t="s">
        <v>998</v>
      </c>
    </row>
    <row r="372" spans="1:2" x14ac:dyDescent="0.15">
      <c r="A372" s="3">
        <v>441</v>
      </c>
      <c r="B372" s="3" t="s">
        <v>999</v>
      </c>
    </row>
    <row r="373" spans="1:2" x14ac:dyDescent="0.15">
      <c r="A373" s="3">
        <v>442</v>
      </c>
      <c r="B373" s="3" t="s">
        <v>1000</v>
      </c>
    </row>
    <row r="374" spans="1:2" x14ac:dyDescent="0.15">
      <c r="A374" s="3">
        <v>443</v>
      </c>
      <c r="B374" s="3" t="s">
        <v>1001</v>
      </c>
    </row>
    <row r="375" spans="1:2" x14ac:dyDescent="0.15">
      <c r="A375" s="3">
        <v>444</v>
      </c>
      <c r="B375" s="3" t="s">
        <v>1002</v>
      </c>
    </row>
    <row r="376" spans="1:2" x14ac:dyDescent="0.15">
      <c r="A376" s="3">
        <v>445</v>
      </c>
      <c r="B376" s="3" t="s">
        <v>1003</v>
      </c>
    </row>
    <row r="377" spans="1:2" x14ac:dyDescent="0.15">
      <c r="A377" s="3">
        <v>446</v>
      </c>
      <c r="B377" s="3" t="s">
        <v>798</v>
      </c>
    </row>
    <row r="378" spans="1:2" x14ac:dyDescent="0.15">
      <c r="A378" s="3">
        <v>447</v>
      </c>
      <c r="B378" s="3" t="s">
        <v>1004</v>
      </c>
    </row>
    <row r="379" spans="1:2" x14ac:dyDescent="0.15">
      <c r="A379" s="3">
        <v>448</v>
      </c>
      <c r="B379" s="3" t="s">
        <v>1005</v>
      </c>
    </row>
    <row r="380" spans="1:2" x14ac:dyDescent="0.15">
      <c r="A380" s="3">
        <v>450</v>
      </c>
      <c r="B380" s="3" t="s">
        <v>1006</v>
      </c>
    </row>
    <row r="381" spans="1:2" x14ac:dyDescent="0.15">
      <c r="A381" s="3">
        <v>451</v>
      </c>
      <c r="B381" s="3" t="s">
        <v>265</v>
      </c>
    </row>
    <row r="382" spans="1:2" x14ac:dyDescent="0.15">
      <c r="A382" s="3">
        <v>452</v>
      </c>
      <c r="B382" s="3" t="s">
        <v>1007</v>
      </c>
    </row>
    <row r="383" spans="1:2" x14ac:dyDescent="0.15">
      <c r="A383" s="3">
        <v>453</v>
      </c>
      <c r="B383" s="3" t="s">
        <v>1008</v>
      </c>
    </row>
    <row r="384" spans="1:2" x14ac:dyDescent="0.15">
      <c r="A384" s="3">
        <v>454</v>
      </c>
      <c r="B384" s="3" t="s">
        <v>1009</v>
      </c>
    </row>
    <row r="385" spans="1:2" x14ac:dyDescent="0.15">
      <c r="A385" s="3">
        <v>455</v>
      </c>
      <c r="B385" s="3" t="s">
        <v>1010</v>
      </c>
    </row>
    <row r="386" spans="1:2" x14ac:dyDescent="0.15">
      <c r="A386" s="3">
        <v>457</v>
      </c>
      <c r="B386" s="3" t="s">
        <v>1011</v>
      </c>
    </row>
    <row r="387" spans="1:2" x14ac:dyDescent="0.15">
      <c r="A387" s="3">
        <v>458</v>
      </c>
      <c r="B387" s="3" t="s">
        <v>1012</v>
      </c>
    </row>
    <row r="388" spans="1:2" x14ac:dyDescent="0.15">
      <c r="A388" s="3">
        <v>459</v>
      </c>
      <c r="B388" s="3" t="s">
        <v>1013</v>
      </c>
    </row>
    <row r="389" spans="1:2" x14ac:dyDescent="0.15">
      <c r="A389" s="3">
        <v>460</v>
      </c>
      <c r="B389" s="3" t="s">
        <v>1014</v>
      </c>
    </row>
    <row r="390" spans="1:2" x14ac:dyDescent="0.15">
      <c r="A390" s="3">
        <v>461</v>
      </c>
      <c r="B390" s="3" t="s">
        <v>1015</v>
      </c>
    </row>
    <row r="391" spans="1:2" x14ac:dyDescent="0.15">
      <c r="A391" s="3">
        <v>462</v>
      </c>
      <c r="B391" s="3" t="s">
        <v>1016</v>
      </c>
    </row>
    <row r="392" spans="1:2" x14ac:dyDescent="0.15">
      <c r="A392" s="3">
        <v>463</v>
      </c>
      <c r="B392" s="3" t="s">
        <v>1017</v>
      </c>
    </row>
    <row r="393" spans="1:2" x14ac:dyDescent="0.15">
      <c r="A393" s="3">
        <v>464</v>
      </c>
      <c r="B393" s="3" t="s">
        <v>1018</v>
      </c>
    </row>
    <row r="394" spans="1:2" x14ac:dyDescent="0.15">
      <c r="A394" s="3">
        <v>465</v>
      </c>
      <c r="B394" s="3" t="s">
        <v>1019</v>
      </c>
    </row>
    <row r="395" spans="1:2" x14ac:dyDescent="0.15">
      <c r="A395" s="3">
        <v>466</v>
      </c>
      <c r="B395" s="3" t="s">
        <v>1020</v>
      </c>
    </row>
    <row r="396" spans="1:2" x14ac:dyDescent="0.15">
      <c r="A396" s="3">
        <v>467</v>
      </c>
      <c r="B396" s="3" t="s">
        <v>1021</v>
      </c>
    </row>
    <row r="397" spans="1:2" x14ac:dyDescent="0.15">
      <c r="A397" s="3">
        <v>468</v>
      </c>
      <c r="B397" s="3" t="s">
        <v>1022</v>
      </c>
    </row>
    <row r="398" spans="1:2" x14ac:dyDescent="0.15">
      <c r="A398" s="3">
        <v>469</v>
      </c>
      <c r="B398" s="3" t="s">
        <v>1023</v>
      </c>
    </row>
    <row r="399" spans="1:2" x14ac:dyDescent="0.15">
      <c r="A399" s="3">
        <v>470</v>
      </c>
      <c r="B399" s="3" t="s">
        <v>1024</v>
      </c>
    </row>
    <row r="400" spans="1:2" x14ac:dyDescent="0.15">
      <c r="A400" s="3">
        <v>471</v>
      </c>
      <c r="B400" s="3" t="s">
        <v>1025</v>
      </c>
    </row>
    <row r="401" spans="1:2" x14ac:dyDescent="0.15">
      <c r="A401" s="3">
        <v>473</v>
      </c>
      <c r="B401" s="3" t="s">
        <v>1026</v>
      </c>
    </row>
    <row r="402" spans="1:2" x14ac:dyDescent="0.15">
      <c r="A402" s="3">
        <v>474</v>
      </c>
      <c r="B402" s="3" t="s">
        <v>1027</v>
      </c>
    </row>
    <row r="403" spans="1:2" x14ac:dyDescent="0.15">
      <c r="A403" s="3">
        <v>475</v>
      </c>
      <c r="B403" s="3" t="s">
        <v>1028</v>
      </c>
    </row>
    <row r="404" spans="1:2" x14ac:dyDescent="0.15">
      <c r="A404" s="3">
        <v>476</v>
      </c>
      <c r="B404" s="3" t="s">
        <v>1029</v>
      </c>
    </row>
    <row r="405" spans="1:2" x14ac:dyDescent="0.15">
      <c r="A405" s="3">
        <v>477</v>
      </c>
      <c r="B405" s="3" t="s">
        <v>1030</v>
      </c>
    </row>
    <row r="406" spans="1:2" x14ac:dyDescent="0.15">
      <c r="A406" s="3">
        <v>478</v>
      </c>
      <c r="B406" s="3" t="s">
        <v>1031</v>
      </c>
    </row>
    <row r="407" spans="1:2" x14ac:dyDescent="0.15">
      <c r="A407" s="3">
        <v>479</v>
      </c>
      <c r="B407" s="3" t="s">
        <v>1032</v>
      </c>
    </row>
    <row r="408" spans="1:2" x14ac:dyDescent="0.15">
      <c r="A408" s="3">
        <v>480</v>
      </c>
      <c r="B408" s="3" t="s">
        <v>1033</v>
      </c>
    </row>
    <row r="409" spans="1:2" x14ac:dyDescent="0.15">
      <c r="A409" s="3">
        <v>481</v>
      </c>
      <c r="B409" s="3" t="s">
        <v>1034</v>
      </c>
    </row>
    <row r="410" spans="1:2" x14ac:dyDescent="0.15">
      <c r="A410" s="3">
        <v>482</v>
      </c>
      <c r="B410" s="3" t="s">
        <v>1035</v>
      </c>
    </row>
    <row r="411" spans="1:2" x14ac:dyDescent="0.15">
      <c r="A411" s="3">
        <v>483</v>
      </c>
      <c r="B411" s="3" t="s">
        <v>1036</v>
      </c>
    </row>
    <row r="412" spans="1:2" x14ac:dyDescent="0.15">
      <c r="A412" s="3">
        <v>484</v>
      </c>
      <c r="B412" s="3" t="s">
        <v>1037</v>
      </c>
    </row>
    <row r="413" spans="1:2" x14ac:dyDescent="0.15">
      <c r="A413" s="3">
        <v>486</v>
      </c>
      <c r="B413" s="3" t="s">
        <v>1038</v>
      </c>
    </row>
    <row r="414" spans="1:2" x14ac:dyDescent="0.15">
      <c r="A414" s="3">
        <v>487</v>
      </c>
      <c r="B414" s="3" t="s">
        <v>1039</v>
      </c>
    </row>
    <row r="415" spans="1:2" x14ac:dyDescent="0.15">
      <c r="A415" s="3">
        <v>488</v>
      </c>
      <c r="B415" s="3" t="s">
        <v>1040</v>
      </c>
    </row>
    <row r="416" spans="1:2" x14ac:dyDescent="0.15">
      <c r="A416" s="3">
        <v>489</v>
      </c>
      <c r="B416" s="3" t="s">
        <v>1041</v>
      </c>
    </row>
    <row r="417" spans="1:2" x14ac:dyDescent="0.15">
      <c r="A417" s="3">
        <v>490</v>
      </c>
      <c r="B417" s="3" t="s">
        <v>1042</v>
      </c>
    </row>
    <row r="418" spans="1:2" x14ac:dyDescent="0.15">
      <c r="A418" s="3">
        <v>491</v>
      </c>
      <c r="B418" s="3" t="s">
        <v>1043</v>
      </c>
    </row>
    <row r="419" spans="1:2" x14ac:dyDescent="0.15">
      <c r="A419" s="3">
        <v>492</v>
      </c>
      <c r="B419" s="3" t="s">
        <v>1044</v>
      </c>
    </row>
    <row r="420" spans="1:2" x14ac:dyDescent="0.15">
      <c r="A420" s="3">
        <v>493</v>
      </c>
      <c r="B420" s="3" t="s">
        <v>1045</v>
      </c>
    </row>
    <row r="421" spans="1:2" x14ac:dyDescent="0.15">
      <c r="A421" s="3">
        <v>494</v>
      </c>
      <c r="B421" s="3" t="s">
        <v>1046</v>
      </c>
    </row>
    <row r="422" spans="1:2" x14ac:dyDescent="0.15">
      <c r="A422" s="3">
        <v>495</v>
      </c>
      <c r="B422" s="3" t="s">
        <v>1047</v>
      </c>
    </row>
    <row r="423" spans="1:2" x14ac:dyDescent="0.15">
      <c r="A423" s="3">
        <v>496</v>
      </c>
      <c r="B423" s="3" t="s">
        <v>1048</v>
      </c>
    </row>
    <row r="424" spans="1:2" x14ac:dyDescent="0.15">
      <c r="A424" s="3">
        <v>497</v>
      </c>
      <c r="B424" s="3" t="s">
        <v>1049</v>
      </c>
    </row>
    <row r="425" spans="1:2" x14ac:dyDescent="0.15">
      <c r="A425" s="3">
        <v>498</v>
      </c>
      <c r="B425" s="3" t="s">
        <v>1050</v>
      </c>
    </row>
    <row r="426" spans="1:2" x14ac:dyDescent="0.15">
      <c r="A426" s="3">
        <v>499</v>
      </c>
      <c r="B426" s="3" t="s">
        <v>1051</v>
      </c>
    </row>
    <row r="427" spans="1:2" x14ac:dyDescent="0.15">
      <c r="A427" s="3">
        <v>500</v>
      </c>
      <c r="B427" s="3" t="s">
        <v>1052</v>
      </c>
    </row>
    <row r="428" spans="1:2" x14ac:dyDescent="0.15">
      <c r="A428" s="3">
        <v>501</v>
      </c>
      <c r="B428" s="3" t="s">
        <v>1053</v>
      </c>
    </row>
    <row r="429" spans="1:2" x14ac:dyDescent="0.15">
      <c r="A429" s="3">
        <v>502</v>
      </c>
      <c r="B429" s="3" t="s">
        <v>1054</v>
      </c>
    </row>
    <row r="430" spans="1:2" x14ac:dyDescent="0.15">
      <c r="A430" s="3">
        <v>503</v>
      </c>
      <c r="B430" s="3" t="s">
        <v>1055</v>
      </c>
    </row>
    <row r="431" spans="1:2" x14ac:dyDescent="0.15">
      <c r="A431" s="3">
        <v>504</v>
      </c>
      <c r="B431" s="3" t="s">
        <v>1056</v>
      </c>
    </row>
    <row r="432" spans="1:2" x14ac:dyDescent="0.15">
      <c r="A432" s="3">
        <v>505</v>
      </c>
      <c r="B432" s="3" t="s">
        <v>1057</v>
      </c>
    </row>
    <row r="433" spans="1:2" x14ac:dyDescent="0.15">
      <c r="A433" s="3">
        <v>506</v>
      </c>
      <c r="B433" s="3" t="s">
        <v>1058</v>
      </c>
    </row>
    <row r="434" spans="1:2" x14ac:dyDescent="0.15">
      <c r="A434" s="3">
        <v>507</v>
      </c>
      <c r="B434" s="3" t="s">
        <v>1059</v>
      </c>
    </row>
    <row r="435" spans="1:2" x14ac:dyDescent="0.15">
      <c r="A435" s="3">
        <v>508</v>
      </c>
      <c r="B435" s="3" t="s">
        <v>1060</v>
      </c>
    </row>
    <row r="436" spans="1:2" x14ac:dyDescent="0.15">
      <c r="A436" s="3">
        <v>509</v>
      </c>
      <c r="B436" s="3" t="s">
        <v>1061</v>
      </c>
    </row>
    <row r="437" spans="1:2" x14ac:dyDescent="0.15">
      <c r="A437" s="3">
        <v>510</v>
      </c>
      <c r="B437" s="3" t="s">
        <v>1062</v>
      </c>
    </row>
    <row r="438" spans="1:2" x14ac:dyDescent="0.15">
      <c r="A438" s="3">
        <v>511</v>
      </c>
      <c r="B438" s="3" t="s">
        <v>1063</v>
      </c>
    </row>
    <row r="439" spans="1:2" x14ac:dyDescent="0.15">
      <c r="A439" s="3">
        <v>512</v>
      </c>
      <c r="B439" s="3" t="s">
        <v>1064</v>
      </c>
    </row>
    <row r="440" spans="1:2" x14ac:dyDescent="0.15">
      <c r="A440" s="3">
        <v>513</v>
      </c>
      <c r="B440" s="3" t="s">
        <v>1021</v>
      </c>
    </row>
    <row r="441" spans="1:2" x14ac:dyDescent="0.15">
      <c r="A441" s="3">
        <v>514</v>
      </c>
      <c r="B441" s="3" t="s">
        <v>1065</v>
      </c>
    </row>
    <row r="442" spans="1:2" x14ac:dyDescent="0.15">
      <c r="A442" s="3">
        <v>515</v>
      </c>
      <c r="B442" s="3" t="s">
        <v>1066</v>
      </c>
    </row>
    <row r="443" spans="1:2" x14ac:dyDescent="0.15">
      <c r="A443" s="3">
        <v>516</v>
      </c>
      <c r="B443" s="3" t="s">
        <v>1067</v>
      </c>
    </row>
    <row r="444" spans="1:2" x14ac:dyDescent="0.15">
      <c r="A444" s="3">
        <v>517</v>
      </c>
      <c r="B444" s="3" t="s">
        <v>1068</v>
      </c>
    </row>
    <row r="445" spans="1:2" x14ac:dyDescent="0.15">
      <c r="A445" s="3">
        <v>518</v>
      </c>
      <c r="B445" s="3" t="s">
        <v>1069</v>
      </c>
    </row>
    <row r="446" spans="1:2" x14ac:dyDescent="0.15">
      <c r="A446" s="3">
        <v>519</v>
      </c>
      <c r="B446" s="3" t="s">
        <v>1070</v>
      </c>
    </row>
    <row r="447" spans="1:2" x14ac:dyDescent="0.15">
      <c r="A447" s="3">
        <v>520</v>
      </c>
      <c r="B447" s="3" t="s">
        <v>1071</v>
      </c>
    </row>
    <row r="448" spans="1:2" x14ac:dyDescent="0.15">
      <c r="A448" s="3">
        <v>521</v>
      </c>
      <c r="B448" s="3" t="s">
        <v>1072</v>
      </c>
    </row>
    <row r="449" spans="1:2" x14ac:dyDescent="0.15">
      <c r="A449" s="3">
        <v>522</v>
      </c>
      <c r="B449" s="3" t="s">
        <v>1073</v>
      </c>
    </row>
    <row r="450" spans="1:2" x14ac:dyDescent="0.15">
      <c r="A450" s="3">
        <v>523</v>
      </c>
      <c r="B450" s="3" t="s">
        <v>1074</v>
      </c>
    </row>
    <row r="451" spans="1:2" x14ac:dyDescent="0.15">
      <c r="A451" s="3">
        <v>524</v>
      </c>
      <c r="B451" s="3" t="s">
        <v>1075</v>
      </c>
    </row>
    <row r="452" spans="1:2" x14ac:dyDescent="0.15">
      <c r="A452" s="3">
        <v>525</v>
      </c>
      <c r="B452" s="3" t="s">
        <v>1076</v>
      </c>
    </row>
    <row r="453" spans="1:2" x14ac:dyDescent="0.15">
      <c r="A453" s="3">
        <v>526</v>
      </c>
      <c r="B453" s="3" t="s">
        <v>1077</v>
      </c>
    </row>
    <row r="454" spans="1:2" x14ac:dyDescent="0.15">
      <c r="A454" s="3">
        <v>527</v>
      </c>
      <c r="B454" s="3" t="s">
        <v>1078</v>
      </c>
    </row>
    <row r="455" spans="1:2" x14ac:dyDescent="0.15">
      <c r="A455" s="3">
        <v>528</v>
      </c>
      <c r="B455" s="3" t="s">
        <v>1079</v>
      </c>
    </row>
    <row r="456" spans="1:2" x14ac:dyDescent="0.15">
      <c r="A456" s="3">
        <v>529</v>
      </c>
      <c r="B456" s="3" t="s">
        <v>1080</v>
      </c>
    </row>
    <row r="457" spans="1:2" x14ac:dyDescent="0.15">
      <c r="A457" s="3">
        <v>530</v>
      </c>
      <c r="B457" s="3" t="s">
        <v>1081</v>
      </c>
    </row>
    <row r="458" spans="1:2" x14ac:dyDescent="0.15">
      <c r="A458" s="3">
        <v>531</v>
      </c>
      <c r="B458" s="3" t="s">
        <v>1082</v>
      </c>
    </row>
    <row r="459" spans="1:2" x14ac:dyDescent="0.15">
      <c r="A459" s="3">
        <v>532</v>
      </c>
      <c r="B459" s="3" t="s">
        <v>266</v>
      </c>
    </row>
    <row r="460" spans="1:2" x14ac:dyDescent="0.15">
      <c r="A460" s="3">
        <v>533</v>
      </c>
      <c r="B460" s="3" t="s">
        <v>1083</v>
      </c>
    </row>
    <row r="461" spans="1:2" x14ac:dyDescent="0.15">
      <c r="A461" s="3">
        <v>534</v>
      </c>
      <c r="B461" s="3" t="s">
        <v>1084</v>
      </c>
    </row>
    <row r="462" spans="1:2" x14ac:dyDescent="0.15">
      <c r="A462" s="3">
        <v>535</v>
      </c>
      <c r="B462" s="3" t="s">
        <v>1085</v>
      </c>
    </row>
    <row r="463" spans="1:2" x14ac:dyDescent="0.15">
      <c r="A463" s="3">
        <v>536</v>
      </c>
      <c r="B463" s="3" t="s">
        <v>1086</v>
      </c>
    </row>
    <row r="464" spans="1:2" x14ac:dyDescent="0.15">
      <c r="A464" s="3">
        <v>537</v>
      </c>
      <c r="B464" s="3" t="s">
        <v>1087</v>
      </c>
    </row>
    <row r="465" spans="1:2" x14ac:dyDescent="0.15">
      <c r="A465" s="3">
        <v>538</v>
      </c>
      <c r="B465" s="3" t="s">
        <v>1088</v>
      </c>
    </row>
    <row r="466" spans="1:2" x14ac:dyDescent="0.15">
      <c r="A466" s="3">
        <v>539</v>
      </c>
      <c r="B466" s="3" t="s">
        <v>1089</v>
      </c>
    </row>
    <row r="467" spans="1:2" x14ac:dyDescent="0.15">
      <c r="A467" s="3">
        <v>540</v>
      </c>
      <c r="B467" s="3" t="s">
        <v>1090</v>
      </c>
    </row>
    <row r="468" spans="1:2" x14ac:dyDescent="0.15">
      <c r="A468" s="3">
        <v>541</v>
      </c>
      <c r="B468" s="3" t="s">
        <v>1091</v>
      </c>
    </row>
    <row r="469" spans="1:2" x14ac:dyDescent="0.15">
      <c r="A469" s="3">
        <v>542</v>
      </c>
      <c r="B469" s="3" t="s">
        <v>1092</v>
      </c>
    </row>
    <row r="470" spans="1:2" x14ac:dyDescent="0.15">
      <c r="A470" s="3">
        <v>543</v>
      </c>
      <c r="B470" s="3" t="s">
        <v>1093</v>
      </c>
    </row>
    <row r="471" spans="1:2" x14ac:dyDescent="0.15">
      <c r="A471" s="3">
        <v>544</v>
      </c>
      <c r="B471" s="3" t="s">
        <v>1094</v>
      </c>
    </row>
    <row r="472" spans="1:2" x14ac:dyDescent="0.15">
      <c r="A472" s="3">
        <v>545</v>
      </c>
      <c r="B472" s="3" t="s">
        <v>1095</v>
      </c>
    </row>
    <row r="473" spans="1:2" x14ac:dyDescent="0.15">
      <c r="A473" s="3">
        <v>546</v>
      </c>
      <c r="B473" s="3" t="s">
        <v>1096</v>
      </c>
    </row>
    <row r="474" spans="1:2" x14ac:dyDescent="0.15">
      <c r="A474" s="3">
        <v>547</v>
      </c>
      <c r="B474" s="3" t="s">
        <v>1097</v>
      </c>
    </row>
    <row r="475" spans="1:2" x14ac:dyDescent="0.15">
      <c r="A475" s="3">
        <v>548</v>
      </c>
      <c r="B475" s="3" t="s">
        <v>1098</v>
      </c>
    </row>
    <row r="476" spans="1:2" x14ac:dyDescent="0.15">
      <c r="A476" s="3">
        <v>549</v>
      </c>
      <c r="B476" s="3" t="s">
        <v>1099</v>
      </c>
    </row>
    <row r="477" spans="1:2" x14ac:dyDescent="0.15">
      <c r="A477" s="3">
        <v>550</v>
      </c>
      <c r="B477" s="3" t="s">
        <v>1100</v>
      </c>
    </row>
    <row r="478" spans="1:2" x14ac:dyDescent="0.15">
      <c r="A478" s="3">
        <v>551</v>
      </c>
      <c r="B478" s="3" t="s">
        <v>1101</v>
      </c>
    </row>
    <row r="479" spans="1:2" x14ac:dyDescent="0.15">
      <c r="A479" s="3">
        <v>552</v>
      </c>
      <c r="B479" s="3" t="s">
        <v>1102</v>
      </c>
    </row>
    <row r="480" spans="1:2" x14ac:dyDescent="0.15">
      <c r="A480" s="3">
        <v>559</v>
      </c>
      <c r="B480" s="3" t="s">
        <v>1103</v>
      </c>
    </row>
    <row r="481" spans="1:2" x14ac:dyDescent="0.15">
      <c r="A481" s="3">
        <v>560</v>
      </c>
      <c r="B481" s="3" t="s">
        <v>1104</v>
      </c>
    </row>
    <row r="482" spans="1:2" x14ac:dyDescent="0.15">
      <c r="A482" s="3">
        <v>561</v>
      </c>
      <c r="B482" s="3" t="s">
        <v>1105</v>
      </c>
    </row>
    <row r="483" spans="1:2" x14ac:dyDescent="0.15">
      <c r="A483" s="3">
        <v>562</v>
      </c>
      <c r="B483" s="3" t="s">
        <v>1106</v>
      </c>
    </row>
    <row r="484" spans="1:2" x14ac:dyDescent="0.15">
      <c r="A484" s="3">
        <v>563</v>
      </c>
      <c r="B484" s="3" t="s">
        <v>1107</v>
      </c>
    </row>
    <row r="485" spans="1:2" x14ac:dyDescent="0.15">
      <c r="A485" s="3">
        <v>564</v>
      </c>
      <c r="B485" s="3" t="s">
        <v>1108</v>
      </c>
    </row>
    <row r="486" spans="1:2" x14ac:dyDescent="0.15">
      <c r="A486" s="3">
        <v>565</v>
      </c>
      <c r="B486" s="3" t="s">
        <v>1109</v>
      </c>
    </row>
    <row r="487" spans="1:2" x14ac:dyDescent="0.15">
      <c r="A487" s="3">
        <v>566</v>
      </c>
      <c r="B487" s="3" t="s">
        <v>1110</v>
      </c>
    </row>
    <row r="488" spans="1:2" x14ac:dyDescent="0.15">
      <c r="A488" s="3">
        <v>567</v>
      </c>
      <c r="B488" s="3" t="s">
        <v>1111</v>
      </c>
    </row>
    <row r="489" spans="1:2" x14ac:dyDescent="0.15">
      <c r="A489" s="3">
        <v>568</v>
      </c>
      <c r="B489" s="3" t="s">
        <v>1112</v>
      </c>
    </row>
    <row r="490" spans="1:2" x14ac:dyDescent="0.15">
      <c r="A490" s="3">
        <v>569</v>
      </c>
      <c r="B490" s="3" t="s">
        <v>1113</v>
      </c>
    </row>
    <row r="491" spans="1:2" x14ac:dyDescent="0.15">
      <c r="A491" s="3">
        <v>570</v>
      </c>
      <c r="B491" s="3" t="s">
        <v>1114</v>
      </c>
    </row>
    <row r="492" spans="1:2" x14ac:dyDescent="0.15">
      <c r="A492" s="3">
        <v>571</v>
      </c>
      <c r="B492" s="3" t="s">
        <v>1115</v>
      </c>
    </row>
    <row r="493" spans="1:2" x14ac:dyDescent="0.15">
      <c r="A493" s="3">
        <v>572</v>
      </c>
      <c r="B493" s="3" t="s">
        <v>1116</v>
      </c>
    </row>
    <row r="494" spans="1:2" x14ac:dyDescent="0.15">
      <c r="A494" s="3">
        <v>573</v>
      </c>
      <c r="B494" s="3" t="s">
        <v>1117</v>
      </c>
    </row>
    <row r="495" spans="1:2" x14ac:dyDescent="0.15">
      <c r="A495" s="3">
        <v>574</v>
      </c>
      <c r="B495" s="3" t="s">
        <v>1118</v>
      </c>
    </row>
    <row r="496" spans="1:2" x14ac:dyDescent="0.15">
      <c r="A496" s="3">
        <v>575</v>
      </c>
      <c r="B496" s="3" t="s">
        <v>1119</v>
      </c>
    </row>
    <row r="497" spans="1:2" x14ac:dyDescent="0.15">
      <c r="A497" s="3">
        <v>576</v>
      </c>
      <c r="B497" s="3" t="s">
        <v>1120</v>
      </c>
    </row>
    <row r="498" spans="1:2" x14ac:dyDescent="0.15">
      <c r="A498" s="3">
        <v>577</v>
      </c>
      <c r="B498" s="3" t="s">
        <v>1121</v>
      </c>
    </row>
    <row r="499" spans="1:2" x14ac:dyDescent="0.15">
      <c r="A499" s="3">
        <v>578</v>
      </c>
      <c r="B499" s="3" t="s">
        <v>1122</v>
      </c>
    </row>
    <row r="500" spans="1:2" x14ac:dyDescent="0.15">
      <c r="A500" s="3">
        <v>579</v>
      </c>
      <c r="B500" s="3" t="s">
        <v>1123</v>
      </c>
    </row>
    <row r="501" spans="1:2" x14ac:dyDescent="0.15">
      <c r="A501" s="3">
        <v>580</v>
      </c>
      <c r="B501" s="3" t="s">
        <v>1124</v>
      </c>
    </row>
    <row r="502" spans="1:2" x14ac:dyDescent="0.15">
      <c r="A502" s="3">
        <v>581</v>
      </c>
      <c r="B502" s="3" t="s">
        <v>1125</v>
      </c>
    </row>
    <row r="503" spans="1:2" x14ac:dyDescent="0.15">
      <c r="A503" s="3">
        <v>582</v>
      </c>
      <c r="B503" s="3" t="s">
        <v>267</v>
      </c>
    </row>
    <row r="504" spans="1:2" x14ac:dyDescent="0.15">
      <c r="A504" s="3">
        <v>583</v>
      </c>
      <c r="B504" s="3" t="s">
        <v>1126</v>
      </c>
    </row>
    <row r="505" spans="1:2" x14ac:dyDescent="0.15">
      <c r="A505" s="3">
        <v>584</v>
      </c>
      <c r="B505" s="3" t="s">
        <v>1127</v>
      </c>
    </row>
    <row r="506" spans="1:2" x14ac:dyDescent="0.15">
      <c r="A506" s="3">
        <v>585</v>
      </c>
      <c r="B506" s="3" t="s">
        <v>1128</v>
      </c>
    </row>
    <row r="507" spans="1:2" x14ac:dyDescent="0.15">
      <c r="A507" s="3">
        <v>586</v>
      </c>
      <c r="B507" s="3" t="s">
        <v>1129</v>
      </c>
    </row>
    <row r="508" spans="1:2" x14ac:dyDescent="0.15">
      <c r="A508" s="3">
        <v>587</v>
      </c>
      <c r="B508" s="3" t="s">
        <v>1130</v>
      </c>
    </row>
    <row r="509" spans="1:2" x14ac:dyDescent="0.15">
      <c r="A509" s="3">
        <v>588</v>
      </c>
      <c r="B509" s="3" t="s">
        <v>1131</v>
      </c>
    </row>
    <row r="510" spans="1:2" x14ac:dyDescent="0.15">
      <c r="A510" s="3">
        <v>589</v>
      </c>
      <c r="B510" s="3" t="s">
        <v>1132</v>
      </c>
    </row>
    <row r="511" spans="1:2" x14ac:dyDescent="0.15">
      <c r="A511" s="3">
        <v>590</v>
      </c>
      <c r="B511" s="3" t="s">
        <v>1133</v>
      </c>
    </row>
    <row r="512" spans="1:2" x14ac:dyDescent="0.15">
      <c r="A512" s="3">
        <v>591</v>
      </c>
      <c r="B512" s="3" t="s">
        <v>1134</v>
      </c>
    </row>
    <row r="513" spans="1:2" x14ac:dyDescent="0.15">
      <c r="A513" s="3">
        <v>593</v>
      </c>
      <c r="B513" s="3" t="s">
        <v>1135</v>
      </c>
    </row>
    <row r="514" spans="1:2" x14ac:dyDescent="0.15">
      <c r="A514" s="3">
        <v>594</v>
      </c>
      <c r="B514" s="3" t="s">
        <v>1136</v>
      </c>
    </row>
    <row r="515" spans="1:2" x14ac:dyDescent="0.15">
      <c r="A515" s="3">
        <v>596</v>
      </c>
      <c r="B515" s="3" t="s">
        <v>1137</v>
      </c>
    </row>
    <row r="516" spans="1:2" x14ac:dyDescent="0.15">
      <c r="A516" s="3">
        <v>597</v>
      </c>
      <c r="B516" s="3" t="s">
        <v>1138</v>
      </c>
    </row>
    <row r="517" spans="1:2" x14ac:dyDescent="0.15">
      <c r="A517" s="3">
        <v>598</v>
      </c>
      <c r="B517" s="3" t="s">
        <v>1139</v>
      </c>
    </row>
    <row r="518" spans="1:2" x14ac:dyDescent="0.15">
      <c r="A518" s="3">
        <v>599</v>
      </c>
      <c r="B518" s="3" t="s">
        <v>1140</v>
      </c>
    </row>
    <row r="519" spans="1:2" x14ac:dyDescent="0.15">
      <c r="A519" s="3">
        <v>600</v>
      </c>
      <c r="B519" s="3" t="s">
        <v>1141</v>
      </c>
    </row>
    <row r="520" spans="1:2" x14ac:dyDescent="0.15">
      <c r="A520" s="3">
        <v>601</v>
      </c>
      <c r="B520" s="3" t="s">
        <v>1142</v>
      </c>
    </row>
    <row r="521" spans="1:2" x14ac:dyDescent="0.15">
      <c r="A521" s="3">
        <v>602</v>
      </c>
      <c r="B521" s="3" t="s">
        <v>1143</v>
      </c>
    </row>
    <row r="522" spans="1:2" x14ac:dyDescent="0.15">
      <c r="A522" s="3">
        <v>603</v>
      </c>
      <c r="B522" s="3" t="s">
        <v>1144</v>
      </c>
    </row>
    <row r="523" spans="1:2" x14ac:dyDescent="0.15">
      <c r="A523" s="3">
        <v>604</v>
      </c>
      <c r="B523" s="3" t="s">
        <v>1145</v>
      </c>
    </row>
    <row r="524" spans="1:2" x14ac:dyDescent="0.15">
      <c r="A524" s="3">
        <v>605</v>
      </c>
      <c r="B524" s="3" t="s">
        <v>1146</v>
      </c>
    </row>
    <row r="525" spans="1:2" x14ac:dyDescent="0.15">
      <c r="A525" s="3">
        <v>606</v>
      </c>
      <c r="B525" s="3" t="s">
        <v>1147</v>
      </c>
    </row>
    <row r="526" spans="1:2" x14ac:dyDescent="0.15">
      <c r="A526" s="3">
        <v>607</v>
      </c>
      <c r="B526" s="3" t="s">
        <v>1148</v>
      </c>
    </row>
    <row r="527" spans="1:2" x14ac:dyDescent="0.15">
      <c r="A527" s="3">
        <v>608</v>
      </c>
      <c r="B527" s="3" t="s">
        <v>1149</v>
      </c>
    </row>
    <row r="528" spans="1:2" x14ac:dyDescent="0.15">
      <c r="A528" s="3">
        <v>609</v>
      </c>
      <c r="B528" s="3" t="s">
        <v>1150</v>
      </c>
    </row>
    <row r="529" spans="1:2" x14ac:dyDescent="0.15">
      <c r="A529" s="3">
        <v>610</v>
      </c>
      <c r="B529" s="3" t="s">
        <v>1151</v>
      </c>
    </row>
    <row r="530" spans="1:2" x14ac:dyDescent="0.15">
      <c r="A530" s="3">
        <v>611</v>
      </c>
      <c r="B530" s="3" t="s">
        <v>1152</v>
      </c>
    </row>
    <row r="531" spans="1:2" x14ac:dyDescent="0.15">
      <c r="A531" s="3">
        <v>612</v>
      </c>
      <c r="B531" s="3" t="s">
        <v>1153</v>
      </c>
    </row>
    <row r="532" spans="1:2" x14ac:dyDescent="0.15">
      <c r="A532" s="3">
        <v>613</v>
      </c>
      <c r="B532" s="3" t="s">
        <v>1154</v>
      </c>
    </row>
    <row r="533" spans="1:2" x14ac:dyDescent="0.15">
      <c r="A533" s="3">
        <v>614</v>
      </c>
      <c r="B533" s="3" t="s">
        <v>1155</v>
      </c>
    </row>
    <row r="534" spans="1:2" x14ac:dyDescent="0.15">
      <c r="A534" s="3">
        <v>615</v>
      </c>
      <c r="B534" s="3" t="s">
        <v>1156</v>
      </c>
    </row>
    <row r="535" spans="1:2" x14ac:dyDescent="0.15">
      <c r="A535" s="3">
        <v>616</v>
      </c>
      <c r="B535" s="3" t="s">
        <v>1157</v>
      </c>
    </row>
    <row r="536" spans="1:2" x14ac:dyDescent="0.15">
      <c r="A536" s="3">
        <v>617</v>
      </c>
      <c r="B536" s="3" t="s">
        <v>1158</v>
      </c>
    </row>
    <row r="537" spans="1:2" x14ac:dyDescent="0.15">
      <c r="A537" s="3">
        <v>618</v>
      </c>
      <c r="B537" s="3" t="s">
        <v>1159</v>
      </c>
    </row>
    <row r="538" spans="1:2" x14ac:dyDescent="0.15">
      <c r="A538" s="3">
        <v>620</v>
      </c>
      <c r="B538" s="3" t="s">
        <v>1160</v>
      </c>
    </row>
    <row r="539" spans="1:2" x14ac:dyDescent="0.15">
      <c r="A539" s="3">
        <v>621</v>
      </c>
      <c r="B539" s="3" t="s">
        <v>1161</v>
      </c>
    </row>
    <row r="540" spans="1:2" x14ac:dyDescent="0.15">
      <c r="A540" s="3">
        <v>622</v>
      </c>
      <c r="B540" s="3" t="s">
        <v>1162</v>
      </c>
    </row>
    <row r="541" spans="1:2" x14ac:dyDescent="0.15">
      <c r="A541" s="3">
        <v>623</v>
      </c>
      <c r="B541" s="3" t="s">
        <v>1163</v>
      </c>
    </row>
    <row r="542" spans="1:2" x14ac:dyDescent="0.15">
      <c r="A542" s="3">
        <v>624</v>
      </c>
      <c r="B542" s="3" t="s">
        <v>1164</v>
      </c>
    </row>
    <row r="543" spans="1:2" x14ac:dyDescent="0.15">
      <c r="A543" s="3">
        <v>625</v>
      </c>
      <c r="B543" s="3" t="s">
        <v>1165</v>
      </c>
    </row>
    <row r="544" spans="1:2" x14ac:dyDescent="0.15">
      <c r="A544" s="3">
        <v>626</v>
      </c>
      <c r="B544" s="3" t="s">
        <v>1166</v>
      </c>
    </row>
    <row r="545" spans="1:2" x14ac:dyDescent="0.15">
      <c r="A545" s="3">
        <v>627</v>
      </c>
      <c r="B545" s="3" t="s">
        <v>1167</v>
      </c>
    </row>
    <row r="546" spans="1:2" x14ac:dyDescent="0.15">
      <c r="A546" s="3">
        <v>628</v>
      </c>
      <c r="B546" s="3" t="s">
        <v>1168</v>
      </c>
    </row>
    <row r="547" spans="1:2" x14ac:dyDescent="0.15">
      <c r="A547" s="3">
        <v>629</v>
      </c>
      <c r="B547" s="3" t="s">
        <v>1169</v>
      </c>
    </row>
    <row r="548" spans="1:2" x14ac:dyDescent="0.15">
      <c r="A548" s="3">
        <v>630</v>
      </c>
      <c r="B548" s="3" t="s">
        <v>1170</v>
      </c>
    </row>
    <row r="549" spans="1:2" x14ac:dyDescent="0.15">
      <c r="A549" s="3">
        <v>631</v>
      </c>
      <c r="B549" s="3" t="s">
        <v>1171</v>
      </c>
    </row>
    <row r="550" spans="1:2" x14ac:dyDescent="0.15">
      <c r="A550" s="3">
        <v>632</v>
      </c>
      <c r="B550" s="3" t="s">
        <v>1172</v>
      </c>
    </row>
    <row r="551" spans="1:2" x14ac:dyDescent="0.15">
      <c r="A551" s="3">
        <v>633</v>
      </c>
      <c r="B551" s="3" t="s">
        <v>1173</v>
      </c>
    </row>
    <row r="552" spans="1:2" x14ac:dyDescent="0.15">
      <c r="A552" s="3">
        <v>634</v>
      </c>
      <c r="B552" s="3" t="s">
        <v>1174</v>
      </c>
    </row>
    <row r="553" spans="1:2" x14ac:dyDescent="0.15">
      <c r="A553" s="3">
        <v>636</v>
      </c>
      <c r="B553" s="3" t="s">
        <v>1175</v>
      </c>
    </row>
    <row r="554" spans="1:2" x14ac:dyDescent="0.15">
      <c r="A554" s="3">
        <v>637</v>
      </c>
      <c r="B554" s="3" t="s">
        <v>1176</v>
      </c>
    </row>
    <row r="555" spans="1:2" x14ac:dyDescent="0.15">
      <c r="A555" s="3">
        <v>638</v>
      </c>
      <c r="B555" s="3" t="s">
        <v>1177</v>
      </c>
    </row>
    <row r="556" spans="1:2" x14ac:dyDescent="0.15">
      <c r="A556" s="3">
        <v>639</v>
      </c>
      <c r="B556" s="3" t="s">
        <v>1178</v>
      </c>
    </row>
    <row r="557" spans="1:2" x14ac:dyDescent="0.15">
      <c r="A557" s="3">
        <v>640</v>
      </c>
      <c r="B557" s="3" t="s">
        <v>1179</v>
      </c>
    </row>
    <row r="558" spans="1:2" x14ac:dyDescent="0.15">
      <c r="A558" s="3">
        <v>642</v>
      </c>
      <c r="B558" s="3" t="s">
        <v>268</v>
      </c>
    </row>
    <row r="559" spans="1:2" x14ac:dyDescent="0.15">
      <c r="A559" s="3">
        <v>643</v>
      </c>
      <c r="B559" s="3" t="s">
        <v>1180</v>
      </c>
    </row>
    <row r="560" spans="1:2" x14ac:dyDescent="0.15">
      <c r="A560" s="3">
        <v>644</v>
      </c>
      <c r="B560" s="3" t="s">
        <v>1181</v>
      </c>
    </row>
    <row r="561" spans="1:2" x14ac:dyDescent="0.15">
      <c r="A561" s="3">
        <v>645</v>
      </c>
      <c r="B561" s="3" t="s">
        <v>1182</v>
      </c>
    </row>
    <row r="562" spans="1:2" x14ac:dyDescent="0.15">
      <c r="A562" s="3">
        <v>646</v>
      </c>
      <c r="B562" s="3" t="s">
        <v>1183</v>
      </c>
    </row>
    <row r="563" spans="1:2" x14ac:dyDescent="0.15">
      <c r="A563" s="3">
        <v>647</v>
      </c>
      <c r="B563" s="3" t="s">
        <v>1184</v>
      </c>
    </row>
    <row r="564" spans="1:2" x14ac:dyDescent="0.15">
      <c r="A564" s="3">
        <v>648</v>
      </c>
      <c r="B564" s="3" t="s">
        <v>1185</v>
      </c>
    </row>
    <row r="565" spans="1:2" x14ac:dyDescent="0.15">
      <c r="A565" s="3">
        <v>649</v>
      </c>
      <c r="B565" s="3" t="s">
        <v>1186</v>
      </c>
    </row>
    <row r="566" spans="1:2" x14ac:dyDescent="0.15">
      <c r="A566" s="3">
        <v>650</v>
      </c>
      <c r="B566" s="3" t="s">
        <v>1187</v>
      </c>
    </row>
    <row r="567" spans="1:2" x14ac:dyDescent="0.15">
      <c r="A567" s="3">
        <v>651</v>
      </c>
      <c r="B567" s="3" t="s">
        <v>1188</v>
      </c>
    </row>
    <row r="568" spans="1:2" x14ac:dyDescent="0.15">
      <c r="A568" s="3">
        <v>652</v>
      </c>
      <c r="B568" s="3" t="s">
        <v>1189</v>
      </c>
    </row>
    <row r="569" spans="1:2" x14ac:dyDescent="0.15">
      <c r="A569" s="3">
        <v>653</v>
      </c>
      <c r="B569" s="3" t="s">
        <v>1190</v>
      </c>
    </row>
    <row r="570" spans="1:2" x14ac:dyDescent="0.15">
      <c r="A570" s="3">
        <v>654</v>
      </c>
      <c r="B570" s="3" t="s">
        <v>1191</v>
      </c>
    </row>
    <row r="571" spans="1:2" x14ac:dyDescent="0.15">
      <c r="A571" s="3">
        <v>655</v>
      </c>
      <c r="B571" s="3" t="s">
        <v>1192</v>
      </c>
    </row>
    <row r="572" spans="1:2" x14ac:dyDescent="0.15">
      <c r="A572" s="3">
        <v>656</v>
      </c>
      <c r="B572" s="3" t="s">
        <v>1193</v>
      </c>
    </row>
    <row r="573" spans="1:2" x14ac:dyDescent="0.15">
      <c r="A573" s="3">
        <v>658</v>
      </c>
      <c r="B573" s="3" t="s">
        <v>617</v>
      </c>
    </row>
    <row r="574" spans="1:2" x14ac:dyDescent="0.15">
      <c r="A574" s="3">
        <v>659</v>
      </c>
      <c r="B574" s="3" t="s">
        <v>1194</v>
      </c>
    </row>
    <row r="575" spans="1:2" x14ac:dyDescent="0.15">
      <c r="A575" s="3">
        <v>660</v>
      </c>
      <c r="B575" s="3" t="s">
        <v>1195</v>
      </c>
    </row>
    <row r="576" spans="1:2" x14ac:dyDescent="0.15">
      <c r="A576" s="3">
        <v>661</v>
      </c>
      <c r="B576" s="3" t="s">
        <v>1196</v>
      </c>
    </row>
    <row r="577" spans="1:2" x14ac:dyDescent="0.15">
      <c r="A577" s="3">
        <v>662</v>
      </c>
      <c r="B577" s="3" t="s">
        <v>269</v>
      </c>
    </row>
    <row r="578" spans="1:2" x14ac:dyDescent="0.15">
      <c r="A578" s="3">
        <v>663</v>
      </c>
      <c r="B578" s="3" t="s">
        <v>1197</v>
      </c>
    </row>
    <row r="579" spans="1:2" x14ac:dyDescent="0.15">
      <c r="A579" s="3">
        <v>995</v>
      </c>
      <c r="B579" s="3" t="s">
        <v>1198</v>
      </c>
    </row>
  </sheetData>
  <mergeCells count="6">
    <mergeCell ref="V1:W1"/>
    <mergeCell ref="X1:Y1"/>
    <mergeCell ref="Z1:AA1"/>
    <mergeCell ref="P1:Q1"/>
    <mergeCell ref="T1:U1"/>
    <mergeCell ref="R1:S1"/>
  </mergeCells>
  <phoneticPr fontId="18" type="noConversion"/>
  <pageMargins left="0.7" right="0.7" top="0.75" bottom="0.75" header="0.3" footer="0.3"/>
  <pageSetup paperSize="9" orientation="portrait" horizontalDpi="1200" verticalDpi="1200" r:id="rId1"/>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D0992-5854-4C4C-B1FB-3EB4726F355B}">
  <dimension ref="A1:AS677"/>
  <sheetViews>
    <sheetView tabSelected="1" workbookViewId="0"/>
  </sheetViews>
  <sheetFormatPr defaultRowHeight="13.5" x14ac:dyDescent="0.15"/>
  <sheetData>
    <row r="1" spans="1:44" x14ac:dyDescent="0.15">
      <c r="A1" t="s">
        <v>0</v>
      </c>
      <c r="B1" t="s">
        <v>2061</v>
      </c>
      <c r="C1" t="s">
        <v>1</v>
      </c>
      <c r="D1" t="s">
        <v>2</v>
      </c>
      <c r="E1" t="s">
        <v>3</v>
      </c>
      <c r="F1" t="s">
        <v>2062</v>
      </c>
      <c r="G1" t="s">
        <v>4</v>
      </c>
      <c r="H1" t="s">
        <v>2063</v>
      </c>
      <c r="I1" t="s">
        <v>2064</v>
      </c>
      <c r="J1" t="s">
        <v>2065</v>
      </c>
      <c r="K1" t="s">
        <v>5</v>
      </c>
      <c r="L1" t="s">
        <v>2066</v>
      </c>
      <c r="M1" t="s">
        <v>2067</v>
      </c>
      <c r="N1" t="s">
        <v>2068</v>
      </c>
      <c r="O1" t="s">
        <v>2069</v>
      </c>
      <c r="P1" t="s">
        <v>2070</v>
      </c>
      <c r="Q1" t="s">
        <v>2071</v>
      </c>
      <c r="R1" t="s">
        <v>2072</v>
      </c>
      <c r="S1" t="s">
        <v>2073</v>
      </c>
      <c r="T1" t="s">
        <v>2074</v>
      </c>
      <c r="U1" t="s">
        <v>2075</v>
      </c>
      <c r="V1" t="s">
        <v>2076</v>
      </c>
      <c r="W1" t="s">
        <v>2077</v>
      </c>
      <c r="X1" t="s">
        <v>2078</v>
      </c>
      <c r="Y1" t="s">
        <v>2079</v>
      </c>
      <c r="Z1" t="s">
        <v>2080</v>
      </c>
      <c r="AA1" t="s">
        <v>2081</v>
      </c>
      <c r="AB1" t="s">
        <v>2082</v>
      </c>
      <c r="AC1" t="s">
        <v>2083</v>
      </c>
      <c r="AD1" t="s">
        <v>2084</v>
      </c>
      <c r="AE1" t="s">
        <v>2085</v>
      </c>
      <c r="AF1" t="s">
        <v>2086</v>
      </c>
      <c r="AG1" t="s">
        <v>2087</v>
      </c>
      <c r="AH1" t="s">
        <v>2088</v>
      </c>
      <c r="AI1" t="s">
        <v>2089</v>
      </c>
      <c r="AJ1" t="s">
        <v>2090</v>
      </c>
      <c r="AK1" t="s">
        <v>2091</v>
      </c>
      <c r="AL1" t="s">
        <v>2092</v>
      </c>
      <c r="AM1" t="s">
        <v>2093</v>
      </c>
      <c r="AN1" t="s">
        <v>2094</v>
      </c>
    </row>
    <row r="2" spans="1:44" x14ac:dyDescent="0.15">
      <c r="A2" t="s">
        <v>2095</v>
      </c>
      <c r="B2">
        <v>-19</v>
      </c>
      <c r="AM2" t="str">
        <f t="shared" ref="AM2:AM65" si="0">IF(B2&lt;&gt;"",IF(IFERROR(VALUE(C1),0)&lt;=0,"["&amp;B2&amp;"]={","},["&amp;B2&amp;"]={"),IF(C2&gt;0,"{dwID="&amp;C2&amp;","&amp;"nLevel="&amp;D2&amp;","&amp;IF(E2&gt;0,"nCount="&amp;E2&amp;",","")&amp;IF(F2&gt;0,"nIcon="&amp;F2&amp;",","")&amp;IF(G2&lt;&gt;"","szName="""&amp;G2&amp;""",","")&amp;IF(H2&gt;0,"bCheckLevel=true,","")&amp;IF(I2&gt;0,"nScrutinyType="&amp;I2&amp;",","")&amp;IF(J2&lt;&gt;"","tKungFu={"&amp;J2&amp;"},","")&amp;IF(K2&lt;&gt;"","szNote="""&amp;K2&amp;""",","")&amp;IF(L2&lt;&gt;"","col={"&amp;L2&amp;"},","")&amp;"[1]={"&amp;IF(M2&lt;&gt;"","tMark={"&amp;M2&amp;"},","")&amp;IF(N2&lt;&gt;"","szVoice="""&amp;N2&amp;""",","")&amp;IF(O2&gt;0,"bCheckLevel=true,","")&amp;IF(P2&gt;0,"bWhisperChannel=true,","")&amp;IF(Q2&gt;0,"bCenterAlarm=true,","")&amp;IF(R2&gt;0,"bScreenHead=true,","")&amp;IF(S2&gt;0,"bPartyBuffList=true,","")&amp;IF(T2&gt;0,"bBuffList=true,","")&amp;IF(U2&gt;0,"bTeamPanel=true,","")&amp;IF(V2&gt;0,"bOnlySelfSrc=true,","")&amp;"},"&amp;"[2]={"&amp;IF(W2&gt;0,"bCheckLevel=true,","")&amp;IF(X2&gt;0,"bWhisperChannel=true,","")&amp;IF(Y2&gt;0,"bCenterAlarm=true,","")&amp;"},"&amp;IF(OR(Z2&gt;0,AD2&lt;&gt;"",AE2&gt;0,AF2&lt;&gt;"",AG2&lt;&gt;"",AH2&gt;0,AI2&gt;0,AJ2&gt;0,AK2&gt;0),"aCataclysmBuff={{"&amp;IF(Z2&gt;0,"nStackNum="&amp;Z2&amp;",","")&amp;IF(AA2&lt;&gt;"","szStackOp="""&amp;AA2&amp;""",","")&amp;IF(AB2&gt;0,"bOnlyMine=true,","")&amp;IF(AC2&gt;0,"bOnlyMe=true,","")&amp;IF(AD2&lt;&gt;"","szReminder="""&amp;AD2&amp;""",","")&amp;IF(AE2&gt;0,"nPriority="&amp;AE2&amp;",","")&amp;IF(AF2&lt;&gt;"","col="""&amp;AF2&amp;""",","")&amp;IF(AG2&lt;&gt;"","colScreenHead="""&amp;AG2&amp;""",","")&amp;IF(AH2&gt;0,"nColAlpha="&amp;AH2&amp;",","")&amp;IF(AI2&gt;0,"bAttention=true,","")&amp;IF(AJ2&gt;0,"bCaution=true,","")&amp;IF(AK2&gt;0,"bScreenHead=true,","")&amp;"},"&amp;AL2&amp;"},","")&amp;IF(AN2&lt;&gt;"","tCountdown={"&amp;_xlfn.TEXTJOIN("",TRUE,AN2:ZY2)&amp;"},","")&amp;"},",IF(C1&gt;0,"},","")&amp;IF(AND(B2="",C2="",OR(B1&lt;&gt;"",C1&lt;&gt;"")),"},}","")))</f>
        <v>[-19]={</v>
      </c>
    </row>
    <row r="3" spans="1:44" x14ac:dyDescent="0.15">
      <c r="C3">
        <v>244</v>
      </c>
      <c r="D3">
        <v>1</v>
      </c>
      <c r="H3">
        <v>1</v>
      </c>
      <c r="I3">
        <v>1</v>
      </c>
      <c r="K3" t="s">
        <v>284</v>
      </c>
      <c r="AM3" t="str">
        <f t="shared" si="0"/>
        <v>{dwID=244,nLevel=1,bCheckLevel=true,nScrutinyType=1,szNote="骑御",[1]={},[2]={},tCountdown={{nClass=2,nIcon=6678,nFrame=6,szName="骑御·调息",nTime=-1,key="骑御·调息",},{nClass=2,nIcon=6491,nFrame=-1,szName="",nTime=0.01,nRefresh=300,key="骑御·劲足",},{nClass=2,nIcon=6491,nFrame=0,szName="骑御·劲足",nTime=-1,key="骑御·劲足",},{nClass=1,nIcon=6678,nFrame=6,szName="调息7级·buff触发倒计时",nTime="18.8,调息·7级·触发剩余;22.8,调息·5级·触发剩余",nRefresh=1,key="骑御·调息",},},},</v>
      </c>
      <c r="AN3" t="s">
        <v>2096</v>
      </c>
      <c r="AO3" t="s">
        <v>2097</v>
      </c>
      <c r="AP3" t="s">
        <v>2098</v>
      </c>
      <c r="AQ3" t="s">
        <v>2099</v>
      </c>
    </row>
    <row r="4" spans="1:44" x14ac:dyDescent="0.15">
      <c r="C4">
        <v>8477</v>
      </c>
      <c r="D4">
        <v>1</v>
      </c>
      <c r="F4">
        <v>6491</v>
      </c>
      <c r="G4" t="s">
        <v>2100</v>
      </c>
      <c r="I4">
        <v>1</v>
      </c>
      <c r="K4" t="s">
        <v>413</v>
      </c>
      <c r="T4">
        <v>1</v>
      </c>
      <c r="AM4" t="str">
        <f t="shared" si="0"/>
        <v>{dwID=8477,nLevel=1,nIcon=6491,szName="劲足",nScrutinyType=1,szNote="速度·劲足",[1]={bBuffList=true,},[2]={},tCountdown={{nClass=1,nIcon=6678,nFrame=0,szName="骑御·调息",nTime=0,key="骑御·调息",},{nClass=1,nIcon=6678,nFrame=-1,szName="骑御·调息",nTime=0.01,nRefresh=300,key="骑御·调息",},{nClass=1,nIcon=6678,nFrame=-1,szName="骑御·调息",nTime=-1,nRefresh=300,key="骑御·调息",},{nClass=1,nIcon=6491,nFrame=6,szName="骑御·劲足",nTime=0.5,nRefresh=300,key="骑御·劲足",},{nClass=2,nIcon=6491,nFrame=4,szName="劲足·消失",nTime=2,nRefresh=3000,key="骑御·劲足",},},},</v>
      </c>
      <c r="AN4" t="s">
        <v>2101</v>
      </c>
      <c r="AO4" t="s">
        <v>2102</v>
      </c>
      <c r="AP4" t="s">
        <v>2103</v>
      </c>
      <c r="AQ4" t="s">
        <v>2104</v>
      </c>
      <c r="AR4" t="s">
        <v>2105</v>
      </c>
    </row>
    <row r="5" spans="1:44" x14ac:dyDescent="0.15">
      <c r="C5">
        <v>8607</v>
      </c>
      <c r="D5">
        <v>1</v>
      </c>
      <c r="K5" t="s">
        <v>415</v>
      </c>
      <c r="T5">
        <v>1</v>
      </c>
      <c r="AM5" t="str">
        <f t="shared" si="0"/>
        <v>{dwID=8607,nLevel=1,szNote="气力·调息",[1]={bBuffList=true,},[2]={},tCountdown={{nClass=1,nIcon=6678,nFrame=6,szName="骑御·调息",nTime=0,key="骑御·调息",},},},</v>
      </c>
      <c r="AN5" t="s">
        <v>2106</v>
      </c>
    </row>
    <row r="6" spans="1:44" x14ac:dyDescent="0.15">
      <c r="A6" t="s">
        <v>2107</v>
      </c>
      <c r="B6">
        <v>-15</v>
      </c>
      <c r="AM6" t="str">
        <f t="shared" si="0"/>
        <v>},[-15]={</v>
      </c>
    </row>
    <row r="7" spans="1:44" x14ac:dyDescent="0.15">
      <c r="C7">
        <v>17149</v>
      </c>
      <c r="D7">
        <v>1</v>
      </c>
      <c r="F7">
        <v>3409</v>
      </c>
      <c r="G7" t="s">
        <v>6</v>
      </c>
      <c r="I7">
        <v>1</v>
      </c>
      <c r="K7" t="s">
        <v>7</v>
      </c>
      <c r="T7">
        <v>1</v>
      </c>
      <c r="AM7" t="str">
        <f t="shared" si="0"/>
        <v>{dwID=17149,nLevel=1,nIcon=3409,szName="饱食",nScrutinyType=1,szNote="家园饱食BUFF",[1]={bBuffList=true,},[2]={},},</v>
      </c>
    </row>
    <row r="8" spans="1:44" x14ac:dyDescent="0.15">
      <c r="C8">
        <v>27658</v>
      </c>
      <c r="D8">
        <v>1</v>
      </c>
      <c r="AM8" t="str">
        <f t="shared" si="0"/>
        <v>{dwID=27658,nLevel=1,[1]={},[2]={},},</v>
      </c>
    </row>
    <row r="9" spans="1:44" x14ac:dyDescent="0.15">
      <c r="C9">
        <v>27659</v>
      </c>
      <c r="D9">
        <v>1</v>
      </c>
      <c r="AM9" t="str">
        <f t="shared" si="0"/>
        <v>{dwID=27659,nLevel=1,[1]={},[2]={},},</v>
      </c>
    </row>
    <row r="10" spans="1:44" x14ac:dyDescent="0.15">
      <c r="C10">
        <v>27660</v>
      </c>
      <c r="D10">
        <v>1</v>
      </c>
      <c r="AM10" t="str">
        <f t="shared" si="0"/>
        <v>{dwID=27660,nLevel=1,[1]={},[2]={},},</v>
      </c>
    </row>
    <row r="11" spans="1:44" x14ac:dyDescent="0.15">
      <c r="C11">
        <v>27661</v>
      </c>
      <c r="D11">
        <v>1</v>
      </c>
      <c r="AM11" t="str">
        <f t="shared" si="0"/>
        <v>{dwID=27661,nLevel=1,[1]={},[2]={},},</v>
      </c>
    </row>
    <row r="12" spans="1:44" x14ac:dyDescent="0.15">
      <c r="C12">
        <v>27793</v>
      </c>
      <c r="D12">
        <v>1</v>
      </c>
      <c r="AM12" t="str">
        <f t="shared" si="0"/>
        <v>{dwID=27793,nLevel=1,[1]={},[2]={},},</v>
      </c>
    </row>
    <row r="13" spans="1:44" x14ac:dyDescent="0.15">
      <c r="C13">
        <v>27794</v>
      </c>
      <c r="D13">
        <v>1</v>
      </c>
      <c r="AM13" t="str">
        <f t="shared" si="0"/>
        <v>{dwID=27794,nLevel=1,[1]={},[2]={},},</v>
      </c>
    </row>
    <row r="14" spans="1:44" x14ac:dyDescent="0.15">
      <c r="C14">
        <v>27831</v>
      </c>
      <c r="D14">
        <v>1</v>
      </c>
      <c r="AM14" t="str">
        <f t="shared" si="0"/>
        <v>{dwID=27831,nLevel=1,[1]={},[2]={},},</v>
      </c>
    </row>
    <row r="15" spans="1:44" x14ac:dyDescent="0.15">
      <c r="C15">
        <v>27654</v>
      </c>
      <c r="D15">
        <v>1</v>
      </c>
      <c r="AM15" t="str">
        <f t="shared" si="0"/>
        <v>{dwID=27654,nLevel=1,[1]={},[2]={},},</v>
      </c>
    </row>
    <row r="16" spans="1:44" x14ac:dyDescent="0.15">
      <c r="C16">
        <v>27865</v>
      </c>
      <c r="D16">
        <v>1</v>
      </c>
      <c r="AM16" t="str">
        <f t="shared" si="0"/>
        <v>{dwID=27865,nLevel=1,[1]={},[2]={},},</v>
      </c>
    </row>
    <row r="17" spans="1:41" x14ac:dyDescent="0.15">
      <c r="C17">
        <v>27656</v>
      </c>
      <c r="D17">
        <v>1</v>
      </c>
      <c r="AM17" t="str">
        <f t="shared" si="0"/>
        <v>{dwID=27656,nLevel=1,[1]={},[2]={},},</v>
      </c>
    </row>
    <row r="18" spans="1:41" x14ac:dyDescent="0.15">
      <c r="C18">
        <v>27657</v>
      </c>
      <c r="D18">
        <v>1</v>
      </c>
      <c r="AM18" t="str">
        <f t="shared" si="0"/>
        <v>{dwID=27657,nLevel=1,[1]={},[2]={},},</v>
      </c>
    </row>
    <row r="19" spans="1:41" x14ac:dyDescent="0.15">
      <c r="C19">
        <v>16966</v>
      </c>
      <c r="D19">
        <v>1</v>
      </c>
      <c r="G19" t="s">
        <v>2108</v>
      </c>
      <c r="I19">
        <v>1</v>
      </c>
      <c r="K19" t="s">
        <v>2109</v>
      </c>
      <c r="T19">
        <v>1</v>
      </c>
      <c r="AM19" t="str">
        <f t="shared" si="0"/>
        <v>{dwID=16966,nLevel=1,szName="单人床",nScrutinyType=1,szNote="白日梦·单人床",[1]={bBuffList=true,},[2]={},tCountdown={{nClass=2,nIcon=12457,nFrame=-1,szName="",nTime=0.01,nRefresh=5,key="白日梦",},{nClass=2,nIcon=12457,nFrame=-1,szName="白日梦",nTime=-1,key="白日梦",},},},</v>
      </c>
      <c r="AN19" t="s">
        <v>2110</v>
      </c>
      <c r="AO19" t="s">
        <v>2111</v>
      </c>
    </row>
    <row r="20" spans="1:41" x14ac:dyDescent="0.15">
      <c r="C20">
        <v>16924</v>
      </c>
      <c r="D20">
        <v>1</v>
      </c>
      <c r="G20" t="s">
        <v>2112</v>
      </c>
      <c r="I20">
        <v>1</v>
      </c>
      <c r="K20" t="s">
        <v>2113</v>
      </c>
      <c r="T20">
        <v>1</v>
      </c>
      <c r="AM20" t="str">
        <f t="shared" si="0"/>
        <v>{dwID=16924,nLevel=1,szName="双人床",nScrutinyType=1,szNote="白日梦·双人床",[1]={bBuffList=true,},[2]={},tCountdown={{nClass=2,nIcon=12457,nFrame=-1,szName="",nTime=0.01,nRefresh=5,key="白日梦",},{nClass=2,nIcon=12457,nFrame=-1,szName="白日梦",nTime=-1,key="白日梦",},},},</v>
      </c>
      <c r="AN20" t="s">
        <v>2110</v>
      </c>
      <c r="AO20" t="s">
        <v>2111</v>
      </c>
    </row>
    <row r="21" spans="1:41" x14ac:dyDescent="0.15">
      <c r="A21" t="s">
        <v>2114</v>
      </c>
      <c r="B21">
        <v>-11</v>
      </c>
      <c r="AM21" t="str">
        <f t="shared" si="0"/>
        <v>},[-11]={</v>
      </c>
    </row>
    <row r="22" spans="1:41" x14ac:dyDescent="0.15">
      <c r="C22">
        <v>12651</v>
      </c>
      <c r="D22">
        <v>1</v>
      </c>
      <c r="K22" t="s">
        <v>8</v>
      </c>
      <c r="L22" t="s">
        <v>2115</v>
      </c>
      <c r="AD22" t="s">
        <v>2116</v>
      </c>
      <c r="AE22">
        <v>1</v>
      </c>
      <c r="AF22" t="s">
        <v>2117</v>
      </c>
      <c r="AH22">
        <v>255</v>
      </c>
      <c r="AM22" t="str">
        <f t="shared" si="0"/>
        <v>{dwID=12651,nLevel=1,szNote="藏匿",col={255,204,0,},[1]={},[2]={},aCataclysmBuff={{szReminder="伪 道具伪装",nPriority=1,col="#FFCC00FF",nColAlpha=255,},},},</v>
      </c>
    </row>
    <row r="23" spans="1:41" x14ac:dyDescent="0.15">
      <c r="C23">
        <v>13226</v>
      </c>
      <c r="D23">
        <v>1</v>
      </c>
      <c r="K23" t="s">
        <v>283</v>
      </c>
      <c r="L23" t="s">
        <v>2115</v>
      </c>
      <c r="AD23" t="s">
        <v>2116</v>
      </c>
      <c r="AE23">
        <v>1</v>
      </c>
      <c r="AF23" t="s">
        <v>2117</v>
      </c>
      <c r="AH23">
        <v>255</v>
      </c>
      <c r="AM23" t="str">
        <f t="shared" si="0"/>
        <v>{dwID=13226,nLevel=1,szNote="伪装",col={255,204,0,},[1]={},[2]={},aCataclysmBuff={{szReminder="伪 道具伪装",nPriority=1,col="#FFCC00FF",nColAlpha=255,},},},</v>
      </c>
    </row>
    <row r="24" spans="1:41" x14ac:dyDescent="0.15">
      <c r="C24">
        <v>14623</v>
      </c>
      <c r="D24">
        <v>1</v>
      </c>
      <c r="K24" t="s">
        <v>9</v>
      </c>
      <c r="L24" t="s">
        <v>2115</v>
      </c>
      <c r="AD24" t="s">
        <v>2118</v>
      </c>
      <c r="AE24">
        <v>2</v>
      </c>
      <c r="AF24" t="s">
        <v>2117</v>
      </c>
      <c r="AH24">
        <v>255</v>
      </c>
      <c r="AM24" t="str">
        <f t="shared" si="0"/>
        <v>{dwID=14623,nLevel=1,szNote="月影沙",col={255,204,0,},[1]={},[2]={},aCataclysmBuff={{szReminder="影 道具月影沙隐身",nPriority=2,col="#FFCC00FF",nColAlpha=255,},},},</v>
      </c>
    </row>
    <row r="25" spans="1:41" x14ac:dyDescent="0.15">
      <c r="C25">
        <v>14630</v>
      </c>
      <c r="D25">
        <v>1</v>
      </c>
      <c r="K25" t="s">
        <v>9</v>
      </c>
      <c r="L25" t="s">
        <v>2115</v>
      </c>
      <c r="AD25" t="s">
        <v>2119</v>
      </c>
      <c r="AE25">
        <v>2</v>
      </c>
      <c r="AF25" t="s">
        <v>2117</v>
      </c>
      <c r="AH25">
        <v>255</v>
      </c>
      <c r="AM25" t="str">
        <f t="shared" si="0"/>
        <v>{dwID=14630,nLevel=1,szNote="月影沙",col={255,204,0,},[1]={},[2]={},aCataclysmBuff={{szReminder="影 道具月影沙隐身提高移动速度",nPriority=2,col="#FFCC00FF",nColAlpha=255,},},},</v>
      </c>
    </row>
    <row r="26" spans="1:41" x14ac:dyDescent="0.15">
      <c r="C26">
        <v>14631</v>
      </c>
      <c r="D26">
        <v>1</v>
      </c>
      <c r="K26" t="s">
        <v>9</v>
      </c>
      <c r="L26" t="s">
        <v>2115</v>
      </c>
      <c r="AD26" t="s">
        <v>2119</v>
      </c>
      <c r="AE26">
        <v>2</v>
      </c>
      <c r="AF26" t="s">
        <v>2117</v>
      </c>
      <c r="AH26">
        <v>255</v>
      </c>
      <c r="AM26" t="str">
        <f t="shared" si="0"/>
        <v>{dwID=14631,nLevel=1,szNote="月影沙",col={255,204,0,},[1]={},[2]={},aCataclysmBuff={{szReminder="影 道具月影沙隐身提高移动速度",nPriority=2,col="#FFCC00FF",nColAlpha=255,},},},</v>
      </c>
    </row>
    <row r="27" spans="1:41" x14ac:dyDescent="0.15">
      <c r="C27">
        <v>8216</v>
      </c>
      <c r="D27">
        <v>1</v>
      </c>
      <c r="E27">
        <v>3</v>
      </c>
      <c r="K27" t="s">
        <v>10</v>
      </c>
      <c r="L27" t="s">
        <v>2120</v>
      </c>
      <c r="Z27">
        <v>3</v>
      </c>
      <c r="AA27" t="s">
        <v>2121</v>
      </c>
      <c r="AD27" t="s">
        <v>2122</v>
      </c>
      <c r="AE27">
        <v>11</v>
      </c>
      <c r="AF27" t="s">
        <v>2123</v>
      </c>
      <c r="AH27">
        <v>255</v>
      </c>
      <c r="AL27" t="s">
        <v>2124</v>
      </c>
      <c r="AM27" t="str">
        <f t="shared" si="0"/>
        <v>{dwID=8216,nLevel=1,nCount=3,szNote="凝血盾",col={179,238,58,},[1]={},[2]={},aCataclysmBuff={{nStackNum=3,szStackOp="&gt;=",szReminder="盾 道具血染春秋化解",nPriority=11,col="#B3EE3AFF",nColAlpha=255,},{szStackOp="&gt;=",nStackNum=1,szReminder="盾 道具血染春秋化解",nPriority=12,nColAlpha=255,col="#B3EE3AFF",},},},</v>
      </c>
    </row>
    <row r="28" spans="1:41" x14ac:dyDescent="0.15">
      <c r="C28">
        <v>22413</v>
      </c>
      <c r="D28">
        <v>1</v>
      </c>
      <c r="K28" t="s">
        <v>11</v>
      </c>
      <c r="L28" t="s">
        <v>2120</v>
      </c>
      <c r="AD28" t="s">
        <v>2125</v>
      </c>
      <c r="AE28">
        <v>11</v>
      </c>
      <c r="AF28" t="s">
        <v>2123</v>
      </c>
      <c r="AH28">
        <v>255</v>
      </c>
      <c r="AM28" t="str">
        <f t="shared" si="0"/>
        <v>{dwID=22413,nLevel=1,szNote="伪传·龙啸九天",col={179,238,58,},[1]={},[2]={},aCataclysmBuff={{szReminder="啸 道具龙啸减伤",nPriority=11,col="#B3EE3AFF",nColAlpha=255,},},},</v>
      </c>
    </row>
    <row r="29" spans="1:41" x14ac:dyDescent="0.15">
      <c r="C29">
        <v>22392</v>
      </c>
      <c r="D29">
        <v>1</v>
      </c>
      <c r="K29" t="s">
        <v>12</v>
      </c>
      <c r="L29" t="s">
        <v>2120</v>
      </c>
      <c r="AD29" t="s">
        <v>2126</v>
      </c>
      <c r="AE29">
        <v>11</v>
      </c>
      <c r="AF29" t="s">
        <v>2123</v>
      </c>
      <c r="AH29">
        <v>255</v>
      </c>
      <c r="AM29" t="str">
        <f t="shared" si="0"/>
        <v>{dwID=22392,nLevel=1,szNote="伪传·驭羽骋风",col={179,238,58,},[1]={},[2]={},aCataclysmBuff={{szReminder="减 道具驭羽骋风减伤",nPriority=11,col="#B3EE3AFF",nColAlpha=255,},},},</v>
      </c>
    </row>
    <row r="30" spans="1:41" x14ac:dyDescent="0.15">
      <c r="C30">
        <v>23967</v>
      </c>
      <c r="D30">
        <v>1</v>
      </c>
      <c r="K30" t="s">
        <v>13</v>
      </c>
      <c r="L30" t="s">
        <v>2120</v>
      </c>
      <c r="AD30" t="s">
        <v>2127</v>
      </c>
      <c r="AE30">
        <v>11</v>
      </c>
      <c r="AF30" t="s">
        <v>2123</v>
      </c>
      <c r="AH30">
        <v>255</v>
      </c>
      <c r="AM30" t="str">
        <f t="shared" si="0"/>
        <v>{dwID=23967,nLevel=1,szNote="伪传·枯残蛊",col={179,238,58,},[1]={},[2]={},aCataclysmBuff={{szReminder="减 道具枯残蛊减伤",nPriority=11,col="#B3EE3AFF",nColAlpha=255,},},},</v>
      </c>
    </row>
    <row r="31" spans="1:41" x14ac:dyDescent="0.15">
      <c r="C31">
        <v>26865</v>
      </c>
      <c r="D31">
        <v>1</v>
      </c>
      <c r="K31" t="s">
        <v>14</v>
      </c>
      <c r="L31" t="s">
        <v>2120</v>
      </c>
      <c r="AD31" t="s">
        <v>2128</v>
      </c>
      <c r="AE31">
        <v>11</v>
      </c>
      <c r="AF31" t="s">
        <v>2123</v>
      </c>
      <c r="AH31">
        <v>255</v>
      </c>
      <c r="AM31" t="str">
        <f t="shared" si="0"/>
        <v>{dwID=26865,nLevel=1,szNote="伪传·崇岭连绵剑",col={179,238,58,},[1]={},[2]={},aCataclysmBuff={{szReminder="减 道具崇岭连绵剑减伤",nPriority=11,col="#B3EE3AFF",nColAlpha=255,},},},</v>
      </c>
    </row>
    <row r="32" spans="1:41" x14ac:dyDescent="0.15">
      <c r="C32">
        <v>22169</v>
      </c>
      <c r="D32">
        <v>1</v>
      </c>
      <c r="K32" t="s">
        <v>15</v>
      </c>
      <c r="L32" t="s">
        <v>2120</v>
      </c>
      <c r="R32">
        <v>1</v>
      </c>
      <c r="AD32" t="s">
        <v>2129</v>
      </c>
      <c r="AE32">
        <v>2</v>
      </c>
      <c r="AF32" t="s">
        <v>2123</v>
      </c>
      <c r="AG32" t="s">
        <v>2130</v>
      </c>
      <c r="AH32">
        <v>255</v>
      </c>
      <c r="AI32">
        <v>1</v>
      </c>
      <c r="AK32">
        <v>1</v>
      </c>
      <c r="AM32" t="str">
        <f t="shared" si="0"/>
        <v>{dwID=22169,nLevel=1,szNote="折骨",col={179,238,58,},[1]={bScreenHead=true,},[2]={},aCataclysmBuff={{szReminder="免 道具_锻骨不受控制及沉默",nPriority=2,col="#B3EE3AFF",colScreenHead="#B3EE3A",nColAlpha=255,bAttention=true,bScreenHead=true,},},},</v>
      </c>
    </row>
    <row r="33" spans="1:43" x14ac:dyDescent="0.15">
      <c r="C33">
        <v>20255</v>
      </c>
      <c r="D33">
        <v>1</v>
      </c>
      <c r="K33" t="s">
        <v>16</v>
      </c>
      <c r="L33" t="s">
        <v>2115</v>
      </c>
      <c r="R33">
        <v>1</v>
      </c>
      <c r="AD33" t="s">
        <v>2131</v>
      </c>
      <c r="AE33">
        <v>2</v>
      </c>
      <c r="AF33" t="s">
        <v>2117</v>
      </c>
      <c r="AG33" t="s">
        <v>2132</v>
      </c>
      <c r="AH33">
        <v>255</v>
      </c>
      <c r="AI33">
        <v>1</v>
      </c>
      <c r="AK33">
        <v>1</v>
      </c>
      <c r="AM33" t="str">
        <f t="shared" si="0"/>
        <v>{dwID=20255,nLevel=1,szNote="舍身",col={255,204,0,},[1]={bScreenHead=true,},[2]={},aCataclysmBuff={{szReminder="舍 道具受到舍身",nPriority=2,col="#FFCC00FF",colScreenHead="#FFCC00",nColAlpha=255,bAttention=true,bScreenHead=true,},},},</v>
      </c>
    </row>
    <row r="34" spans="1:43" x14ac:dyDescent="0.15">
      <c r="C34">
        <v>20251</v>
      </c>
      <c r="D34">
        <v>1</v>
      </c>
      <c r="K34" t="s">
        <v>17</v>
      </c>
      <c r="L34" t="s">
        <v>2133</v>
      </c>
      <c r="R34">
        <v>1</v>
      </c>
      <c r="AD34" t="s">
        <v>2134</v>
      </c>
      <c r="AE34">
        <v>1</v>
      </c>
      <c r="AF34" t="s">
        <v>2135</v>
      </c>
      <c r="AG34" t="s">
        <v>2136</v>
      </c>
      <c r="AH34">
        <v>255</v>
      </c>
      <c r="AI34">
        <v>1</v>
      </c>
      <c r="AJ34">
        <v>1</v>
      </c>
      <c r="AK34">
        <v>1</v>
      </c>
      <c r="AM34" t="str">
        <f t="shared" si="0"/>
        <v>{dwID=20251,nLevel=1,szNote="平沙落雁",col={165,96,232,},[1]={bScreenHead=true,},[2]={},aCataclysmBuff={{szReminder="平 道具被平沙",nPriority=1,col="#FF0055FF",colScreenHead="#A560E8",nColAlpha=255,bAttention=true,bCaution=true,bScreenHead=true,},},},</v>
      </c>
    </row>
    <row r="35" spans="1:43" x14ac:dyDescent="0.15">
      <c r="C35">
        <v>20297</v>
      </c>
      <c r="D35">
        <v>1</v>
      </c>
      <c r="K35" t="s">
        <v>18</v>
      </c>
      <c r="L35" t="s">
        <v>2120</v>
      </c>
      <c r="R35">
        <v>1</v>
      </c>
      <c r="AD35" t="s">
        <v>2137</v>
      </c>
      <c r="AE35">
        <v>2</v>
      </c>
      <c r="AF35" t="s">
        <v>2123</v>
      </c>
      <c r="AG35" t="s">
        <v>2130</v>
      </c>
      <c r="AH35">
        <v>255</v>
      </c>
      <c r="AI35">
        <v>1</v>
      </c>
      <c r="AK35">
        <v>1</v>
      </c>
      <c r="AM35" t="str">
        <f t="shared" si="0"/>
        <v>{dwID=20297,nLevel=1,szNote="暗尘弥散",col={179,238,58,},[1]={bScreenHead=true,},[2]={},aCataclysmBuff={{szReminder="隐 道具暗尘弥散施展伤害招式伪装失效",nPriority=2,col="#B3EE3AFF",colScreenHead="#B3EE3A",nColAlpha=255,bAttention=true,bScreenHead=true,},},},</v>
      </c>
    </row>
    <row r="36" spans="1:43" x14ac:dyDescent="0.15">
      <c r="C36">
        <v>20298</v>
      </c>
      <c r="D36">
        <v>1</v>
      </c>
      <c r="K36" t="s">
        <v>19</v>
      </c>
      <c r="L36" t="s">
        <v>2120</v>
      </c>
      <c r="R36">
        <v>1</v>
      </c>
      <c r="AD36" t="s">
        <v>2138</v>
      </c>
      <c r="AE36">
        <v>11</v>
      </c>
      <c r="AF36" t="s">
        <v>2123</v>
      </c>
      <c r="AG36" t="s">
        <v>2130</v>
      </c>
      <c r="AH36">
        <v>255</v>
      </c>
      <c r="AK36">
        <v>1</v>
      </c>
      <c r="AM36" t="str">
        <f t="shared" si="0"/>
        <v>{dwID=20298,nLevel=1,szNote="超然",col={179,238,58,},[1]={bScreenHead=true,},[2]={},aCataclysmBuff={{szReminder="免 道具暗尘弥散免控（击退和被拉除外）",nPriority=11,col="#B3EE3AFF",colScreenHead="#B3EE3A",nColAlpha=255,bScreenHead=true,},},},</v>
      </c>
    </row>
    <row r="37" spans="1:43" x14ac:dyDescent="0.15">
      <c r="C37">
        <v>20197</v>
      </c>
      <c r="D37">
        <v>1</v>
      </c>
      <c r="K37" t="s">
        <v>20</v>
      </c>
      <c r="L37" t="s">
        <v>2120</v>
      </c>
      <c r="AD37" t="s">
        <v>2139</v>
      </c>
      <c r="AE37">
        <v>11</v>
      </c>
      <c r="AF37" t="s">
        <v>2123</v>
      </c>
      <c r="AH37">
        <v>255</v>
      </c>
      <c r="AM37" t="str">
        <f t="shared" si="0"/>
        <v>{dwID=20197,nLevel=1,szNote="笑醉狂",col={179,238,58,},[1]={},[2]={},aCataclysmBuff={{szReminder="笑 道具笑醉狂减伤",nPriority=11,col="#B3EE3AFF",nColAlpha=255,},},},</v>
      </c>
    </row>
    <row r="38" spans="1:43" x14ac:dyDescent="0.15">
      <c r="C38">
        <v>20259</v>
      </c>
      <c r="D38">
        <v>1</v>
      </c>
      <c r="K38" t="s">
        <v>21</v>
      </c>
      <c r="L38" t="s">
        <v>2115</v>
      </c>
      <c r="R38">
        <v>1</v>
      </c>
      <c r="AD38" t="s">
        <v>2140</v>
      </c>
      <c r="AE38">
        <v>2</v>
      </c>
      <c r="AF38" t="s">
        <v>2117</v>
      </c>
      <c r="AG38" t="s">
        <v>2132</v>
      </c>
      <c r="AH38">
        <v>255</v>
      </c>
      <c r="AI38">
        <v>1</v>
      </c>
      <c r="AK38">
        <v>1</v>
      </c>
      <c r="AM38" t="str">
        <f t="shared" si="0"/>
        <v>{dwID=20259,nLevel=1,szNote="散流霞",col={255,204,0,},[1]={bScreenHead=true,},[2]={},aCataclysmBuff={{szReminder="散 道具散流霞无敌",nPriority=2,col="#FFCC00FF",colScreenHead="#FFCC00",nColAlpha=255,bAttention=true,bScreenHead=true,},},},</v>
      </c>
    </row>
    <row r="39" spans="1:43" x14ac:dyDescent="0.15">
      <c r="C39">
        <v>20201</v>
      </c>
      <c r="D39">
        <v>1</v>
      </c>
      <c r="K39" t="s">
        <v>151</v>
      </c>
      <c r="L39" t="s">
        <v>2120</v>
      </c>
      <c r="AD39" t="s">
        <v>2141</v>
      </c>
      <c r="AE39">
        <v>10</v>
      </c>
      <c r="AF39" t="s">
        <v>2123</v>
      </c>
      <c r="AH39">
        <v>255</v>
      </c>
      <c r="AM39" t="str">
        <f t="shared" si="0"/>
        <v>{dwID=20201,nLevel=1,szNote="力拔",col={179,238,58,},[1]={},[2]={},aCataclysmBuff={{szReminder="免 道具_疾如风免控（击退和被拉除外）",nPriority=10,col="#B3EE3AFF",nColAlpha=255,},},},</v>
      </c>
    </row>
    <row r="40" spans="1:43" x14ac:dyDescent="0.15">
      <c r="A40" t="s">
        <v>2142</v>
      </c>
      <c r="B40">
        <v>-7</v>
      </c>
      <c r="AM40" t="str">
        <f t="shared" si="0"/>
        <v>},[-7]={</v>
      </c>
    </row>
    <row r="41" spans="1:43" x14ac:dyDescent="0.15">
      <c r="C41">
        <v>4805</v>
      </c>
      <c r="D41">
        <v>1</v>
      </c>
      <c r="I41">
        <v>1</v>
      </c>
      <c r="L41" t="s">
        <v>2143</v>
      </c>
      <c r="T41">
        <v>1</v>
      </c>
      <c r="X41">
        <v>1</v>
      </c>
      <c r="AM41" t="str">
        <f t="shared" si="0"/>
        <v>{dwID=4805,nLevel=1,nScrutinyType=1,col={255,255,0,},[1]={bBuffList=true,},[2]={bWhisperChannel=true,},tCountdown={{nClass=1,nIcon=4005,nFrame=0,bHold=true,szName="套马杆",nTime=-2,key="套马杆",},{nClass=1,nIcon=4005,nFrame=0,bHold=true,szName="套马杆",nTime=600,nRefresh=599,key="套马杆",},{nClass=2,nIcon=4005,nFrame=3,szName="套马杆",nTime=0,key="套马杆",},{nClass=2,nIcon=4005,nFrame=3,szName="套马杆",nTime="1,套马杆·消失啦;2,套马杆·消失啦;3,套马杆·消失啦;20,套马杆·消失啦",nRefresh=0,key="套马杆",},},},</v>
      </c>
      <c r="AN41" t="s">
        <v>2144</v>
      </c>
      <c r="AO41" t="s">
        <v>2145</v>
      </c>
      <c r="AP41" t="s">
        <v>2146</v>
      </c>
      <c r="AQ41" t="s">
        <v>2147</v>
      </c>
    </row>
    <row r="42" spans="1:43" x14ac:dyDescent="0.15">
      <c r="C42">
        <v>1673</v>
      </c>
      <c r="D42">
        <v>1</v>
      </c>
      <c r="I42">
        <v>1</v>
      </c>
      <c r="AM42" t="str">
        <f t="shared" si="0"/>
        <v>{dwID=1673,nLevel=1,nScrutinyType=1,[1]={},[2]={},tCountdown={{nClass=1,nIcon=17135,nFrame=5,bHold=true,szName="召唤宠物",nTime=0,key="召唤宠物",},},},</v>
      </c>
      <c r="AN42" t="s">
        <v>2148</v>
      </c>
    </row>
    <row r="43" spans="1:43" x14ac:dyDescent="0.15">
      <c r="C43">
        <v>15363</v>
      </c>
      <c r="D43">
        <v>1</v>
      </c>
      <c r="I43">
        <v>1</v>
      </c>
      <c r="J43" t="s">
        <v>2149</v>
      </c>
      <c r="L43" t="s">
        <v>2143</v>
      </c>
      <c r="T43">
        <v>1</v>
      </c>
      <c r="AM43" t="str">
        <f t="shared" si="0"/>
        <v>{dwID=15363,nLevel=1,nScrutinyType=1,tKungFu={["SKILL#10021"]=true,["SKILL#10028"]=true,},col={255,255,0,},[1]={bBuffList=true,},[2]={},tCountdown={{nClass=2,nIcon=1444,nFrame=5,szName="为自身添加等级为1持续时间为15秒的寒泉",nTime=0,key="寒泉",},{nClass=1,nIcon=1444,nFrame=5,szName="寒泉",nTime=15,key="寒泉",},},},</v>
      </c>
      <c r="AN43" t="s">
        <v>2150</v>
      </c>
      <c r="AO43" t="s">
        <v>2151</v>
      </c>
    </row>
    <row r="44" spans="1:43" x14ac:dyDescent="0.15">
      <c r="C44">
        <v>17340</v>
      </c>
      <c r="D44">
        <v>1</v>
      </c>
      <c r="I44">
        <v>1</v>
      </c>
      <c r="L44" t="s">
        <v>2152</v>
      </c>
      <c r="T44">
        <v>1</v>
      </c>
      <c r="AM44" t="str">
        <f t="shared" si="0"/>
        <v>{dwID=17340,nLevel=1,nScrutinyType=1,col={0,255,255,},[1]={bBuffList=true,},[2]={},},</v>
      </c>
    </row>
    <row r="45" spans="1:43" x14ac:dyDescent="0.15">
      <c r="C45">
        <v>16517</v>
      </c>
      <c r="D45">
        <v>4</v>
      </c>
      <c r="H45">
        <v>1</v>
      </c>
      <c r="I45">
        <v>1</v>
      </c>
      <c r="Y45">
        <v>1</v>
      </c>
      <c r="AM45" t="str">
        <f t="shared" si="0"/>
        <v>{dwID=16517,nLevel=4,bCheckLevel=true,nScrutinyType=1,[1]={},[2]={bCenterAlarm=true,},tCountdown={{nClass=1,nIcon=4519,nFrame=6,szName="神采飞扬·邮寄礼物·马草饲料",nTime=20,nRefresh=7200,key="训马·交互·神采飞扬",},{nClass=2,nIcon=4519,nFrame=3,szName="神采飞扬·消失",nTime=5,key="训马·心情",},},},</v>
      </c>
      <c r="AN45" t="s">
        <v>2153</v>
      </c>
      <c r="AO45" t="s">
        <v>2154</v>
      </c>
    </row>
    <row r="46" spans="1:43" x14ac:dyDescent="0.15">
      <c r="C46">
        <v>16517</v>
      </c>
      <c r="D46">
        <v>3</v>
      </c>
      <c r="H46">
        <v>1</v>
      </c>
      <c r="I46">
        <v>1</v>
      </c>
      <c r="Y46">
        <v>1</v>
      </c>
      <c r="AM46" t="str">
        <f t="shared" si="0"/>
        <v>{dwID=16517,nLevel=3,bCheckLevel=true,nScrutinyType=1,[1]={},[2]={bCenterAlarm=true,},tCountdown={{nClass=1,nIcon=4521,nFrame=5,szName="无忧无虑·加速成长·lv/20min",nTime=20,nRefresh=7200,key="训马·交互·无忧无虑",},{nClass=2,nIcon=4521,nFrame=3,szName="无忧无虑·消失",nTime=5,key="训马·心情",},},},</v>
      </c>
      <c r="AN46" t="s">
        <v>2155</v>
      </c>
      <c r="AO46" t="s">
        <v>2156</v>
      </c>
    </row>
    <row r="47" spans="1:43" x14ac:dyDescent="0.15">
      <c r="C47">
        <v>244</v>
      </c>
      <c r="D47">
        <v>1</v>
      </c>
      <c r="H47">
        <v>1</v>
      </c>
      <c r="I47">
        <v>1</v>
      </c>
      <c r="AM47" t="str">
        <f t="shared" si="0"/>
        <v>{dwID=244,nLevel=1,bCheckLevel=true,nScrutinyType=1,[1]={},[2]={},tCountdown={{nClass=2,nIcon=6678,nFrame=6,szName="骑御·调息",nTime=-1,key="骑御·调息",},{nClass=2,nIcon=1465,nFrame=-1,szName="　",nTime=0.001,nRefresh=300,key="骑御·劲足",},{nClass=2,nIcon=6491,nFrame=5,szName="骑御·劲足",nTime=-1,key="骑御·劲足",},{nClass=1,nIcon=6678,nFrame=6,szName="调息7级·buff触发倒计时",nTime="18.8,调息·7级·触发剩余;22.8,调息·5级·触发剩余",nRefresh=0,key="骑御·调息",},},},</v>
      </c>
      <c r="AN47" t="s">
        <v>2096</v>
      </c>
      <c r="AO47" t="s">
        <v>2157</v>
      </c>
      <c r="AP47" t="s">
        <v>2158</v>
      </c>
      <c r="AQ47" t="s">
        <v>2159</v>
      </c>
    </row>
    <row r="48" spans="1:43" x14ac:dyDescent="0.15">
      <c r="C48">
        <v>8477</v>
      </c>
      <c r="D48">
        <v>1</v>
      </c>
      <c r="F48">
        <v>6491</v>
      </c>
      <c r="G48" t="s">
        <v>2100</v>
      </c>
      <c r="I48">
        <v>1</v>
      </c>
      <c r="T48">
        <v>1</v>
      </c>
      <c r="AM48" t="str">
        <f t="shared" si="0"/>
        <v>{dwID=8477,nLevel=1,nIcon=6491,szName="劲足",nScrutinyType=1,[1]={bBuffList=true,},[2]={},tCountdown={{nClass=1,nIcon=6678,nFrame=-1,szName="骑御·调息",nTime=0.001,nRefresh=300,key="骑御·调息",},{nClass=1,nIcon=6678,nFrame=-1,szName="骑御·调息",nTime=-1,nRefresh=300,key="骑御·调息",},{nClass=1,nIcon=6491,nFrame=6,szName="骑御·劲足",nTime=0.5,nRefresh=300,key="骑御·劲足",},{nClass=2,nIcon=6491,nFrame=4,szName="劲足·消失",nTime=2,nRefresh=300,key="骑御·劲足",},},},</v>
      </c>
      <c r="AN48" t="s">
        <v>2160</v>
      </c>
      <c r="AO48" t="s">
        <v>2103</v>
      </c>
      <c r="AP48" t="s">
        <v>2104</v>
      </c>
      <c r="AQ48" t="s">
        <v>2161</v>
      </c>
    </row>
    <row r="49" spans="1:41" x14ac:dyDescent="0.15">
      <c r="C49">
        <v>8607</v>
      </c>
      <c r="D49">
        <v>1</v>
      </c>
      <c r="T49">
        <v>1</v>
      </c>
      <c r="AM49" t="str">
        <f t="shared" si="0"/>
        <v>{dwID=8607,nLevel=1,[1]={bBuffList=true,},[2]={},tCountdown={{nClass=1,nIcon=6678,nFrame=6,szName="骑御·调息",nTime=0,key="骑御·调息",},},},</v>
      </c>
      <c r="AN49" t="s">
        <v>2106</v>
      </c>
    </row>
    <row r="50" spans="1:41" x14ac:dyDescent="0.15">
      <c r="C50">
        <v>27490</v>
      </c>
      <c r="D50">
        <v>1</v>
      </c>
      <c r="I50">
        <v>1</v>
      </c>
      <c r="K50" t="s">
        <v>22</v>
      </c>
      <c r="L50" t="s">
        <v>2120</v>
      </c>
      <c r="R50">
        <v>1</v>
      </c>
      <c r="T50">
        <v>1</v>
      </c>
      <c r="U50">
        <v>1</v>
      </c>
      <c r="AD50" t="s">
        <v>2162</v>
      </c>
      <c r="AE50">
        <v>2</v>
      </c>
      <c r="AF50" t="s">
        <v>2123</v>
      </c>
      <c r="AG50" t="s">
        <v>2130</v>
      </c>
      <c r="AH50">
        <v>255</v>
      </c>
      <c r="AK50">
        <v>1</v>
      </c>
      <c r="AM50" t="str">
        <f t="shared" si="0"/>
        <v>{dwID=27490,nLevel=1,nScrutinyType=1,szNote="抓捕的卢时不可选中",col={179,238,58,},[1]={bScreenHead=true,bBuffList=true,bTeamPanel=true,},[2]={},aCataclysmBuff={{szReminder="免 专注",nPriority=2,col="#B3EE3AFF",colScreenHead="#B3EE3A",nColAlpha=255,bScreenHead=true,},},tCountdown={{nClass=1,nIcon=4408,nFrame=6,szName="驰踪令·无法选中",nTime=20,key="驰踪令·专注",},{nClass=2,nIcon=4408,nFrame=5,szName="驰踪令·专注",nTime=0,key="驰踪令·专注",},},},</v>
      </c>
      <c r="AN50" t="s">
        <v>2163</v>
      </c>
      <c r="AO50" t="s">
        <v>2164</v>
      </c>
    </row>
    <row r="51" spans="1:41" x14ac:dyDescent="0.15">
      <c r="C51">
        <v>631</v>
      </c>
      <c r="D51">
        <v>1</v>
      </c>
      <c r="K51" t="s">
        <v>23</v>
      </c>
      <c r="L51" t="s">
        <v>2165</v>
      </c>
      <c r="AB51">
        <v>1</v>
      </c>
      <c r="AD51" t="s">
        <v>2166</v>
      </c>
      <c r="AE51">
        <v>5</v>
      </c>
      <c r="AF51" t="s">
        <v>2167</v>
      </c>
      <c r="AH51">
        <v>255</v>
      </c>
      <c r="AI51">
        <v>1</v>
      </c>
      <c r="AM51" t="str">
        <f t="shared" si="0"/>
        <v>{dwID=631,nLevel=1,szNote="握针",col={31,255,238,},[1]={},[2]={},aCataclysmBuff={{bOnlyMine=true,szReminder="握 奶花技能握针hot",nPriority=5,col="#1FFFEEFF",nColAlpha=255,bAttention=true,},},},</v>
      </c>
    </row>
    <row r="52" spans="1:41" x14ac:dyDescent="0.15">
      <c r="C52">
        <v>7561</v>
      </c>
      <c r="D52">
        <v>1</v>
      </c>
      <c r="K52" t="s">
        <v>406</v>
      </c>
      <c r="L52" t="s">
        <v>2168</v>
      </c>
      <c r="R52">
        <v>1</v>
      </c>
      <c r="S52">
        <v>1</v>
      </c>
      <c r="T52">
        <v>1</v>
      </c>
      <c r="U52">
        <v>1</v>
      </c>
      <c r="AD52" t="s">
        <v>406</v>
      </c>
      <c r="AE52">
        <v>4</v>
      </c>
      <c r="AF52" t="s">
        <v>2169</v>
      </c>
      <c r="AG52" t="s">
        <v>2170</v>
      </c>
      <c r="AH52">
        <v>255</v>
      </c>
      <c r="AK52">
        <v>1</v>
      </c>
      <c r="AM52" t="str">
        <f t="shared" si="0"/>
        <v>{dwID=7561,nLevel=1,szNote="守卫据点",col={0,255,0,},[1]={bScreenHead=true,bPartyBuffList=true,bBuffList=true,bTeamPanel=true,},[2]={},aCataclysmBuff={{szReminder="守卫据点",nPriority=4,col="#00FF00FF",colScreenHead="#00FF00",nColAlpha=255,bScreenHead=true,},},},</v>
      </c>
    </row>
    <row r="53" spans="1:41" x14ac:dyDescent="0.15">
      <c r="C53">
        <v>7525</v>
      </c>
      <c r="D53">
        <v>1</v>
      </c>
      <c r="K53" t="s">
        <v>405</v>
      </c>
      <c r="L53" t="s">
        <v>2168</v>
      </c>
      <c r="R53">
        <v>1</v>
      </c>
      <c r="S53">
        <v>1</v>
      </c>
      <c r="T53">
        <v>1</v>
      </c>
      <c r="U53">
        <v>1</v>
      </c>
      <c r="AD53" t="s">
        <v>405</v>
      </c>
      <c r="AE53">
        <v>4</v>
      </c>
      <c r="AF53" t="s">
        <v>2169</v>
      </c>
      <c r="AG53" t="s">
        <v>2170</v>
      </c>
      <c r="AH53">
        <v>255</v>
      </c>
      <c r="AK53">
        <v>1</v>
      </c>
      <c r="AM53" t="str">
        <f t="shared" si="0"/>
        <v>{dwID=7525,nLevel=1,szNote="据点大旗",col={0,255,0,},[1]={bScreenHead=true,bPartyBuffList=true,bBuffList=true,bTeamPanel=true,},[2]={},aCataclysmBuff={{szReminder="据点大旗",nPriority=4,col="#00FF00FF",colScreenHead="#00FF00",nColAlpha=255,bScreenHead=true,},},tCountdown={{nClass=1,nIcon=592,nFrame=8,szName="【{$receiver}】·占领据点",nTime=600,key="占领据点",},{nClass=2,nIcon=592,nFrame=8,szName="占领据点",nTime=0,key="占领据点",},},},</v>
      </c>
      <c r="AN53" t="s">
        <v>2171</v>
      </c>
      <c r="AO53" t="s">
        <v>2172</v>
      </c>
    </row>
    <row r="54" spans="1:41" x14ac:dyDescent="0.15">
      <c r="A54" t="s">
        <v>2173</v>
      </c>
      <c r="B54">
        <v>-5</v>
      </c>
      <c r="AM54" t="str">
        <f t="shared" si="0"/>
        <v>},[-5]={</v>
      </c>
    </row>
    <row r="55" spans="1:41" x14ac:dyDescent="0.15">
      <c r="C55">
        <v>20938</v>
      </c>
      <c r="D55">
        <v>1</v>
      </c>
      <c r="J55" t="s">
        <v>2174</v>
      </c>
      <c r="L55" t="s">
        <v>2152</v>
      </c>
      <c r="T55">
        <v>1</v>
      </c>
      <c r="AM55" t="str">
        <f t="shared" si="0"/>
        <v>{dwID=20938,nLevel=1,tKungFu={["SKILL#10080"]=true,},col={0,255,255,},[1]={bBuffList=true,},[2]={},tCountdown={{nClass=2,nIcon=904,nFrame=5,szName="倒计时 {$B20938}",nTime="1,【{$receiver}】·补左旋右转;2,【{$receiver}】·补左旋右转,VO:ShiYongTeShuJiNeng;5,【{$receiver}】·补左旋右转",nRefresh=1,key="KEY·左旋右转",},},},</v>
      </c>
      <c r="AN55" t="s">
        <v>2175</v>
      </c>
    </row>
    <row r="56" spans="1:41" x14ac:dyDescent="0.15">
      <c r="C56">
        <v>20854</v>
      </c>
      <c r="D56">
        <v>1</v>
      </c>
      <c r="J56" t="s">
        <v>2176</v>
      </c>
      <c r="L56" t="s">
        <v>2152</v>
      </c>
      <c r="T56">
        <v>1</v>
      </c>
      <c r="AM56" t="str">
        <f t="shared" si="0"/>
        <v>{dwID=20854,nLevel=1,tKungFu={["SKILL#10626"]=true,},col={0,255,255,},[1]={bBuffList=true,},[2]={},tCountdown={{nClass=1,nIcon=15692,nFrame=5,szName="KEY·飘黄",nTime=0,nRefresh=1,key="KEY·飘黄",},},},</v>
      </c>
      <c r="AN56" t="s">
        <v>2177</v>
      </c>
    </row>
    <row r="57" spans="1:41" x14ac:dyDescent="0.15">
      <c r="A57" t="s">
        <v>2178</v>
      </c>
      <c r="B57">
        <v>-4</v>
      </c>
      <c r="AM57" t="str">
        <f t="shared" si="0"/>
        <v>},[-4]={</v>
      </c>
    </row>
    <row r="58" spans="1:41" x14ac:dyDescent="0.15">
      <c r="C58">
        <v>20938</v>
      </c>
      <c r="D58">
        <v>1</v>
      </c>
      <c r="J58" t="s">
        <v>2174</v>
      </c>
      <c r="L58" t="s">
        <v>2152</v>
      </c>
      <c r="T58">
        <v>1</v>
      </c>
      <c r="AM58" t="str">
        <f t="shared" si="0"/>
        <v>{dwID=20938,nLevel=1,tKungFu={["SKILL#10080"]=true,},col={0,255,255,},[1]={bBuffList=true,},[2]={},tCountdown={{nClass=2,nIcon=904,nFrame=5,szName="倒计时 {$B20938}",nTime="1,【{$receiver}】·补左旋右转;2,【{$receiver}】·补左旋右转,VO:ShiYongTeShuJiNeng;5,【{$receiver}】·补左旋右转",nRefresh=1,key="KEY·左旋右转",},},},</v>
      </c>
      <c r="AN58" t="s">
        <v>2175</v>
      </c>
    </row>
    <row r="59" spans="1:41" x14ac:dyDescent="0.15">
      <c r="C59">
        <v>20854</v>
      </c>
      <c r="D59">
        <v>1</v>
      </c>
      <c r="J59" t="s">
        <v>2176</v>
      </c>
      <c r="L59" t="s">
        <v>2152</v>
      </c>
      <c r="T59">
        <v>1</v>
      </c>
      <c r="AM59" t="str">
        <f t="shared" si="0"/>
        <v>{dwID=20854,nLevel=1,tKungFu={["SKILL#10626"]=true,},col={0,255,255,},[1]={bBuffList=true,},[2]={},tCountdown={{nClass=1,nIcon=15692,nFrame=5,szName="KEY·飘黄",nTime=0,nRefresh=1,key="KEY·飘黄",},},},</v>
      </c>
      <c r="AN59" t="s">
        <v>2177</v>
      </c>
    </row>
    <row r="60" spans="1:41" x14ac:dyDescent="0.15">
      <c r="A60" t="s">
        <v>2179</v>
      </c>
      <c r="B60">
        <v>-3</v>
      </c>
      <c r="AM60" t="str">
        <f t="shared" si="0"/>
        <v>},[-3]={</v>
      </c>
    </row>
    <row r="61" spans="1:41" x14ac:dyDescent="0.15">
      <c r="C61">
        <v>13926</v>
      </c>
      <c r="D61">
        <v>1</v>
      </c>
      <c r="F61">
        <v>4533</v>
      </c>
      <c r="G61" t="s">
        <v>2180</v>
      </c>
      <c r="I61">
        <v>1</v>
      </c>
      <c r="L61" t="s">
        <v>2181</v>
      </c>
      <c r="T61">
        <v>1</v>
      </c>
      <c r="AM61" t="str">
        <f t="shared" si="0"/>
        <v>{dwID=13926,nLevel=1,nIcon=4533,szName="免伤",nScrutinyType=1,col={255,150,0,},[1]={bBuffList=true,},[2]={},},</v>
      </c>
    </row>
    <row r="62" spans="1:41" x14ac:dyDescent="0.15">
      <c r="C62">
        <v>2562</v>
      </c>
      <c r="D62">
        <v>1</v>
      </c>
      <c r="I62">
        <v>1</v>
      </c>
      <c r="AM62" t="str">
        <f t="shared" si="0"/>
        <v>{dwID=2562,nLevel=1,nScrutinyType=1,[1]={},[2]={},tCountdown={{nClass=2,nIcon=1546,nFrame=5,szName="南瓜盅菜盘·消失",nTime=3,nRefresh=60,key="帮会外食",},},},</v>
      </c>
      <c r="AN62" t="s">
        <v>2182</v>
      </c>
    </row>
    <row r="63" spans="1:41" x14ac:dyDescent="0.15">
      <c r="C63">
        <v>2564</v>
      </c>
      <c r="D63">
        <v>1</v>
      </c>
      <c r="I63">
        <v>1</v>
      </c>
      <c r="AM63" t="str">
        <f t="shared" si="0"/>
        <v>{dwID=2564,nLevel=1,nScrutinyType=1,[1]={},[2]={},tCountdown={{nClass=2,nIcon=546,nFrame=5,szName="肘子菜盘·消失",nTime=3,nRefresh=60,key="帮会外食",},},},</v>
      </c>
      <c r="AN63" t="s">
        <v>2183</v>
      </c>
    </row>
    <row r="64" spans="1:41" x14ac:dyDescent="0.15">
      <c r="C64">
        <v>2563</v>
      </c>
      <c r="D64">
        <v>1</v>
      </c>
      <c r="I64">
        <v>1</v>
      </c>
      <c r="AM64" t="str">
        <f t="shared" si="0"/>
        <v>{dwID=2563,nLevel=1,nScrutinyType=1,[1]={},[2]={},tCountdown={{nClass=2,nIcon=552,nFrame=5,szName="蒸鱼菜盘·消失",nTime=3,nRefresh=60,key="帮会外食",},},},</v>
      </c>
      <c r="AN64" t="s">
        <v>2184</v>
      </c>
    </row>
    <row r="65" spans="3:41" x14ac:dyDescent="0.15">
      <c r="C65">
        <v>2560</v>
      </c>
      <c r="D65">
        <v>1</v>
      </c>
      <c r="I65">
        <v>1</v>
      </c>
      <c r="AM65" t="str">
        <f t="shared" si="0"/>
        <v>{dwID=2560,nLevel=1,nScrutinyType=1,[1]={},[2]={},tCountdown={{nClass=2,nIcon=264,nFrame=5,szName="鸡肉菜盘·消失",nTime=3,nRefresh=60,key="帮会外食",},},},</v>
      </c>
      <c r="AN65" t="s">
        <v>2185</v>
      </c>
    </row>
    <row r="66" spans="3:41" x14ac:dyDescent="0.15">
      <c r="C66">
        <v>17963</v>
      </c>
      <c r="D66">
        <v>1</v>
      </c>
      <c r="I66">
        <v>1</v>
      </c>
      <c r="AM66" t="str">
        <f t="shared" ref="AM66:AM129" si="1">IF(B66&lt;&gt;"",IF(IFERROR(VALUE(C65),0)&lt;=0,"["&amp;B66&amp;"]={","},["&amp;B66&amp;"]={"),IF(C66&gt;0,"{dwID="&amp;C66&amp;","&amp;"nLevel="&amp;D66&amp;","&amp;IF(E66&gt;0,"nCount="&amp;E66&amp;",","")&amp;IF(F66&gt;0,"nIcon="&amp;F66&amp;",","")&amp;IF(G66&lt;&gt;"","szName="""&amp;G66&amp;""",","")&amp;IF(H66&gt;0,"bCheckLevel=true,","")&amp;IF(I66&gt;0,"nScrutinyType="&amp;I66&amp;",","")&amp;IF(J66&lt;&gt;"","tKungFu={"&amp;J66&amp;"},","")&amp;IF(K66&lt;&gt;"","szNote="""&amp;K66&amp;""",","")&amp;IF(L66&lt;&gt;"","col={"&amp;L66&amp;"},","")&amp;"[1]={"&amp;IF(M66&lt;&gt;"","tMark={"&amp;M66&amp;"},","")&amp;IF(N66&lt;&gt;"","szVoice="""&amp;N66&amp;""",","")&amp;IF(O66&gt;0,"bCheckLevel=true,","")&amp;IF(P66&gt;0,"bWhisperChannel=true,","")&amp;IF(Q66&gt;0,"bCenterAlarm=true,","")&amp;IF(R66&gt;0,"bScreenHead=true,","")&amp;IF(S66&gt;0,"bPartyBuffList=true,","")&amp;IF(T66&gt;0,"bBuffList=true,","")&amp;IF(U66&gt;0,"bTeamPanel=true,","")&amp;IF(V66&gt;0,"bOnlySelfSrc=true,","")&amp;"},"&amp;"[2]={"&amp;IF(W66&gt;0,"bCheckLevel=true,","")&amp;IF(X66&gt;0,"bWhisperChannel=true,","")&amp;IF(Y66&gt;0,"bCenterAlarm=true,","")&amp;"},"&amp;IF(OR(Z66&gt;0,AD66&lt;&gt;"",AE66&gt;0,AF66&lt;&gt;"",AG66&lt;&gt;"",AH66&gt;0,AI66&gt;0,AJ66&gt;0,AK66&gt;0),"aCataclysmBuff={{"&amp;IF(Z66&gt;0,"nStackNum="&amp;Z66&amp;",","")&amp;IF(AA66&lt;&gt;"","szStackOp="""&amp;AA66&amp;""",","")&amp;IF(AB66&gt;0,"bOnlyMine=true,","")&amp;IF(AC66&gt;0,"bOnlyMe=true,","")&amp;IF(AD66&lt;&gt;"","szReminder="""&amp;AD66&amp;""",","")&amp;IF(AE66&gt;0,"nPriority="&amp;AE66&amp;",","")&amp;IF(AF66&lt;&gt;"","col="""&amp;AF66&amp;""",","")&amp;IF(AG66&lt;&gt;"","colScreenHead="""&amp;AG66&amp;""",","")&amp;IF(AH66&gt;0,"nColAlpha="&amp;AH66&amp;",","")&amp;IF(AI66&gt;0,"bAttention=true,","")&amp;IF(AJ66&gt;0,"bCaution=true,","")&amp;IF(AK66&gt;0,"bScreenHead=true,","")&amp;"},"&amp;AL66&amp;"},","")&amp;IF(AN66&lt;&gt;"","tCountdown={"&amp;_xlfn.TEXTJOIN("",TRUE,AN66:ZY66)&amp;"},","")&amp;"},",IF(C65&gt;0,"},","")&amp;IF(AND(B66="",C66="",OR(B65&lt;&gt;"",C65&lt;&gt;"")),"},}","")))</f>
        <v>{dwID=17963,nLevel=1,nScrutinyType=1,[1]={},[2]={},tCountdown={{nClass=2,nIcon=171,nFrame=5,szName="烧鸡外食·消失",nTime=3,nRefresh=60,key="帮会外食",},},},</v>
      </c>
      <c r="AN66" t="s">
        <v>2186</v>
      </c>
    </row>
    <row r="67" spans="3:41" x14ac:dyDescent="0.15">
      <c r="C67">
        <v>20854</v>
      </c>
      <c r="D67">
        <v>1</v>
      </c>
      <c r="J67" t="s">
        <v>2176</v>
      </c>
      <c r="L67" t="s">
        <v>2152</v>
      </c>
      <c r="T67">
        <v>1</v>
      </c>
      <c r="AM67" t="str">
        <f t="shared" si="1"/>
        <v>{dwID=20854,nLevel=1,tKungFu={["SKILL#10626"]=true,},col={0,255,255,},[1]={bBuffList=true,},[2]={},tCountdown={{nClass=1,nIcon=15692,nFrame=5,szName="KEY·飘黄",nTime=0,key="KEY·飘黄",},},},</v>
      </c>
      <c r="AN67" t="s">
        <v>2187</v>
      </c>
    </row>
    <row r="68" spans="3:41" x14ac:dyDescent="0.15">
      <c r="C68">
        <v>20938</v>
      </c>
      <c r="D68">
        <v>1</v>
      </c>
      <c r="J68" t="s">
        <v>2174</v>
      </c>
      <c r="L68" t="s">
        <v>2152</v>
      </c>
      <c r="T68">
        <v>1</v>
      </c>
      <c r="AM68" t="str">
        <f t="shared" si="1"/>
        <v>{dwID=20938,nLevel=1,tKungFu={["SKILL#10080"]=true,},col={0,255,255,},[1]={bBuffList=true,},[2]={},tCountdown={{nClass=2,nIcon=904,nFrame=5,szName="倒计时 {$B20938}",nTime="1,【{$receiver}】·补左旋右转;2,【{$receiver}】·补左旋右转,VO:ShiYongTeShuJiNeng;5,【{$receiver}】·补左旋右转",nRefresh=1,key="KEY·左旋右转",},},},</v>
      </c>
      <c r="AN68" t="s">
        <v>2175</v>
      </c>
    </row>
    <row r="69" spans="3:41" x14ac:dyDescent="0.15">
      <c r="C69">
        <v>23392</v>
      </c>
      <c r="D69">
        <v>1</v>
      </c>
      <c r="G69" t="s">
        <v>2188</v>
      </c>
      <c r="I69">
        <v>1</v>
      </c>
      <c r="L69" t="s">
        <v>2152</v>
      </c>
      <c r="T69">
        <v>1</v>
      </c>
      <c r="AM69" t="str">
        <f t="shared" si="1"/>
        <v>{dwID=23392,nLevel=1,szName="子规笛",nScrutinyType=1,col={0,255,255,},[1]={bBuffList=true,},[2]={},tCountdown={{nClass=1,nIcon=13346,nFrame=5,szName="子规笛·战",nTime=0,key="子规笛·战",},{nClass=2,nIcon=13346,nFrame=3,szName="子规笛·战·消失",nTime=5,key="子规笛·战",},},},</v>
      </c>
      <c r="AN69" t="s">
        <v>2189</v>
      </c>
      <c r="AO69" t="s">
        <v>2190</v>
      </c>
    </row>
    <row r="70" spans="3:41" x14ac:dyDescent="0.15">
      <c r="C70">
        <v>24725</v>
      </c>
      <c r="D70">
        <v>1</v>
      </c>
      <c r="I70">
        <v>1</v>
      </c>
      <c r="L70" t="s">
        <v>2152</v>
      </c>
      <c r="T70">
        <v>1</v>
      </c>
      <c r="AM70" t="str">
        <f t="shared" si="1"/>
        <v>{dwID=24725,nLevel=1,nScrutinyType=1,col={0,255,255,},[1]={bBuffList=true,},[2]={},tCountdown={{nClass=2,nIcon=4543,nFrame=5,szName="子规笛·疾",nTime=0,key="子规笛·疾",},{nClass=1,nIcon=4543,nFrame=6,szName="子规笛·疾",nTime=15,key="子规笛·疾",},},},</v>
      </c>
      <c r="AN70" t="s">
        <v>2191</v>
      </c>
      <c r="AO70" t="s">
        <v>2192</v>
      </c>
    </row>
    <row r="71" spans="3:41" x14ac:dyDescent="0.15">
      <c r="C71">
        <v>15363</v>
      </c>
      <c r="D71">
        <v>1</v>
      </c>
      <c r="I71">
        <v>1</v>
      </c>
      <c r="J71" t="s">
        <v>2149</v>
      </c>
      <c r="L71" t="s">
        <v>2143</v>
      </c>
      <c r="T71">
        <v>1</v>
      </c>
      <c r="AM71" t="str">
        <f t="shared" si="1"/>
        <v>{dwID=15363,nLevel=1,nScrutinyType=1,tKungFu={["SKILL#10021"]=true,["SKILL#10028"]=true,},col={255,255,0,},[1]={bBuffList=true,},[2]={},tCountdown={{nClass=2,nIcon=1444,nFrame=5,szName="为自身添加等级为1持续时间为15秒的寒泉",nTime=0,key="寒泉",},},},</v>
      </c>
      <c r="AN71" t="s">
        <v>2150</v>
      </c>
    </row>
    <row r="72" spans="3:41" x14ac:dyDescent="0.15">
      <c r="C72">
        <v>4805</v>
      </c>
      <c r="D72">
        <v>1</v>
      </c>
      <c r="I72">
        <v>1</v>
      </c>
      <c r="L72" t="s">
        <v>2143</v>
      </c>
      <c r="AM72" t="str">
        <f t="shared" si="1"/>
        <v>{dwID=4805,nLevel=1,nScrutinyType=1,col={255,255,0,},[1]={},[2]={},tCountdown={{nClass=1,nIcon=4005,nFrame=5,szName="套马杆",nTime=-1,key="套马杆",},{nClass=2,nIcon=4005,nFrame=3,szName="套马杆",nTime=-1,key="套马杆",},},},</v>
      </c>
      <c r="AN72" t="s">
        <v>2193</v>
      </c>
      <c r="AO72" t="s">
        <v>2194</v>
      </c>
    </row>
    <row r="73" spans="3:41" x14ac:dyDescent="0.15">
      <c r="C73">
        <v>5693</v>
      </c>
      <c r="D73">
        <v>1</v>
      </c>
      <c r="AB73">
        <v>1</v>
      </c>
      <c r="AD73" t="s">
        <v>2195</v>
      </c>
      <c r="AE73">
        <v>6</v>
      </c>
      <c r="AF73" t="s">
        <v>2196</v>
      </c>
      <c r="AH73">
        <v>255</v>
      </c>
      <c r="AI73">
        <v>1</v>
      </c>
      <c r="AM73" t="str">
        <f t="shared" si="1"/>
        <v>{dwID=5693,nLevel=1,[1]={},[2]={},aCataclysmBuff={{bOnlyMine=true,szReminder="述 奶花奇穴述怀hot",nPriority=6,col="#00EE00FF",nColAlpha=255,bAttention=true,},},},</v>
      </c>
    </row>
    <row r="74" spans="3:41" x14ac:dyDescent="0.15">
      <c r="C74">
        <v>680</v>
      </c>
      <c r="D74">
        <v>1</v>
      </c>
      <c r="AB74">
        <v>1</v>
      </c>
      <c r="AD74" t="s">
        <v>2197</v>
      </c>
      <c r="AE74">
        <v>5</v>
      </c>
      <c r="AF74" t="s">
        <v>2196</v>
      </c>
      <c r="AH74">
        <v>255</v>
      </c>
      <c r="AI74">
        <v>1</v>
      </c>
      <c r="AM74" t="str">
        <f t="shared" si="1"/>
        <v>{dwID=680,nLevel=1,[1]={},[2]={},aCataclysmBuff={{bOnlyMine=true,szReminder="翔 奶秀技能翔舞hot",nPriority=5,col="#00EE00FF",nColAlpha=255,bAttention=true,},},},</v>
      </c>
    </row>
    <row r="75" spans="3:41" x14ac:dyDescent="0.15">
      <c r="C75">
        <v>681</v>
      </c>
      <c r="D75">
        <v>1</v>
      </c>
      <c r="AB75">
        <v>1</v>
      </c>
      <c r="AD75" t="s">
        <v>2198</v>
      </c>
      <c r="AE75">
        <v>6</v>
      </c>
      <c r="AF75" t="s">
        <v>2196</v>
      </c>
      <c r="AH75">
        <v>255</v>
      </c>
      <c r="AI75">
        <v>1</v>
      </c>
      <c r="AM75" t="str">
        <f t="shared" si="1"/>
        <v>{dwID=681,nLevel=1,[1]={},[2]={},aCataclysmBuff={{bOnlyMine=true,szReminder="元 奶秀技能上元hot",nPriority=6,col="#00EE00FF",nColAlpha=255,bAttention=true,},},},</v>
      </c>
    </row>
    <row r="76" spans="3:41" x14ac:dyDescent="0.15">
      <c r="C76">
        <v>20070</v>
      </c>
      <c r="D76">
        <v>1</v>
      </c>
      <c r="AB76">
        <v>1</v>
      </c>
      <c r="AD76" t="s">
        <v>2199</v>
      </c>
      <c r="AE76">
        <v>5</v>
      </c>
      <c r="AF76" t="s">
        <v>2196</v>
      </c>
      <c r="AH76">
        <v>255</v>
      </c>
      <c r="AI76">
        <v>1</v>
      </c>
      <c r="AM76" t="str">
        <f t="shared" si="1"/>
        <v>{dwID=20070,nLevel=1,[1]={},[2]={},aCataclysmBuff={{bOnlyMine=true,szReminder="芍 赤芍寒香",nPriority=5,col="#00EE00FF",nColAlpha=255,bAttention=true,},},},</v>
      </c>
    </row>
    <row r="77" spans="3:41" x14ac:dyDescent="0.15">
      <c r="C77">
        <v>9334</v>
      </c>
      <c r="D77">
        <v>1</v>
      </c>
      <c r="L77" t="s">
        <v>2165</v>
      </c>
      <c r="AB77">
        <v>1</v>
      </c>
      <c r="AD77" t="s">
        <v>2200</v>
      </c>
      <c r="AE77">
        <v>4</v>
      </c>
      <c r="AF77" t="s">
        <v>2167</v>
      </c>
      <c r="AH77">
        <v>255</v>
      </c>
      <c r="AI77">
        <v>1</v>
      </c>
      <c r="AM77" t="str">
        <f t="shared" si="1"/>
        <v>{dwID=9334,nLevel=1,col={31,255,238,},[1]={},[2]={},aCataclysmBuff={{bOnlyMine=true,szReminder="梅 奶歌技能梅花三弄化解",nPriority=4,col="#1FFFEEFF",nColAlpha=255,bAttention=true,},},},</v>
      </c>
    </row>
    <row r="78" spans="3:41" x14ac:dyDescent="0.15">
      <c r="C78">
        <v>9454</v>
      </c>
      <c r="D78">
        <v>1</v>
      </c>
      <c r="L78" t="s">
        <v>2168</v>
      </c>
      <c r="AB78">
        <v>1</v>
      </c>
      <c r="AD78" t="s">
        <v>2201</v>
      </c>
      <c r="AE78">
        <v>5</v>
      </c>
      <c r="AF78" t="s">
        <v>2196</v>
      </c>
      <c r="AH78">
        <v>255</v>
      </c>
      <c r="AI78">
        <v>1</v>
      </c>
      <c r="AM78" t="str">
        <f t="shared" si="1"/>
        <v>{dwID=9454,nLevel=1,col={0,255,0,},[1]={},[2]={},aCataclysmBuff={{bOnlyMine=true,szReminder="宫 奶歌技能宫hot",nPriority=5,col="#00EE00FF",nColAlpha=255,bAttention=true,},},},</v>
      </c>
    </row>
    <row r="79" spans="3:41" x14ac:dyDescent="0.15">
      <c r="C79">
        <v>9455</v>
      </c>
      <c r="D79">
        <v>1</v>
      </c>
      <c r="L79" t="s">
        <v>2168</v>
      </c>
      <c r="AB79">
        <v>1</v>
      </c>
      <c r="AD79" t="s">
        <v>2201</v>
      </c>
      <c r="AE79">
        <v>5</v>
      </c>
      <c r="AF79" t="s">
        <v>2196</v>
      </c>
      <c r="AH79">
        <v>255</v>
      </c>
      <c r="AI79">
        <v>1</v>
      </c>
      <c r="AM79" t="str">
        <f t="shared" si="1"/>
        <v>{dwID=9455,nLevel=1,col={0,255,0,},[1]={},[2]={},aCataclysmBuff={{bOnlyMine=true,szReminder="宫 奶歌技能宫hot",nPriority=5,col="#00EE00FF",nColAlpha=255,bAttention=true,},},},</v>
      </c>
    </row>
    <row r="80" spans="3:41" x14ac:dyDescent="0.15">
      <c r="C80">
        <v>9456</v>
      </c>
      <c r="D80">
        <v>1</v>
      </c>
      <c r="L80" t="s">
        <v>2168</v>
      </c>
      <c r="AB80">
        <v>1</v>
      </c>
      <c r="AD80" t="s">
        <v>2201</v>
      </c>
      <c r="AE80">
        <v>5</v>
      </c>
      <c r="AF80" t="s">
        <v>2196</v>
      </c>
      <c r="AH80">
        <v>255</v>
      </c>
      <c r="AI80">
        <v>1</v>
      </c>
      <c r="AM80" t="str">
        <f t="shared" si="1"/>
        <v>{dwID=9456,nLevel=1,col={0,255,0,},[1]={},[2]={},aCataclysmBuff={{bOnlyMine=true,szReminder="宫 奶歌技能宫hot",nPriority=5,col="#00EE00FF",nColAlpha=255,bAttention=true,},},},</v>
      </c>
    </row>
    <row r="81" spans="3:39" x14ac:dyDescent="0.15">
      <c r="C81">
        <v>9457</v>
      </c>
      <c r="D81">
        <v>1</v>
      </c>
      <c r="L81" t="s">
        <v>2168</v>
      </c>
      <c r="AB81">
        <v>1</v>
      </c>
      <c r="AD81" t="s">
        <v>2201</v>
      </c>
      <c r="AE81">
        <v>5</v>
      </c>
      <c r="AF81" t="s">
        <v>2196</v>
      </c>
      <c r="AH81">
        <v>255</v>
      </c>
      <c r="AI81">
        <v>1</v>
      </c>
      <c r="AM81" t="str">
        <f t="shared" si="1"/>
        <v>{dwID=9457,nLevel=1,col={0,255,0,},[1]={},[2]={},aCataclysmBuff={{bOnlyMine=true,szReminder="宫 奶歌技能宫hot",nPriority=5,col="#00EE00FF",nColAlpha=255,bAttention=true,},},},</v>
      </c>
    </row>
    <row r="82" spans="3:39" x14ac:dyDescent="0.15">
      <c r="C82">
        <v>9459</v>
      </c>
      <c r="D82">
        <v>1</v>
      </c>
      <c r="L82" t="s">
        <v>2168</v>
      </c>
      <c r="AB82">
        <v>1</v>
      </c>
      <c r="AD82" t="s">
        <v>2202</v>
      </c>
      <c r="AE82">
        <v>6</v>
      </c>
      <c r="AF82" t="s">
        <v>2196</v>
      </c>
      <c r="AH82">
        <v>255</v>
      </c>
      <c r="AI82">
        <v>1</v>
      </c>
      <c r="AM82" t="str">
        <f t="shared" si="1"/>
        <v>{dwID=9459,nLevel=1,col={0,255,0,},[1]={},[2]={},aCataclysmBuff={{bOnlyMine=true,szReminder="商 奶歌技能商hot",nPriority=6,col="#00EE00FF",nColAlpha=255,bAttention=true,},},},</v>
      </c>
    </row>
    <row r="83" spans="3:39" x14ac:dyDescent="0.15">
      <c r="C83">
        <v>9460</v>
      </c>
      <c r="D83">
        <v>1</v>
      </c>
      <c r="L83" t="s">
        <v>2168</v>
      </c>
      <c r="AB83">
        <v>1</v>
      </c>
      <c r="AD83" t="s">
        <v>2202</v>
      </c>
      <c r="AE83">
        <v>6</v>
      </c>
      <c r="AF83" t="s">
        <v>2196</v>
      </c>
      <c r="AH83">
        <v>255</v>
      </c>
      <c r="AI83">
        <v>1</v>
      </c>
      <c r="AM83" t="str">
        <f t="shared" si="1"/>
        <v>{dwID=9460,nLevel=1,col={0,255,0,},[1]={},[2]={},aCataclysmBuff={{bOnlyMine=true,szReminder="商 奶歌技能商hot",nPriority=6,col="#00EE00FF",nColAlpha=255,bAttention=true,},},},</v>
      </c>
    </row>
    <row r="84" spans="3:39" x14ac:dyDescent="0.15">
      <c r="C84">
        <v>9461</v>
      </c>
      <c r="D84">
        <v>1</v>
      </c>
      <c r="L84" t="s">
        <v>2168</v>
      </c>
      <c r="AB84">
        <v>1</v>
      </c>
      <c r="AD84" t="s">
        <v>2202</v>
      </c>
      <c r="AE84">
        <v>6</v>
      </c>
      <c r="AF84" t="s">
        <v>2196</v>
      </c>
      <c r="AH84">
        <v>255</v>
      </c>
      <c r="AI84">
        <v>1</v>
      </c>
      <c r="AM84" t="str">
        <f t="shared" si="1"/>
        <v>{dwID=9461,nLevel=1,col={0,255,0,},[1]={},[2]={},aCataclysmBuff={{bOnlyMine=true,szReminder="商 奶歌技能商hot",nPriority=6,col="#00EE00FF",nColAlpha=255,bAttention=true,},},},</v>
      </c>
    </row>
    <row r="85" spans="3:39" x14ac:dyDescent="0.15">
      <c r="C85">
        <v>9462</v>
      </c>
      <c r="D85">
        <v>1</v>
      </c>
      <c r="L85" t="s">
        <v>2168</v>
      </c>
      <c r="AB85">
        <v>1</v>
      </c>
      <c r="AD85" t="s">
        <v>2202</v>
      </c>
      <c r="AE85">
        <v>6</v>
      </c>
      <c r="AF85" t="s">
        <v>2196</v>
      </c>
      <c r="AH85">
        <v>255</v>
      </c>
      <c r="AI85">
        <v>1</v>
      </c>
      <c r="AM85" t="str">
        <f t="shared" si="1"/>
        <v>{dwID=9462,nLevel=1,col={0,255,0,},[1]={},[2]={},aCataclysmBuff={{bOnlyMine=true,szReminder="商 奶歌技能商hot",nPriority=6,col="#00EE00FF",nColAlpha=255,bAttention=true,},},},</v>
      </c>
    </row>
    <row r="86" spans="3:39" x14ac:dyDescent="0.15">
      <c r="C86">
        <v>9463</v>
      </c>
      <c r="D86">
        <v>1</v>
      </c>
      <c r="L86" t="s">
        <v>2168</v>
      </c>
      <c r="AB86">
        <v>1</v>
      </c>
      <c r="AD86" t="s">
        <v>2203</v>
      </c>
      <c r="AE86">
        <v>7</v>
      </c>
      <c r="AF86" t="s">
        <v>2196</v>
      </c>
      <c r="AH86">
        <v>255</v>
      </c>
      <c r="AI86">
        <v>1</v>
      </c>
      <c r="AM86" t="str">
        <f t="shared" si="1"/>
        <v>{dwID=9463,nLevel=1,col={0,255,0,},[1]={},[2]={},aCataclysmBuff={{bOnlyMine=true,szReminder="角 奶歌技能角hot",nPriority=7,col="#00EE00FF",nColAlpha=255,bAttention=true,},},},</v>
      </c>
    </row>
    <row r="87" spans="3:39" x14ac:dyDescent="0.15">
      <c r="C87">
        <v>9464</v>
      </c>
      <c r="D87">
        <v>1</v>
      </c>
      <c r="L87" t="s">
        <v>2168</v>
      </c>
      <c r="AB87">
        <v>1</v>
      </c>
      <c r="AD87" t="s">
        <v>2203</v>
      </c>
      <c r="AE87">
        <v>7</v>
      </c>
      <c r="AF87" t="s">
        <v>2196</v>
      </c>
      <c r="AH87">
        <v>255</v>
      </c>
      <c r="AI87">
        <v>1</v>
      </c>
      <c r="AM87" t="str">
        <f t="shared" si="1"/>
        <v>{dwID=9464,nLevel=1,col={0,255,0,},[1]={},[2]={},aCataclysmBuff={{bOnlyMine=true,szReminder="角 奶歌技能角hot",nPriority=7,col="#00EE00FF",nColAlpha=255,bAttention=true,},},},</v>
      </c>
    </row>
    <row r="88" spans="3:39" x14ac:dyDescent="0.15">
      <c r="C88">
        <v>9465</v>
      </c>
      <c r="D88">
        <v>1</v>
      </c>
      <c r="L88" t="s">
        <v>2168</v>
      </c>
      <c r="AB88">
        <v>1</v>
      </c>
      <c r="AD88" t="s">
        <v>2203</v>
      </c>
      <c r="AE88">
        <v>7</v>
      </c>
      <c r="AF88" t="s">
        <v>2196</v>
      </c>
      <c r="AH88">
        <v>255</v>
      </c>
      <c r="AI88">
        <v>1</v>
      </c>
      <c r="AM88" t="str">
        <f t="shared" si="1"/>
        <v>{dwID=9465,nLevel=1,col={0,255,0,},[1]={},[2]={},aCataclysmBuff={{bOnlyMine=true,szReminder="角 奶歌技能角hot",nPriority=7,col="#00EE00FF",nColAlpha=255,bAttention=true,},},},</v>
      </c>
    </row>
    <row r="89" spans="3:39" x14ac:dyDescent="0.15">
      <c r="C89">
        <v>9466</v>
      </c>
      <c r="D89">
        <v>1</v>
      </c>
      <c r="L89" t="s">
        <v>2168</v>
      </c>
      <c r="AB89">
        <v>1</v>
      </c>
      <c r="AD89" t="s">
        <v>2203</v>
      </c>
      <c r="AE89">
        <v>7</v>
      </c>
      <c r="AF89" t="s">
        <v>2196</v>
      </c>
      <c r="AH89">
        <v>255</v>
      </c>
      <c r="AI89">
        <v>1</v>
      </c>
      <c r="AM89" t="str">
        <f t="shared" si="1"/>
        <v>{dwID=9466,nLevel=1,col={0,255,0,},[1]={},[2]={},aCataclysmBuff={{bOnlyMine=true,szReminder="角 奶歌技能角hot",nPriority=7,col="#00EE00FF",nColAlpha=255,bAttention=true,},},},</v>
      </c>
    </row>
    <row r="90" spans="3:39" x14ac:dyDescent="0.15">
      <c r="C90">
        <v>631</v>
      </c>
      <c r="D90">
        <v>1</v>
      </c>
      <c r="K90" t="s">
        <v>23</v>
      </c>
      <c r="L90" t="s">
        <v>2165</v>
      </c>
      <c r="AB90">
        <v>1</v>
      </c>
      <c r="AD90" t="s">
        <v>2166</v>
      </c>
      <c r="AE90">
        <v>5</v>
      </c>
      <c r="AF90" t="s">
        <v>2167</v>
      </c>
      <c r="AH90">
        <v>255</v>
      </c>
      <c r="AI90">
        <v>1</v>
      </c>
      <c r="AM90" t="str">
        <f t="shared" si="1"/>
        <v>{dwID=631,nLevel=1,szNote="握针",col={31,255,238,},[1]={},[2]={},aCataclysmBuff={{bOnlyMine=true,szReminder="握 奶花技能握针hot",nPriority=5,col="#1FFFEEFF",nColAlpha=255,bAttention=true,},},},</v>
      </c>
    </row>
    <row r="91" spans="3:39" x14ac:dyDescent="0.15">
      <c r="C91">
        <v>26868</v>
      </c>
      <c r="D91">
        <v>1</v>
      </c>
      <c r="L91" t="s">
        <v>2181</v>
      </c>
      <c r="R91">
        <v>1</v>
      </c>
      <c r="T91">
        <v>1</v>
      </c>
      <c r="U91">
        <v>1</v>
      </c>
      <c r="AD91" t="s">
        <v>2204</v>
      </c>
      <c r="AE91">
        <v>1</v>
      </c>
      <c r="AF91" t="s">
        <v>2205</v>
      </c>
      <c r="AG91" t="s">
        <v>2206</v>
      </c>
      <c r="AH91">
        <v>255</v>
      </c>
      <c r="AK91">
        <v>1</v>
      </c>
      <c r="AM91" t="str">
        <f t="shared" si="1"/>
        <v>{dwID=26868,nLevel=1,col={255,150,0,},[1]={bScreenHead=true,bBuffList=true,bTeamPanel=true,},[2]={},aCataclysmBuff={{szReminder="神拳之威 神拳之威",nPriority=1,col="#FF9600FF",colScreenHead="#FF9600",nColAlpha=255,bScreenHead=true,},},},</v>
      </c>
    </row>
    <row r="92" spans="3:39" x14ac:dyDescent="0.15">
      <c r="C92">
        <v>26867</v>
      </c>
      <c r="D92">
        <v>1</v>
      </c>
      <c r="E92">
        <v>100</v>
      </c>
      <c r="L92" t="s">
        <v>2181</v>
      </c>
      <c r="R92">
        <v>1</v>
      </c>
      <c r="T92">
        <v>1</v>
      </c>
      <c r="U92">
        <v>1</v>
      </c>
      <c r="Z92">
        <v>100</v>
      </c>
      <c r="AA92" t="s">
        <v>2121</v>
      </c>
      <c r="AE92">
        <v>1</v>
      </c>
      <c r="AG92" t="s">
        <v>2206</v>
      </c>
      <c r="AH92">
        <v>255</v>
      </c>
      <c r="AK92">
        <v>1</v>
      </c>
      <c r="AM92" t="str">
        <f t="shared" si="1"/>
        <v>{dwID=26867,nLevel=1,nCount=100,col={255,150,0,},[1]={bScreenHead=true,bBuffList=true,bTeamPanel=true,},[2]={},aCataclysmBuff={{nStackNum=100,szStackOp="&gt;=",nPriority=1,colScreenHead="#FF9600",nColAlpha=255,bScreenHead=true,},},},</v>
      </c>
    </row>
    <row r="93" spans="3:39" x14ac:dyDescent="0.15">
      <c r="C93">
        <v>26869</v>
      </c>
      <c r="D93">
        <v>1</v>
      </c>
      <c r="L93" t="s">
        <v>2181</v>
      </c>
      <c r="T93">
        <v>1</v>
      </c>
      <c r="AD93" t="s">
        <v>2207</v>
      </c>
      <c r="AE93">
        <v>30</v>
      </c>
      <c r="AF93" t="s">
        <v>2205</v>
      </c>
      <c r="AH93">
        <v>255</v>
      </c>
      <c r="AM93" t="str">
        <f t="shared" si="1"/>
        <v>{dwID=26869,nLevel=1,col={255,150,0,},[1]={bBuffList=true,},[2]={},aCataclysmBuff={{szReminder="赴 赴宴费大劲增益12尺内",nPriority=30,col="#FF9600FF",nColAlpha=255,},},},</v>
      </c>
    </row>
    <row r="94" spans="3:39" x14ac:dyDescent="0.15">
      <c r="C94">
        <v>23743</v>
      </c>
      <c r="D94">
        <v>1</v>
      </c>
      <c r="F94">
        <v>13</v>
      </c>
      <c r="G94" t="s">
        <v>2208</v>
      </c>
      <c r="K94" t="s">
        <v>2209</v>
      </c>
      <c r="AM94" t="str">
        <f t="shared" si="1"/>
        <v>{dwID=23743,nLevel=1,nIcon=13,szName="威胁值降低",szNote="管家威胁值降低",[1]={},[2]={},},</v>
      </c>
    </row>
    <row r="95" spans="3:39" x14ac:dyDescent="0.15">
      <c r="C95">
        <v>23705</v>
      </c>
      <c r="D95">
        <v>1</v>
      </c>
      <c r="AM95" t="str">
        <f t="shared" si="1"/>
        <v>{dwID=23705,nLevel=1,[1]={},[2]={},},</v>
      </c>
    </row>
    <row r="96" spans="3:39" x14ac:dyDescent="0.15">
      <c r="C96">
        <v>23622</v>
      </c>
      <c r="D96">
        <v>1</v>
      </c>
      <c r="F96">
        <v>13</v>
      </c>
      <c r="G96" t="s">
        <v>2210</v>
      </c>
      <c r="L96" t="s">
        <v>2168</v>
      </c>
      <c r="AM96" t="str">
        <f t="shared" si="1"/>
        <v>{dwID=23622,nLevel=1,nIcon=13,szName="助战NPC",col={0,255,0,},[1]={},[2]={},},</v>
      </c>
    </row>
    <row r="97" spans="3:39" x14ac:dyDescent="0.15">
      <c r="C97">
        <v>16403</v>
      </c>
      <c r="D97">
        <v>1</v>
      </c>
      <c r="K97" t="s">
        <v>24</v>
      </c>
      <c r="L97" t="s">
        <v>2115</v>
      </c>
      <c r="AD97" t="s">
        <v>2211</v>
      </c>
      <c r="AE97">
        <v>3</v>
      </c>
      <c r="AF97" t="s">
        <v>2117</v>
      </c>
      <c r="AG97" t="s">
        <v>2132</v>
      </c>
      <c r="AH97">
        <v>255</v>
      </c>
      <c r="AM97" t="str">
        <f t="shared" si="1"/>
        <v>{dwID=16403,nLevel=1,szNote="霸体",col={255,204,0,},[1]={},[2]={},aCataclysmBuff={{szReminder="霸",nPriority=3,col="#FFCC00FF",colScreenHead="#FFCC00",nColAlpha=255,},},},</v>
      </c>
    </row>
    <row r="98" spans="3:39" x14ac:dyDescent="0.15">
      <c r="C98">
        <v>9934</v>
      </c>
      <c r="D98">
        <v>1</v>
      </c>
      <c r="K98" t="s">
        <v>25</v>
      </c>
      <c r="L98" t="s">
        <v>2115</v>
      </c>
      <c r="AD98" t="s">
        <v>2212</v>
      </c>
      <c r="AE98">
        <v>1</v>
      </c>
      <c r="AF98" t="s">
        <v>2117</v>
      </c>
      <c r="AG98" t="s">
        <v>2132</v>
      </c>
      <c r="AH98">
        <v>255</v>
      </c>
      <c r="AM98" t="str">
        <f t="shared" si="1"/>
        <v>{dwID=9934,nLevel=1,szNote="南风吐月",col={255,204,0,},[1]={},[2]={},aCataclysmBuff={{szReminder="南 花间奇穴南风无敌",nPriority=1,col="#FFCC00FF",colScreenHead="#FFCC00",nColAlpha=255,},},},</v>
      </c>
    </row>
    <row r="99" spans="3:39" x14ac:dyDescent="0.15">
      <c r="C99">
        <v>20709</v>
      </c>
      <c r="D99">
        <v>1</v>
      </c>
      <c r="K99" t="s">
        <v>26</v>
      </c>
      <c r="L99" t="s">
        <v>2115</v>
      </c>
      <c r="AD99" t="s">
        <v>2213</v>
      </c>
      <c r="AE99">
        <v>2</v>
      </c>
      <c r="AF99" t="s">
        <v>2117</v>
      </c>
      <c r="AG99" t="s">
        <v>2132</v>
      </c>
      <c r="AH99">
        <v>255</v>
      </c>
      <c r="AM99" t="str">
        <f t="shared" si="1"/>
        <v>{dwID=20709,nLevel=1,szNote="天工甲士",col={255,204,0,},[1]={},[2]={},aCataclysmBuff={{szReminder="甲 奇穴天工甲士无敌",nPriority=2,col="#FFCC00FF",colScreenHead="#FFCC00",nColAlpha=255,},},},</v>
      </c>
    </row>
    <row r="100" spans="3:39" x14ac:dyDescent="0.15">
      <c r="C100">
        <v>22812</v>
      </c>
      <c r="D100">
        <v>1</v>
      </c>
      <c r="K100" t="s">
        <v>27</v>
      </c>
      <c r="L100" t="s">
        <v>2115</v>
      </c>
      <c r="AD100" t="s">
        <v>2214</v>
      </c>
      <c r="AE100">
        <v>2</v>
      </c>
      <c r="AF100" t="s">
        <v>2117</v>
      </c>
      <c r="AG100" t="s">
        <v>2132</v>
      </c>
      <c r="AH100">
        <v>255</v>
      </c>
      <c r="AM100" t="str">
        <f t="shared" si="1"/>
        <v>{dwID=22812,nLevel=1,szNote="翰墨永誓",col={255,204,0,},[1]={},[2]={},aCataclysmBuff={{szReminder="永 花间奇穴翰墨永誓禁疗无敌",nPriority=2,col="#FFCC00FF",colScreenHead="#FFCC00",nColAlpha=255,},},},</v>
      </c>
    </row>
    <row r="101" spans="3:39" x14ac:dyDescent="0.15">
      <c r="C101">
        <v>9933</v>
      </c>
      <c r="D101">
        <v>1</v>
      </c>
      <c r="K101" t="s">
        <v>28</v>
      </c>
      <c r="L101" t="s">
        <v>2115</v>
      </c>
      <c r="AD101" t="s">
        <v>2215</v>
      </c>
      <c r="AE101">
        <v>2</v>
      </c>
      <c r="AF101" t="s">
        <v>2117</v>
      </c>
      <c r="AG101" t="s">
        <v>2132</v>
      </c>
      <c r="AH101">
        <v>255</v>
      </c>
      <c r="AM101" t="str">
        <f t="shared" si="1"/>
        <v>{dwID=9933,nLevel=1,szNote="笼花",col={255,204,0,},[1]={},[2]={},aCataclysmBuff={{szReminder="折 奶花奇穴折页复活",nPriority=2,col="#FFCC00FF",colScreenHead="#FFCC00",nColAlpha=255,},},},</v>
      </c>
    </row>
    <row r="102" spans="3:39" x14ac:dyDescent="0.15">
      <c r="C102">
        <v>17894</v>
      </c>
      <c r="D102">
        <v>1</v>
      </c>
      <c r="K102" t="s">
        <v>29</v>
      </c>
      <c r="L102" t="s">
        <v>2115</v>
      </c>
      <c r="AD102" t="s">
        <v>2216</v>
      </c>
      <c r="AE102">
        <v>2</v>
      </c>
      <c r="AF102" t="s">
        <v>2117</v>
      </c>
      <c r="AG102" t="s">
        <v>2132</v>
      </c>
      <c r="AH102">
        <v>255</v>
      </c>
      <c r="AM102" t="str">
        <f t="shared" si="1"/>
        <v>{dwID=17894,nLevel=1,szNote="大针",col={255,204,0,},[1]={},[2]={},aCataclysmBuff={{szReminder="大 奶花奇穴大针",nPriority=2,col="#FFCC00FF",colScreenHead="#FFCC00",nColAlpha=255,},},},</v>
      </c>
    </row>
    <row r="103" spans="3:39" x14ac:dyDescent="0.15">
      <c r="C103">
        <v>6256</v>
      </c>
      <c r="D103">
        <v>1</v>
      </c>
      <c r="K103" t="s">
        <v>381</v>
      </c>
      <c r="L103" t="s">
        <v>2120</v>
      </c>
      <c r="AD103" t="s">
        <v>2217</v>
      </c>
      <c r="AE103">
        <v>10</v>
      </c>
      <c r="AF103" t="s">
        <v>2123</v>
      </c>
      <c r="AG103" t="s">
        <v>2130</v>
      </c>
      <c r="AH103">
        <v>255</v>
      </c>
      <c r="AM103" t="str">
        <f t="shared" si="1"/>
        <v>{dwID=6256,nLevel=1,szNote="沃土",col={179,238,58,},[1]={},[2]={},aCataclysmBuff={{szReminder="免 奶花奇穴沃土免打断缴械无法运功",nPriority=10,col="#B3EE3AFF",colScreenHead="#B3EE3A",nColAlpha=255,},},},</v>
      </c>
    </row>
    <row r="104" spans="3:39" x14ac:dyDescent="0.15">
      <c r="C104">
        <v>122</v>
      </c>
      <c r="D104">
        <v>1</v>
      </c>
      <c r="K104" t="s">
        <v>30</v>
      </c>
      <c r="L104" t="s">
        <v>2120</v>
      </c>
      <c r="AD104" t="s">
        <v>2218</v>
      </c>
      <c r="AE104">
        <v>11</v>
      </c>
      <c r="AF104" t="s">
        <v>2123</v>
      </c>
      <c r="AG104" t="s">
        <v>2130</v>
      </c>
      <c r="AH104">
        <v>255</v>
      </c>
      <c r="AM104" t="str">
        <f t="shared" si="1"/>
        <v>{dwID=122,nLevel=1,szNote="春泥护花",col={179,238,58,},[1]={},[2]={},aCataclysmBuff={{szReminder="春 技能春泥减伤",nPriority=11,col="#B3EE3AFF",colScreenHead="#B3EE3A",nColAlpha=255,},},},</v>
      </c>
    </row>
    <row r="105" spans="3:39" x14ac:dyDescent="0.15">
      <c r="C105">
        <v>6257</v>
      </c>
      <c r="D105">
        <v>1</v>
      </c>
      <c r="K105" t="s">
        <v>30</v>
      </c>
      <c r="L105" t="s">
        <v>2120</v>
      </c>
      <c r="AD105" t="s">
        <v>2219</v>
      </c>
      <c r="AE105">
        <v>11</v>
      </c>
      <c r="AF105" t="s">
        <v>2123</v>
      </c>
      <c r="AG105" t="s">
        <v>2130</v>
      </c>
      <c r="AH105">
        <v>255</v>
      </c>
      <c r="AM105" t="str">
        <f t="shared" si="1"/>
        <v>{dwID=6257,nLevel=1,szNote="春泥护花",col={179,238,58,},[1]={},[2]={},aCataclysmBuff={{szReminder="春 弹梦春泥减伤免驱散",nPriority=11,col="#B3EE3AFF",colScreenHead="#B3EE3A",nColAlpha=255,},},},</v>
      </c>
    </row>
    <row r="106" spans="3:39" x14ac:dyDescent="0.15">
      <c r="C106">
        <v>6264</v>
      </c>
      <c r="D106">
        <v>1</v>
      </c>
      <c r="K106" t="s">
        <v>30</v>
      </c>
      <c r="L106" t="s">
        <v>2120</v>
      </c>
      <c r="AD106" t="s">
        <v>2220</v>
      </c>
      <c r="AE106">
        <v>11</v>
      </c>
      <c r="AF106" t="s">
        <v>2123</v>
      </c>
      <c r="AG106" t="s">
        <v>2130</v>
      </c>
      <c r="AH106">
        <v>255</v>
      </c>
      <c r="AM106" t="str">
        <f t="shared" si="1"/>
        <v>{dwID=6264,nLevel=1,szNote="春泥护花",col={179,238,58,},[1]={},[2]={},aCataclysmBuff={{szReminder="春 奇穴南柯+15技能春泥减伤",nPriority=11,col="#B3EE3AFF",colScreenHead="#B3EE3A",nColAlpha=255,},},},</v>
      </c>
    </row>
    <row r="107" spans="3:39" x14ac:dyDescent="0.15">
      <c r="C107">
        <v>411</v>
      </c>
      <c r="D107">
        <v>1</v>
      </c>
      <c r="K107" t="s">
        <v>31</v>
      </c>
      <c r="L107" t="s">
        <v>2120</v>
      </c>
      <c r="AD107" t="s">
        <v>2221</v>
      </c>
      <c r="AE107">
        <v>10</v>
      </c>
      <c r="AF107" t="s">
        <v>2123</v>
      </c>
      <c r="AG107" t="s">
        <v>2130</v>
      </c>
      <c r="AH107">
        <v>255</v>
      </c>
      <c r="AM107" t="str">
        <f t="shared" si="1"/>
        <v>{dwID=411,nLevel=1,szNote="星楼月影",col={179,238,58,},[1]={},[2]={},aCataclysmBuff={{szReminder="免 免控（击退和被拉除外）急速提高30%",nPriority=10,col="#B3EE3AFF",colScreenHead="#B3EE3A",nColAlpha=255,},},},</v>
      </c>
    </row>
    <row r="108" spans="3:39" x14ac:dyDescent="0.15">
      <c r="C108">
        <v>11808</v>
      </c>
      <c r="D108">
        <v>1</v>
      </c>
      <c r="K108" t="s">
        <v>31</v>
      </c>
      <c r="L108" t="s">
        <v>2120</v>
      </c>
      <c r="AD108" t="s">
        <v>2222</v>
      </c>
      <c r="AE108">
        <v>10</v>
      </c>
      <c r="AF108" t="s">
        <v>2123</v>
      </c>
      <c r="AG108" t="s">
        <v>2130</v>
      </c>
      <c r="AH108">
        <v>255</v>
      </c>
      <c r="AM108" t="str">
        <f t="shared" si="1"/>
        <v>{dwID=11808,nLevel=1,szNote="星楼月影",col={179,238,58,},[1]={},[2]={},aCataclysmBuff={{szReminder="免 免控（击退和被拉除外）",nPriority=10,col="#B3EE3AFF",colScreenHead="#B3EE3A",nColAlpha=255,},},},</v>
      </c>
    </row>
    <row r="109" spans="3:39" x14ac:dyDescent="0.15">
      <c r="C109">
        <v>20247</v>
      </c>
      <c r="D109">
        <v>1</v>
      </c>
      <c r="K109" t="s">
        <v>31</v>
      </c>
      <c r="L109" t="s">
        <v>2120</v>
      </c>
      <c r="AD109" t="s">
        <v>2222</v>
      </c>
      <c r="AE109">
        <v>10</v>
      </c>
      <c r="AF109" t="s">
        <v>2123</v>
      </c>
      <c r="AG109" t="s">
        <v>2130</v>
      </c>
      <c r="AH109">
        <v>255</v>
      </c>
      <c r="AM109" t="str">
        <f t="shared" si="1"/>
        <v>{dwID=20247,nLevel=1,szNote="星楼月影",col={179,238,58,},[1]={},[2]={},aCataclysmBuff={{szReminder="免 免控（击退和被拉除外）",nPriority=10,col="#B3EE3AFF",colScreenHead="#B3EE3A",nColAlpha=255,},},},</v>
      </c>
    </row>
    <row r="110" spans="3:39" x14ac:dyDescent="0.15">
      <c r="C110">
        <v>17015</v>
      </c>
      <c r="D110">
        <v>1</v>
      </c>
      <c r="K110" t="s">
        <v>32</v>
      </c>
      <c r="L110" t="s">
        <v>2120</v>
      </c>
      <c r="AD110" t="s">
        <v>2223</v>
      </c>
      <c r="AE110">
        <v>12</v>
      </c>
      <c r="AF110" t="s">
        <v>2123</v>
      </c>
      <c r="AG110" t="s">
        <v>2130</v>
      </c>
      <c r="AH110">
        <v>255</v>
      </c>
      <c r="AM110" t="str">
        <f t="shared" si="1"/>
        <v>{dwID=17015,nLevel=1,szNote="月斜",col={179,238,58,},[1]={},[2]={},aCataclysmBuff={{szReminder="盾 化解气血最大值45%的伤害",nPriority=12,col="#B3EE3AFF",colScreenHead="#B3EE3A",nColAlpha=255,},},},</v>
      </c>
    </row>
    <row r="111" spans="3:39" x14ac:dyDescent="0.15">
      <c r="C111">
        <v>412</v>
      </c>
      <c r="D111">
        <v>2</v>
      </c>
      <c r="H111">
        <v>1</v>
      </c>
      <c r="K111" t="s">
        <v>33</v>
      </c>
      <c r="L111" t="s">
        <v>2120</v>
      </c>
      <c r="AD111" t="s">
        <v>2224</v>
      </c>
      <c r="AE111">
        <v>2</v>
      </c>
      <c r="AF111" t="s">
        <v>2123</v>
      </c>
      <c r="AG111" t="s">
        <v>2130</v>
      </c>
      <c r="AH111">
        <v>255</v>
      </c>
      <c r="AM111" t="str">
        <f t="shared" si="1"/>
        <v>{dwID=412,nLevel=2,bCheckLevel=true,szNote="水月",col={179,238,58,},[1]={},[2]={},aCataclysmBuff={{szReminder="月 万花水月爆发免控",nPriority=2,col="#B3EE3AFF",colScreenHead="#B3EE3A",nColAlpha=255,},},},</v>
      </c>
    </row>
    <row r="112" spans="3:39" x14ac:dyDescent="0.15">
      <c r="C112">
        <v>8458</v>
      </c>
      <c r="D112">
        <v>1</v>
      </c>
      <c r="K112" t="s">
        <v>34</v>
      </c>
      <c r="L112" t="s">
        <v>2120</v>
      </c>
      <c r="AD112" t="s">
        <v>2225</v>
      </c>
      <c r="AE112">
        <v>2</v>
      </c>
      <c r="AF112" t="s">
        <v>2123</v>
      </c>
      <c r="AG112" t="s">
        <v>2130</v>
      </c>
      <c r="AH112">
        <v>255</v>
      </c>
      <c r="AM112" t="str">
        <f t="shared" si="1"/>
        <v>{dwID=8458,nLevel=1,szNote="水月无间",col={179,238,58,},[1]={},[2]={},aCataclysmBuff={{szReminder="月 万花水月免疫控制（击退和被拉除外）",nPriority=2,col="#B3EE3AFF",colScreenHead="#B3EE3A",nColAlpha=255,},},},</v>
      </c>
    </row>
    <row r="113" spans="3:39" x14ac:dyDescent="0.15">
      <c r="C113">
        <v>25702</v>
      </c>
      <c r="D113">
        <v>1</v>
      </c>
      <c r="K113" t="s">
        <v>35</v>
      </c>
      <c r="L113" t="s">
        <v>2120</v>
      </c>
      <c r="AD113" t="s">
        <v>2226</v>
      </c>
      <c r="AE113">
        <v>2</v>
      </c>
      <c r="AF113" t="s">
        <v>2123</v>
      </c>
      <c r="AG113" t="s">
        <v>2130</v>
      </c>
      <c r="AH113">
        <v>255</v>
      </c>
      <c r="AM113" t="str">
        <f t="shared" si="1"/>
        <v>{dwID=25702,nLevel=1,szNote="局针",col={179,238,58,},[1]={},[2]={},aCataclysmBuff={{szReminder="局 奶花局针奇穴免封轻功",nPriority=2,col="#B3EE3AFF",colScreenHead="#B3EE3A",nColAlpha=255,},},},</v>
      </c>
    </row>
    <row r="114" spans="3:39" x14ac:dyDescent="0.15">
      <c r="C114">
        <v>70018</v>
      </c>
      <c r="D114">
        <v>1</v>
      </c>
      <c r="K114" t="s">
        <v>30</v>
      </c>
      <c r="L114" t="s">
        <v>2120</v>
      </c>
      <c r="AD114" t="s">
        <v>2227</v>
      </c>
      <c r="AE114">
        <v>11</v>
      </c>
      <c r="AF114" t="s">
        <v>2123</v>
      </c>
      <c r="AG114" t="s">
        <v>2130</v>
      </c>
      <c r="AH114">
        <v>255</v>
      </c>
      <c r="AM114" t="str">
        <f t="shared" si="1"/>
        <v>{dwID=70018,nLevel=1,szNote="春泥护花",col={179,238,58,},[1]={},[2]={},aCataclysmBuff={{szReminder="春 无界技能春泥减伤",nPriority=11,col="#B3EE3AFF",colScreenHead="#B3EE3A",nColAlpha=255,},},},</v>
      </c>
    </row>
    <row r="115" spans="3:39" x14ac:dyDescent="0.15">
      <c r="C115">
        <v>24614</v>
      </c>
      <c r="D115">
        <v>1</v>
      </c>
      <c r="K115" t="s">
        <v>308</v>
      </c>
      <c r="L115" t="s">
        <v>2228</v>
      </c>
      <c r="AD115" t="s">
        <v>2229</v>
      </c>
      <c r="AE115">
        <v>12</v>
      </c>
      <c r="AF115" t="s">
        <v>2230</v>
      </c>
      <c r="AG115" t="s">
        <v>2231</v>
      </c>
      <c r="AH115">
        <v>255</v>
      </c>
      <c r="AM115" t="str">
        <f t="shared" si="1"/>
        <v>{dwID=24614,nLevel=1,szNote="雷霆震怒",col={31,63,255,},[1]={},[2]={},aCataclysmBuff={{szReminder="晕 缠竹友方",nPriority=12,col="#1F3FFFFF",colScreenHead="#1F3FFF",nColAlpha=255,},},},</v>
      </c>
    </row>
    <row r="116" spans="3:39" x14ac:dyDescent="0.15">
      <c r="C116">
        <v>6182</v>
      </c>
      <c r="D116">
        <v>1</v>
      </c>
      <c r="K116" t="s">
        <v>36</v>
      </c>
      <c r="L116" t="s">
        <v>2115</v>
      </c>
      <c r="AD116" t="s">
        <v>2232</v>
      </c>
      <c r="AE116">
        <v>2</v>
      </c>
      <c r="AF116" t="s">
        <v>2117</v>
      </c>
      <c r="AG116" t="s">
        <v>2132</v>
      </c>
      <c r="AH116">
        <v>255</v>
      </c>
      <c r="AM116" t="str">
        <f t="shared" si="1"/>
        <v>{dwID=6182,nLevel=1,szNote="冥泽",col={255,204,0,},[1]={},[2]={},aCataclysmBuff={{szReminder="冥 奇穴冥泽免死",nPriority=2,col="#FFCC00FF",colScreenHead="#FFCC00",nColAlpha=255,},},},</v>
      </c>
    </row>
    <row r="117" spans="3:39" x14ac:dyDescent="0.15">
      <c r="C117">
        <v>684</v>
      </c>
      <c r="D117">
        <v>1</v>
      </c>
      <c r="K117" t="s">
        <v>37</v>
      </c>
      <c r="L117" t="s">
        <v>2120</v>
      </c>
      <c r="AD117" t="s">
        <v>2233</v>
      </c>
      <c r="AE117">
        <v>11</v>
      </c>
      <c r="AF117" t="s">
        <v>2123</v>
      </c>
      <c r="AG117" t="s">
        <v>2130</v>
      </c>
      <c r="AH117">
        <v>255</v>
      </c>
      <c r="AM117" t="str">
        <f t="shared" si="1"/>
        <v>{dwID=684,nLevel=1,szNote="天地低昂",col={179,238,58,},[1]={},[2]={},aCataclysmBuff={{szReminder="减 技能天地风袖减伤",nPriority=11,col="#B3EE3AFF",colScreenHead="#B3EE3A",nColAlpha=255,},},},</v>
      </c>
    </row>
    <row r="118" spans="3:39" x14ac:dyDescent="0.15">
      <c r="C118">
        <v>9775</v>
      </c>
      <c r="D118">
        <v>1</v>
      </c>
      <c r="K118" t="s">
        <v>37</v>
      </c>
      <c r="L118" t="s">
        <v>2120</v>
      </c>
      <c r="AD118" t="s">
        <v>2233</v>
      </c>
      <c r="AE118">
        <v>11</v>
      </c>
      <c r="AF118" t="s">
        <v>2123</v>
      </c>
      <c r="AG118" t="s">
        <v>2130</v>
      </c>
      <c r="AH118">
        <v>255</v>
      </c>
      <c r="AM118" t="str">
        <f t="shared" si="1"/>
        <v>{dwID=9775,nLevel=1,szNote="天地低昂",col={179,238,58,},[1]={},[2]={},aCataclysmBuff={{szReminder="减 技能天地风袖减伤",nPriority=11,col="#B3EE3AFF",colScreenHead="#B3EE3A",nColAlpha=255,},},},</v>
      </c>
    </row>
    <row r="119" spans="3:39" x14ac:dyDescent="0.15">
      <c r="C119">
        <v>9781</v>
      </c>
      <c r="D119">
        <v>1</v>
      </c>
      <c r="K119" t="s">
        <v>37</v>
      </c>
      <c r="L119" t="s">
        <v>2120</v>
      </c>
      <c r="AD119" t="s">
        <v>2233</v>
      </c>
      <c r="AE119">
        <v>11</v>
      </c>
      <c r="AF119" t="s">
        <v>2123</v>
      </c>
      <c r="AG119" t="s">
        <v>2130</v>
      </c>
      <c r="AH119">
        <v>255</v>
      </c>
      <c r="AM119" t="str">
        <f t="shared" si="1"/>
        <v>{dwID=9781,nLevel=1,szNote="天地低昂",col={179,238,58,},[1]={},[2]={},aCataclysmBuff={{szReminder="减 技能天地风袖减伤",nPriority=11,col="#B3EE3AFF",colScreenHead="#B3EE3A",nColAlpha=255,},},},</v>
      </c>
    </row>
    <row r="120" spans="3:39" x14ac:dyDescent="0.15">
      <c r="C120">
        <v>9782</v>
      </c>
      <c r="D120">
        <v>1</v>
      </c>
      <c r="K120" t="s">
        <v>37</v>
      </c>
      <c r="L120" t="s">
        <v>2120</v>
      </c>
      <c r="AD120" t="s">
        <v>2233</v>
      </c>
      <c r="AE120">
        <v>11</v>
      </c>
      <c r="AF120" t="s">
        <v>2123</v>
      </c>
      <c r="AG120" t="s">
        <v>2130</v>
      </c>
      <c r="AH120">
        <v>255</v>
      </c>
      <c r="AM120" t="str">
        <f t="shared" si="1"/>
        <v>{dwID=9782,nLevel=1,szNote="天地低昂",col={179,238,58,},[1]={},[2]={},aCataclysmBuff={{szReminder="减 技能天地风袖减伤",nPriority=11,col="#B3EE3AFF",colScreenHead="#B3EE3A",nColAlpha=255,},},},</v>
      </c>
    </row>
    <row r="121" spans="3:39" x14ac:dyDescent="0.15">
      <c r="C121">
        <v>25113</v>
      </c>
      <c r="D121">
        <v>1</v>
      </c>
      <c r="K121" t="s">
        <v>37</v>
      </c>
      <c r="L121" t="s">
        <v>2120</v>
      </c>
      <c r="AD121" t="s">
        <v>2233</v>
      </c>
      <c r="AE121">
        <v>11</v>
      </c>
      <c r="AF121" t="s">
        <v>2123</v>
      </c>
      <c r="AG121" t="s">
        <v>2130</v>
      </c>
      <c r="AH121">
        <v>255</v>
      </c>
      <c r="AM121" t="str">
        <f t="shared" si="1"/>
        <v>{dwID=25113,nLevel=1,szNote="天地低昂",col={179,238,58,},[1]={},[2]={},aCataclysmBuff={{szReminder="减 技能天地风袖减伤",nPriority=11,col="#B3EE3AFF",colScreenHead="#B3EE3A",nColAlpha=255,},},},</v>
      </c>
    </row>
    <row r="122" spans="3:39" x14ac:dyDescent="0.15">
      <c r="C122">
        <v>10617</v>
      </c>
      <c r="D122">
        <v>1</v>
      </c>
      <c r="K122" t="s">
        <v>38</v>
      </c>
      <c r="L122" t="s">
        <v>2120</v>
      </c>
      <c r="AD122" t="s">
        <v>2234</v>
      </c>
      <c r="AE122">
        <v>11</v>
      </c>
      <c r="AF122" t="s">
        <v>2123</v>
      </c>
      <c r="AG122" t="s">
        <v>2130</v>
      </c>
      <c r="AH122">
        <v>255</v>
      </c>
      <c r="AM122" t="str">
        <f t="shared" si="1"/>
        <v>{dwID=10617,nLevel=1,szNote="雾雨",col={179,238,58,},[1]={},[2]={},aCataclysmBuff={{szReminder="闪 雾雨闪避",nPriority=11,col="#B3EE3AFF",colScreenHead="#B3EE3A",nColAlpha=255,},},},</v>
      </c>
    </row>
    <row r="123" spans="3:39" x14ac:dyDescent="0.15">
      <c r="C123">
        <v>10618</v>
      </c>
      <c r="D123">
        <v>1</v>
      </c>
      <c r="K123" t="s">
        <v>38</v>
      </c>
      <c r="L123" t="s">
        <v>2120</v>
      </c>
      <c r="AD123" t="s">
        <v>2235</v>
      </c>
      <c r="AE123">
        <v>11</v>
      </c>
      <c r="AF123" t="s">
        <v>2123</v>
      </c>
      <c r="AG123" t="s">
        <v>2130</v>
      </c>
      <c r="AH123">
        <v>255</v>
      </c>
      <c r="AM123" t="str">
        <f t="shared" si="1"/>
        <v>{dwID=10618,nLevel=1,szNote="雾雨",col={179,238,58,},[1]={},[2]={},aCataclysmBuff={{szReminder="繁 技能繁音免封闪避",nPriority=11,col="#B3EE3AFF",colScreenHead="#B3EE3A",nColAlpha=255,},},},</v>
      </c>
    </row>
    <row r="124" spans="3:39" x14ac:dyDescent="0.15">
      <c r="C124">
        <v>10619</v>
      </c>
      <c r="D124">
        <v>1</v>
      </c>
      <c r="K124" t="s">
        <v>38</v>
      </c>
      <c r="L124" t="s">
        <v>2120</v>
      </c>
      <c r="AD124" t="s">
        <v>2236</v>
      </c>
      <c r="AE124">
        <v>11</v>
      </c>
      <c r="AF124" t="s">
        <v>2123</v>
      </c>
      <c r="AG124" t="s">
        <v>2130</v>
      </c>
      <c r="AH124">
        <v>255</v>
      </c>
      <c r="AM124" t="str">
        <f t="shared" si="1"/>
        <v>{dwID=10619,nLevel=1,szNote="雾雨",col={179,238,58,},[1]={},[2]={},aCataclysmBuff={{szReminder="闪 雾雨闪避提高100%",nPriority=11,col="#B3EE3AFF",colScreenHead="#B3EE3A",nColAlpha=255,},},},</v>
      </c>
    </row>
    <row r="125" spans="3:39" x14ac:dyDescent="0.15">
      <c r="C125">
        <v>6174</v>
      </c>
      <c r="D125">
        <v>1</v>
      </c>
      <c r="K125" t="s">
        <v>39</v>
      </c>
      <c r="L125" t="s">
        <v>2120</v>
      </c>
      <c r="AD125" t="s">
        <v>2237</v>
      </c>
      <c r="AE125">
        <v>11</v>
      </c>
      <c r="AF125" t="s">
        <v>2123</v>
      </c>
      <c r="AG125" t="s">
        <v>2130</v>
      </c>
      <c r="AH125">
        <v>255</v>
      </c>
      <c r="AM125" t="str">
        <f t="shared" si="1"/>
        <v>{dwID=6174,nLevel=1,szNote="两生",col={179,238,58,},[1]={},[2]={},aCataclysmBuff={{szReminder="闪 奇穴两生闪避",nPriority=11,col="#B3EE3AFF",colScreenHead="#B3EE3A",nColAlpha=255,},},},</v>
      </c>
    </row>
    <row r="126" spans="3:39" x14ac:dyDescent="0.15">
      <c r="C126">
        <v>12361</v>
      </c>
      <c r="D126">
        <v>1</v>
      </c>
      <c r="K126" t="s">
        <v>40</v>
      </c>
      <c r="L126" t="s">
        <v>2120</v>
      </c>
      <c r="AD126" t="s">
        <v>2238</v>
      </c>
      <c r="AE126">
        <v>11</v>
      </c>
      <c r="AF126" t="s">
        <v>2123</v>
      </c>
      <c r="AG126" t="s">
        <v>2130</v>
      </c>
      <c r="AH126">
        <v>255</v>
      </c>
      <c r="AM126" t="str">
        <f t="shared" si="1"/>
        <v>{dwID=12361,nLevel=1,szNote="棠梨",col={179,238,58,},[1]={},[2]={},aCataclysmBuff={{szReminder="摊 奶秀技能王母平摊",nPriority=11,col="#B3EE3AFF",colScreenHead="#B3EE3A",nColAlpha=255,},},},</v>
      </c>
    </row>
    <row r="127" spans="3:39" x14ac:dyDescent="0.15">
      <c r="C127">
        <v>677</v>
      </c>
      <c r="D127">
        <v>1</v>
      </c>
      <c r="K127" t="s">
        <v>41</v>
      </c>
      <c r="L127" t="s">
        <v>2120</v>
      </c>
      <c r="AD127" t="s">
        <v>2239</v>
      </c>
      <c r="AE127">
        <v>11</v>
      </c>
      <c r="AF127" t="s">
        <v>2123</v>
      </c>
      <c r="AG127" t="s">
        <v>2130</v>
      </c>
      <c r="AH127">
        <v>255</v>
      </c>
      <c r="AM127" t="str">
        <f t="shared" si="1"/>
        <v>{dwID=677,nLevel=1,szNote="鹊踏枝",col={179,238,58,},[1]={},[2]={},aCataclysmBuff={{szReminder="闪 技能鹊踏闪避",nPriority=11,col="#B3EE3AFF",colScreenHead="#B3EE3A",nColAlpha=255,},},},</v>
      </c>
    </row>
    <row r="128" spans="3:39" x14ac:dyDescent="0.15">
      <c r="C128">
        <v>9855</v>
      </c>
      <c r="D128">
        <v>1</v>
      </c>
      <c r="K128" t="s">
        <v>42</v>
      </c>
      <c r="L128" t="s">
        <v>2120</v>
      </c>
      <c r="AD128" t="s">
        <v>2240</v>
      </c>
      <c r="AE128">
        <v>10</v>
      </c>
      <c r="AF128" t="s">
        <v>2123</v>
      </c>
      <c r="AG128" t="s">
        <v>2130</v>
      </c>
      <c r="AH128">
        <v>255</v>
      </c>
      <c r="AM128" t="str">
        <f t="shared" si="1"/>
        <v>{dwID=9855,nLevel=1,szNote="音韵",col={179,238,58,},[1]={},[2]={},aCataclysmBuff={{szReminder="免 蝶弄足3秒免控（被拉除外）",nPriority=10,col="#B3EE3AFF",colScreenHead="#B3EE3A",nColAlpha=255,},},},</v>
      </c>
    </row>
    <row r="129" spans="3:39" x14ac:dyDescent="0.15">
      <c r="C129">
        <v>14515</v>
      </c>
      <c r="D129">
        <v>1</v>
      </c>
      <c r="K129" t="s">
        <v>43</v>
      </c>
      <c r="L129" t="s">
        <v>2120</v>
      </c>
      <c r="AD129" t="s">
        <v>2241</v>
      </c>
      <c r="AE129">
        <v>10</v>
      </c>
      <c r="AF129" t="s">
        <v>2123</v>
      </c>
      <c r="AG129" t="s">
        <v>2130</v>
      </c>
      <c r="AH129">
        <v>255</v>
      </c>
      <c r="AM129" t="str">
        <f t="shared" si="1"/>
        <v>{dwID=14515,nLevel=1,szNote="飞竹",col={179,238,58,},[1]={},[2]={},aCataclysmBuff={{szReminder="免 免控（击退和被拉除外）免伤+20%",nPriority=10,col="#B3EE3AFF",colScreenHead="#B3EE3A",nColAlpha=255,},},},</v>
      </c>
    </row>
    <row r="130" spans="3:39" x14ac:dyDescent="0.15">
      <c r="C130">
        <v>70011</v>
      </c>
      <c r="D130">
        <v>1</v>
      </c>
      <c r="K130" t="s">
        <v>2242</v>
      </c>
      <c r="L130" t="s">
        <v>2120</v>
      </c>
      <c r="AD130" t="s">
        <v>2233</v>
      </c>
      <c r="AE130">
        <v>11</v>
      </c>
      <c r="AF130" t="s">
        <v>2123</v>
      </c>
      <c r="AG130" t="s">
        <v>2130</v>
      </c>
      <c r="AH130">
        <v>255</v>
      </c>
      <c r="AM130" t="str">
        <f t="shared" ref="AM130:AM193" si="2">IF(B130&lt;&gt;"",IF(IFERROR(VALUE(C129),0)&lt;=0,"["&amp;B130&amp;"]={","},["&amp;B130&amp;"]={"),IF(C130&gt;0,"{dwID="&amp;C130&amp;","&amp;"nLevel="&amp;D130&amp;","&amp;IF(E130&gt;0,"nCount="&amp;E130&amp;",","")&amp;IF(F130&gt;0,"nIcon="&amp;F130&amp;",","")&amp;IF(G130&lt;&gt;"","szName="""&amp;G130&amp;""",","")&amp;IF(H130&gt;0,"bCheckLevel=true,","")&amp;IF(I130&gt;0,"nScrutinyType="&amp;I130&amp;",","")&amp;IF(J130&lt;&gt;"","tKungFu={"&amp;J130&amp;"},","")&amp;IF(K130&lt;&gt;"","szNote="""&amp;K130&amp;""",","")&amp;IF(L130&lt;&gt;"","col={"&amp;L130&amp;"},","")&amp;"[1]={"&amp;IF(M130&lt;&gt;"","tMark={"&amp;M130&amp;"},","")&amp;IF(N130&lt;&gt;"","szVoice="""&amp;N130&amp;""",","")&amp;IF(O130&gt;0,"bCheckLevel=true,","")&amp;IF(P130&gt;0,"bWhisperChannel=true,","")&amp;IF(Q130&gt;0,"bCenterAlarm=true,","")&amp;IF(R130&gt;0,"bScreenHead=true,","")&amp;IF(S130&gt;0,"bPartyBuffList=true,","")&amp;IF(T130&gt;0,"bBuffList=true,","")&amp;IF(U130&gt;0,"bTeamPanel=true,","")&amp;IF(V130&gt;0,"bOnlySelfSrc=true,","")&amp;"},"&amp;"[2]={"&amp;IF(W130&gt;0,"bCheckLevel=true,","")&amp;IF(X130&gt;0,"bWhisperChannel=true,","")&amp;IF(Y130&gt;0,"bCenterAlarm=true,","")&amp;"},"&amp;IF(OR(Z130&gt;0,AD130&lt;&gt;"",AE130&gt;0,AF130&lt;&gt;"",AG130&lt;&gt;"",AH130&gt;0,AI130&gt;0,AJ130&gt;0,AK130&gt;0),"aCataclysmBuff={{"&amp;IF(Z130&gt;0,"nStackNum="&amp;Z130&amp;",","")&amp;IF(AA130&lt;&gt;"","szStackOp="""&amp;AA130&amp;""",","")&amp;IF(AB130&gt;0,"bOnlyMine=true,","")&amp;IF(AC130&gt;0,"bOnlyMe=true,","")&amp;IF(AD130&lt;&gt;"","szReminder="""&amp;AD130&amp;""",","")&amp;IF(AE130&gt;0,"nPriority="&amp;AE130&amp;",","")&amp;IF(AF130&lt;&gt;"","col="""&amp;AF130&amp;""",","")&amp;IF(AG130&lt;&gt;"","colScreenHead="""&amp;AG130&amp;""",","")&amp;IF(AH130&gt;0,"nColAlpha="&amp;AH130&amp;",","")&amp;IF(AI130&gt;0,"bAttention=true,","")&amp;IF(AJ130&gt;0,"bCaution=true,","")&amp;IF(AK130&gt;0,"bScreenHead=true,","")&amp;"},"&amp;AL130&amp;"},","")&amp;IF(AN130&lt;&gt;"","tCountdown={"&amp;_xlfn.TEXTJOIN("",TRUE,AN130:ZY130)&amp;"},","")&amp;"},",IF(C129&gt;0,"},","")&amp;IF(AND(B130="",C130="",OR(B129&lt;&gt;"",C129&lt;&gt;"")),"},}","")))</f>
        <v>{dwID=70011,nLevel=1,szNote="天地低昂·悟",col={179,238,58,},[1]={},[2]={},aCataclysmBuff={{szReminder="减 技能天地风袖减伤",nPriority=11,col="#B3EE3AFF",colScreenHead="#B3EE3A",nColAlpha=255,},},},</v>
      </c>
    </row>
    <row r="131" spans="3:39" x14ac:dyDescent="0.15">
      <c r="C131">
        <v>9835</v>
      </c>
      <c r="D131">
        <v>1</v>
      </c>
      <c r="K131" t="s">
        <v>44</v>
      </c>
      <c r="L131" t="s">
        <v>2115</v>
      </c>
      <c r="AD131" t="s">
        <v>2243</v>
      </c>
      <c r="AE131">
        <v>2</v>
      </c>
      <c r="AF131" t="s">
        <v>2117</v>
      </c>
      <c r="AG131" t="s">
        <v>2132</v>
      </c>
      <c r="AH131">
        <v>255</v>
      </c>
      <c r="AM131" t="str">
        <f t="shared" si="2"/>
        <v>{dwID=9835,nLevel=1,szNote="独觉",col={255,204,0,},[1]={},[2]={},aCataclysmBuff={{szReminder="独 奇穴独觉外功无敌",nPriority=2,col="#FFCC00FF",colScreenHead="#FFCC00",nColAlpha=255,},},},</v>
      </c>
    </row>
    <row r="132" spans="3:39" x14ac:dyDescent="0.15">
      <c r="C132">
        <v>856</v>
      </c>
      <c r="D132">
        <v>1</v>
      </c>
      <c r="K132" t="s">
        <v>45</v>
      </c>
      <c r="L132" t="s">
        <v>2115</v>
      </c>
      <c r="AD132" t="s">
        <v>2244</v>
      </c>
      <c r="AE132">
        <v>2</v>
      </c>
      <c r="AF132" t="s">
        <v>2117</v>
      </c>
      <c r="AG132" t="s">
        <v>2132</v>
      </c>
      <c r="AH132">
        <v>255</v>
      </c>
      <c r="AM132" t="str">
        <f t="shared" si="2"/>
        <v>{dwID=856,nLevel=1,szNote="健骨",col={255,204,0,},[1]={},[2]={},aCataclysmBuff={{szReminder="锻 技能锻骨内功无敌",nPriority=2,col="#FFCC00FF",colScreenHead="#FFCC00",nColAlpha=255,},},},</v>
      </c>
    </row>
    <row r="133" spans="3:39" x14ac:dyDescent="0.15">
      <c r="C133">
        <v>6213</v>
      </c>
      <c r="D133">
        <v>1</v>
      </c>
      <c r="K133" t="s">
        <v>46</v>
      </c>
      <c r="L133" t="s">
        <v>2115</v>
      </c>
      <c r="AD133" t="s">
        <v>2245</v>
      </c>
      <c r="AE133">
        <v>2</v>
      </c>
      <c r="AF133" t="s">
        <v>2117</v>
      </c>
      <c r="AG133" t="s">
        <v>2132</v>
      </c>
      <c r="AH133">
        <v>255</v>
      </c>
      <c r="AM133" t="str">
        <f t="shared" si="2"/>
        <v>{dwID=6213,nLevel=1,szNote="不动",col={255,204,0,},[1]={},[2]={},aCataclysmBuff={{szReminder="不 洗髓奇穴不动无敌",nPriority=2,col="#FFCC00FF",colScreenHead="#FFCC00",nColAlpha=255,},},},</v>
      </c>
    </row>
    <row r="134" spans="3:39" x14ac:dyDescent="0.15">
      <c r="C134">
        <v>7119</v>
      </c>
      <c r="D134">
        <v>1</v>
      </c>
      <c r="K134" t="s">
        <v>47</v>
      </c>
      <c r="L134" t="s">
        <v>2120</v>
      </c>
      <c r="AD134" t="s">
        <v>2246</v>
      </c>
      <c r="AE134">
        <v>11</v>
      </c>
      <c r="AF134" t="s">
        <v>2123</v>
      </c>
      <c r="AG134" t="s">
        <v>2130</v>
      </c>
      <c r="AH134">
        <v>255</v>
      </c>
      <c r="AM134" t="str">
        <f t="shared" si="2"/>
        <v>{dwID=7119,nLevel=1,szNote="轮回",col={179,238,58,},[1]={},[2]={},aCataclysmBuff={{szReminder="减 奇穴轮回减伤",nPriority=11,col="#B3EE3AFF",colScreenHead="#B3EE3A",nColAlpha=255,},},},</v>
      </c>
    </row>
    <row r="135" spans="3:39" x14ac:dyDescent="0.15">
      <c r="C135">
        <v>10208</v>
      </c>
      <c r="D135">
        <v>1</v>
      </c>
      <c r="K135" t="s">
        <v>48</v>
      </c>
      <c r="L135" t="s">
        <v>2115</v>
      </c>
      <c r="AD135" t="s">
        <v>2247</v>
      </c>
      <c r="AE135">
        <v>2</v>
      </c>
      <c r="AF135" t="s">
        <v>2117</v>
      </c>
      <c r="AG135" t="s">
        <v>2132</v>
      </c>
      <c r="AH135">
        <v>255</v>
      </c>
      <c r="AM135" t="str">
        <f t="shared" si="2"/>
        <v>{dwID=10208,nLevel=1,szNote="弘法",col={255,204,0,},[1]={},[2]={},aCataclysmBuff={{szReminder="弘 洗髓奇穴受到弘法",nPriority=2,col="#FFCC00FF",colScreenHead="#FFCC00",nColAlpha=255,},},},</v>
      </c>
    </row>
    <row r="136" spans="3:39" x14ac:dyDescent="0.15">
      <c r="C136">
        <v>9830</v>
      </c>
      <c r="D136">
        <v>1</v>
      </c>
      <c r="K136" t="s">
        <v>49</v>
      </c>
      <c r="L136" t="s">
        <v>2115</v>
      </c>
      <c r="AD136" t="s">
        <v>2248</v>
      </c>
      <c r="AE136">
        <v>2</v>
      </c>
      <c r="AF136" t="s">
        <v>2117</v>
      </c>
      <c r="AG136" t="s">
        <v>2132</v>
      </c>
      <c r="AH136">
        <v>255</v>
      </c>
      <c r="AM136" t="str">
        <f t="shared" si="2"/>
        <v>{dwID=9830,nLevel=1,szNote="舍生",col={255,204,0,},[1]={},[2]={},aCataclysmBuff={{szReminder="狮 奇穴受到狮啸",nPriority=2,col="#FFCC00FF",colScreenHead="#FFCC00",nColAlpha=255,},},},</v>
      </c>
    </row>
    <row r="137" spans="3:39" x14ac:dyDescent="0.15">
      <c r="C137">
        <v>12488</v>
      </c>
      <c r="D137">
        <v>1</v>
      </c>
      <c r="K137" t="s">
        <v>50</v>
      </c>
      <c r="L137" t="s">
        <v>2133</v>
      </c>
      <c r="AD137" t="s">
        <v>2249</v>
      </c>
      <c r="AE137">
        <v>11</v>
      </c>
      <c r="AF137" t="s">
        <v>2123</v>
      </c>
      <c r="AG137" t="s">
        <v>2136</v>
      </c>
      <c r="AH137">
        <v>255</v>
      </c>
      <c r="AM137" t="str">
        <f t="shared" si="2"/>
        <v>{dwID=12488,nLevel=1,szNote="狮啸",col={165,96,232,},[1]={},[2]={},aCataclysmBuff={{szReminder="狮 奇穴狮啸血上限",nPriority=11,col="#B3EE3AFF",colScreenHead="#A560E8",nColAlpha=255,},},},</v>
      </c>
    </row>
    <row r="138" spans="3:39" x14ac:dyDescent="0.15">
      <c r="C138">
        <v>14273</v>
      </c>
      <c r="D138">
        <v>1</v>
      </c>
      <c r="K138" t="s">
        <v>51</v>
      </c>
      <c r="L138" t="s">
        <v>2120</v>
      </c>
      <c r="AD138" t="s">
        <v>2250</v>
      </c>
      <c r="AE138">
        <v>11</v>
      </c>
      <c r="AF138" t="s">
        <v>2123</v>
      </c>
      <c r="AG138" t="s">
        <v>2130</v>
      </c>
      <c r="AH138">
        <v>255</v>
      </c>
      <c r="AM138" t="str">
        <f t="shared" si="2"/>
        <v>{dwID=14273,nLevel=1,szNote="妙法",col={179,238,58,},[1]={},[2]={},aCataclysmBuff={{szReminder="免 千斤坠免控击退和被拉除外",nPriority=11,col="#B3EE3AFF",colScreenHead="#B3EE3A",nColAlpha=255,},},},</v>
      </c>
    </row>
    <row r="139" spans="3:39" x14ac:dyDescent="0.15">
      <c r="C139">
        <v>1186</v>
      </c>
      <c r="D139">
        <v>1</v>
      </c>
      <c r="K139" t="s">
        <v>15</v>
      </c>
      <c r="L139" t="s">
        <v>2120</v>
      </c>
      <c r="AD139" t="s">
        <v>2251</v>
      </c>
      <c r="AE139">
        <v>2</v>
      </c>
      <c r="AF139" t="s">
        <v>2123</v>
      </c>
      <c r="AG139" t="s">
        <v>2130</v>
      </c>
      <c r="AH139">
        <v>255</v>
      </c>
      <c r="AM139" t="str">
        <f t="shared" si="2"/>
        <v>{dwID=1186,nLevel=1,szNote="折骨",col={179,238,58,},[1]={},[2]={},aCataclysmBuff={{szReminder="免 锻骨决_易筋经不受控制及沉默",nPriority=2,col="#B3EE3AFF",colScreenHead="#B3EE3A",nColAlpha=255,},},},</v>
      </c>
    </row>
    <row r="140" spans="3:39" x14ac:dyDescent="0.15">
      <c r="C140">
        <v>195</v>
      </c>
      <c r="D140">
        <v>1</v>
      </c>
      <c r="K140" t="s">
        <v>52</v>
      </c>
      <c r="L140" t="s">
        <v>2120</v>
      </c>
      <c r="AD140" t="s">
        <v>2252</v>
      </c>
      <c r="AE140">
        <v>2</v>
      </c>
      <c r="AF140" t="s">
        <v>2123</v>
      </c>
      <c r="AG140" t="s">
        <v>2130</v>
      </c>
      <c r="AH140">
        <v>255</v>
      </c>
      <c r="AM140" t="str">
        <f t="shared" si="2"/>
        <v>{dwID=195,nLevel=1,szNote="千斤坠",col={179,238,58,},[1]={},[2]={},aCataclysmBuff={{szReminder="蓄 千斤坠蓄力中落地时造成伤害",nPriority=2,col="#B3EE3AFF",colScreenHead="#B3EE3A",nColAlpha=255,},},},</v>
      </c>
    </row>
    <row r="141" spans="3:39" x14ac:dyDescent="0.15">
      <c r="C141">
        <v>377</v>
      </c>
      <c r="D141">
        <v>1</v>
      </c>
      <c r="K141" t="s">
        <v>53</v>
      </c>
      <c r="L141" t="s">
        <v>2115</v>
      </c>
      <c r="AD141" t="s">
        <v>2253</v>
      </c>
      <c r="AE141">
        <v>1</v>
      </c>
      <c r="AF141" t="s">
        <v>2117</v>
      </c>
      <c r="AG141" t="s">
        <v>2132</v>
      </c>
      <c r="AH141">
        <v>255</v>
      </c>
      <c r="AM141" t="str">
        <f t="shared" si="2"/>
        <v>{dwID=377,nLevel=1,szNote="镇山河",col={255,204,0,},[1]={},[2]={},aCataclysmBuff={{szReminder="镇 气纯技能山河无敌",nPriority=1,col="#FFCC00FF",colScreenHead="#FFCC00",nColAlpha=255,},},},</v>
      </c>
    </row>
    <row r="142" spans="3:39" x14ac:dyDescent="0.15">
      <c r="C142">
        <v>12372</v>
      </c>
      <c r="D142">
        <v>1</v>
      </c>
      <c r="K142" t="s">
        <v>54</v>
      </c>
      <c r="L142" t="s">
        <v>2115</v>
      </c>
      <c r="AD142" t="s">
        <v>2254</v>
      </c>
      <c r="AE142">
        <v>2</v>
      </c>
      <c r="AF142" t="s">
        <v>2117</v>
      </c>
      <c r="AG142" t="s">
        <v>2132</v>
      </c>
      <c r="AH142">
        <v>255</v>
      </c>
      <c r="AM142" t="str">
        <f t="shared" si="2"/>
        <v>{dwID=12372,nLevel=1,szNote="行天道",col={255,204,0,},[1]={},[2]={},aCataclysmBuff={{szReminder="行 行天道免控可击退和被拉",nPriority=2,col="#FFCC00FF",colScreenHead="#FFCC00",nColAlpha=255,},},},</v>
      </c>
    </row>
    <row r="143" spans="3:39" x14ac:dyDescent="0.15">
      <c r="C143">
        <v>27404</v>
      </c>
      <c r="D143">
        <v>1</v>
      </c>
      <c r="K143" t="s">
        <v>54</v>
      </c>
      <c r="L143" t="s">
        <v>2115</v>
      </c>
      <c r="AD143" t="s">
        <v>2255</v>
      </c>
      <c r="AE143">
        <v>2</v>
      </c>
      <c r="AF143" t="s">
        <v>2117</v>
      </c>
      <c r="AG143" t="s">
        <v>2132</v>
      </c>
      <c r="AH143">
        <v>255</v>
      </c>
      <c r="AM143" t="str">
        <f t="shared" si="2"/>
        <v>{dwID=27404,nLevel=1,szNote="行天道",col={255,204,0,},[1]={},[2]={},aCataclysmBuff={{szReminder="行 剑纯奇穴行天道无敌闪避100%",nPriority=2,col="#FFCC00FF",colScreenHead="#FFCC00",nColAlpha=255,},},},</v>
      </c>
    </row>
    <row r="144" spans="3:39" x14ac:dyDescent="0.15">
      <c r="C144">
        <v>6299</v>
      </c>
      <c r="D144">
        <v>1</v>
      </c>
      <c r="K144" t="s">
        <v>55</v>
      </c>
      <c r="L144" t="s">
        <v>2120</v>
      </c>
      <c r="AD144" t="s">
        <v>2256</v>
      </c>
      <c r="AE144">
        <v>11</v>
      </c>
      <c r="AF144" t="s">
        <v>2123</v>
      </c>
      <c r="AG144" t="s">
        <v>2130</v>
      </c>
      <c r="AH144">
        <v>255</v>
      </c>
      <c r="AM144" t="str">
        <f t="shared" si="2"/>
        <v>{dwID=6299,nLevel=1,szNote="御风而行",col={179,238,58,},[1]={},[2]={},aCataclysmBuff={{szReminder="闪 技能凭虚闪避几率提高50%",nPriority=11,col="#B3EE3AFF",colScreenHead="#B3EE3A",nColAlpha=255,},},},</v>
      </c>
    </row>
    <row r="145" spans="3:39" x14ac:dyDescent="0.15">
      <c r="C145">
        <v>203</v>
      </c>
      <c r="D145">
        <v>1</v>
      </c>
      <c r="K145" t="s">
        <v>56</v>
      </c>
      <c r="L145" t="s">
        <v>2115</v>
      </c>
      <c r="AD145" t="s">
        <v>2257</v>
      </c>
      <c r="AE145">
        <v>2</v>
      </c>
      <c r="AF145" t="s">
        <v>2117</v>
      </c>
      <c r="AG145" t="s">
        <v>2132</v>
      </c>
      <c r="AH145">
        <v>255</v>
      </c>
      <c r="AM145" t="str">
        <f t="shared" si="2"/>
        <v>{dwID=203,nLevel=1,szNote="啸如虎",col={255,204,0,},[1]={},[2]={},aCataclysmBuff={{szReminder="虎 技能啸如虎免死",nPriority=2,col="#FFCC00FF",colScreenHead="#FFCC00",nColAlpha=255,},},},</v>
      </c>
    </row>
    <row r="146" spans="3:39" x14ac:dyDescent="0.15">
      <c r="C146">
        <v>367</v>
      </c>
      <c r="D146">
        <v>1</v>
      </c>
      <c r="K146" t="s">
        <v>57</v>
      </c>
      <c r="L146" t="s">
        <v>2120</v>
      </c>
      <c r="AD146" t="s">
        <v>2258</v>
      </c>
      <c r="AE146">
        <v>11</v>
      </c>
      <c r="AF146" t="s">
        <v>2123</v>
      </c>
      <c r="AG146" t="s">
        <v>2130</v>
      </c>
      <c r="AH146">
        <v>255</v>
      </c>
      <c r="AM146" t="str">
        <f t="shared" si="2"/>
        <v>{dwID=367,nLevel=1,szNote="守如山",col={179,238,58,},[1]={},[2]={},aCataclysmBuff={{szReminder="山 技能守如山减伤",nPriority=11,col="#B3EE3AFF",colScreenHead="#B3EE3A",nColAlpha=255,},},},</v>
      </c>
    </row>
    <row r="147" spans="3:39" x14ac:dyDescent="0.15">
      <c r="C147">
        <v>360</v>
      </c>
      <c r="D147">
        <v>1</v>
      </c>
      <c r="K147" t="s">
        <v>58</v>
      </c>
      <c r="L147" t="s">
        <v>2115</v>
      </c>
      <c r="AD147" t="s">
        <v>2259</v>
      </c>
      <c r="AE147">
        <v>2</v>
      </c>
      <c r="AF147" t="s">
        <v>2117</v>
      </c>
      <c r="AG147" t="s">
        <v>2132</v>
      </c>
      <c r="AH147">
        <v>255</v>
      </c>
      <c r="AM147" t="str">
        <f t="shared" si="2"/>
        <v>{dwID=360,nLevel=1,szNote="御",col={255,204,0,},[1]={},[2]={},aCataclysmBuff={{szReminder="御 每层化解一次伤害",nPriority=2,col="#FFCC00FF",colScreenHead="#FFCC00",nColAlpha=255,},},},</v>
      </c>
    </row>
    <row r="148" spans="3:39" x14ac:dyDescent="0.15">
      <c r="C148">
        <v>3025</v>
      </c>
      <c r="D148">
        <v>1</v>
      </c>
      <c r="K148" t="s">
        <v>24</v>
      </c>
      <c r="L148" t="s">
        <v>2115</v>
      </c>
      <c r="AD148" t="s">
        <v>2260</v>
      </c>
      <c r="AE148">
        <v>2</v>
      </c>
      <c r="AF148" t="s">
        <v>2117</v>
      </c>
      <c r="AG148" t="s">
        <v>2132</v>
      </c>
      <c r="AH148">
        <v>255</v>
      </c>
      <c r="AM148" t="str">
        <f t="shared" si="2"/>
        <v>{dwID=3025,nLevel=1,szNote="霸体",col={255,204,0,},[1]={},[2]={},aCataclysmBuff={{szReminder="霸 PVE套装_铁牢6件套效果",nPriority=2,col="#FFCC00FF",colScreenHead="#FFCC00",nColAlpha=255,},},},</v>
      </c>
    </row>
    <row r="149" spans="3:39" x14ac:dyDescent="0.15">
      <c r="C149">
        <v>9699</v>
      </c>
      <c r="D149">
        <v>1</v>
      </c>
      <c r="K149" t="s">
        <v>59</v>
      </c>
      <c r="L149" t="s">
        <v>2115</v>
      </c>
      <c r="AD149" t="s">
        <v>2261</v>
      </c>
      <c r="AE149">
        <v>2</v>
      </c>
      <c r="AF149" t="s">
        <v>2117</v>
      </c>
      <c r="AG149" t="s">
        <v>2132</v>
      </c>
      <c r="AH149">
        <v>255</v>
      </c>
      <c r="AM149" t="str">
        <f t="shared" si="2"/>
        <v>{dwID=9699,nLevel=1,szNote="长致",col={255,204,0,},[1]={},[2]={},aCataclysmBuff={{szReminder="长 奇穴长致无敌",nPriority=2,col="#FFCC00FF",colScreenHead="#FFCC00",nColAlpha=255,},},},</v>
      </c>
    </row>
    <row r="150" spans="3:39" x14ac:dyDescent="0.15">
      <c r="C150">
        <v>5735</v>
      </c>
      <c r="D150">
        <v>1</v>
      </c>
      <c r="K150" t="s">
        <v>60</v>
      </c>
      <c r="L150" t="s">
        <v>2120</v>
      </c>
      <c r="AD150" t="s">
        <v>2262</v>
      </c>
      <c r="AE150">
        <v>11</v>
      </c>
      <c r="AF150" t="s">
        <v>2123</v>
      </c>
      <c r="AG150" t="s">
        <v>2130</v>
      </c>
      <c r="AH150">
        <v>255</v>
      </c>
      <c r="AM150" t="str">
        <f t="shared" si="2"/>
        <v>{dwID=5735,nLevel=1,szNote="泉凝月",col={179,238,58,},[1]={},[2]={},aCataclysmBuff={{szReminder="泉 技能泉凝月化解",nPriority=11,col="#B3EE3AFF",colScreenHead="#B3EE3A",nColAlpha=255,},},},</v>
      </c>
    </row>
    <row r="151" spans="3:39" x14ac:dyDescent="0.15">
      <c r="C151">
        <v>6143</v>
      </c>
      <c r="D151">
        <v>1</v>
      </c>
      <c r="K151" t="s">
        <v>60</v>
      </c>
      <c r="L151" t="s">
        <v>2120</v>
      </c>
      <c r="AD151" t="s">
        <v>2263</v>
      </c>
      <c r="AE151">
        <v>11</v>
      </c>
      <c r="AF151" t="s">
        <v>2123</v>
      </c>
      <c r="AG151" t="s">
        <v>2130</v>
      </c>
      <c r="AH151">
        <v>255</v>
      </c>
      <c r="AM151" t="str">
        <f t="shared" si="2"/>
        <v>{dwID=6143,nLevel=1,szNote="泉凝月",col={179,238,58,},[1]={},[2]={},aCataclysmBuff={{szReminder="泉 技能泉凝月化解增强",nPriority=11,col="#B3EE3AFF",colScreenHead="#B3EE3A",nColAlpha=255,},},},</v>
      </c>
    </row>
    <row r="152" spans="3:39" x14ac:dyDescent="0.15">
      <c r="C152">
        <v>2065</v>
      </c>
      <c r="D152">
        <v>1</v>
      </c>
      <c r="K152" t="s">
        <v>61</v>
      </c>
      <c r="L152" t="s">
        <v>2120</v>
      </c>
      <c r="AD152" t="s">
        <v>2264</v>
      </c>
      <c r="AE152">
        <v>11</v>
      </c>
      <c r="AF152" t="s">
        <v>2123</v>
      </c>
      <c r="AG152" t="s">
        <v>2130</v>
      </c>
      <c r="AH152">
        <v>255</v>
      </c>
      <c r="AM152" t="str">
        <f t="shared" si="2"/>
        <v>{dwID=2065,nLevel=1,szNote="云栖松",col={179,238,58,},[1]={},[2]={},aCataclysmBuff={{szReminder="云 技能云栖松闪避",nPriority=11,col="#B3EE3AFF",colScreenHead="#B3EE3A",nColAlpha=255,},},},</v>
      </c>
    </row>
    <row r="153" spans="3:39" x14ac:dyDescent="0.15">
      <c r="C153">
        <v>20162</v>
      </c>
      <c r="D153">
        <v>1</v>
      </c>
      <c r="K153" t="s">
        <v>61</v>
      </c>
      <c r="L153" t="s">
        <v>2120</v>
      </c>
      <c r="AD153" t="s">
        <v>2264</v>
      </c>
      <c r="AE153">
        <v>11</v>
      </c>
      <c r="AF153" t="s">
        <v>2123</v>
      </c>
      <c r="AG153" t="s">
        <v>2130</v>
      </c>
      <c r="AH153">
        <v>255</v>
      </c>
      <c r="AM153" t="str">
        <f t="shared" si="2"/>
        <v>{dwID=20162,nLevel=1,szNote="云栖松",col={179,238,58,},[1]={},[2]={},aCataclysmBuff={{szReminder="云 技能云栖松闪避",nPriority=11,col="#B3EE3AFF",colScreenHead="#B3EE3A",nColAlpha=255,},},},</v>
      </c>
    </row>
    <row r="154" spans="3:39" x14ac:dyDescent="0.15">
      <c r="C154">
        <v>1904</v>
      </c>
      <c r="D154">
        <v>1</v>
      </c>
      <c r="K154" t="s">
        <v>62</v>
      </c>
      <c r="L154" t="s">
        <v>2228</v>
      </c>
      <c r="AD154" t="s">
        <v>2265</v>
      </c>
      <c r="AE154">
        <v>12</v>
      </c>
      <c r="AF154" t="s">
        <v>2230</v>
      </c>
      <c r="AG154" t="s">
        <v>2231</v>
      </c>
      <c r="AH154">
        <v>255</v>
      </c>
      <c r="AM154" t="str">
        <f t="shared" si="2"/>
        <v>{dwID=1904,nLevel=1,szNote="鹤归孤山",col={31,63,255,},[1]={},[2]={},aCataclysmBuff={{szReminder="晕 技能鹤归眩晕",nPriority=12,col="#1F3FFFFF",colScreenHead="#1F3FFF",nColAlpha=255,},},},</v>
      </c>
    </row>
    <row r="155" spans="3:39" x14ac:dyDescent="0.15">
      <c r="C155">
        <v>24439</v>
      </c>
      <c r="D155">
        <v>1</v>
      </c>
      <c r="K155" t="s">
        <v>63</v>
      </c>
      <c r="L155" t="s">
        <v>2120</v>
      </c>
      <c r="AD155" t="s">
        <v>2266</v>
      </c>
      <c r="AE155">
        <v>10</v>
      </c>
      <c r="AF155" t="s">
        <v>2123</v>
      </c>
      <c r="AG155" t="s">
        <v>2130</v>
      </c>
      <c r="AH155">
        <v>255</v>
      </c>
      <c r="AM155" t="str">
        <f t="shared" si="2"/>
        <v>{dwID=24439,nLevel=1,szNote="庇佑",col={179,238,58,},[1]={},[2]={},aCataclysmBuff={{szReminder="佑 奶毒奇穴孔雀引生效",nPriority=10,col="#B3EE3AFF",colScreenHead="#B3EE3A",nColAlpha=255,},},},</v>
      </c>
    </row>
    <row r="156" spans="3:39" x14ac:dyDescent="0.15">
      <c r="C156">
        <v>5950</v>
      </c>
      <c r="D156">
        <v>1</v>
      </c>
      <c r="K156" t="s">
        <v>65</v>
      </c>
      <c r="L156" t="s">
        <v>2120</v>
      </c>
      <c r="AD156" t="s">
        <v>2267</v>
      </c>
      <c r="AE156">
        <v>11</v>
      </c>
      <c r="AF156" t="s">
        <v>2123</v>
      </c>
      <c r="AG156" t="s">
        <v>2130</v>
      </c>
      <c r="AH156">
        <v>255</v>
      </c>
      <c r="AM156" t="str">
        <f t="shared" si="2"/>
        <v>{dwID=5950,nLevel=1,szNote="蛊虫献祭",col={179,238,58,},[1]={},[2]={},aCataclysmBuff={{szReminder="祭 蛊虫献祭通用免控（击退和被拉除外）",nPriority=11,col="#B3EE3AFF",colScreenHead="#B3EE3A",nColAlpha=255,},},},</v>
      </c>
    </row>
    <row r="157" spans="3:39" x14ac:dyDescent="0.15">
      <c r="C157">
        <v>24329</v>
      </c>
      <c r="D157">
        <v>1</v>
      </c>
      <c r="K157" t="s">
        <v>66</v>
      </c>
      <c r="L157" t="s">
        <v>2120</v>
      </c>
      <c r="AD157" t="s">
        <v>2268</v>
      </c>
      <c r="AE157">
        <v>11</v>
      </c>
      <c r="AF157" t="s">
        <v>2123</v>
      </c>
      <c r="AG157" t="s">
        <v>2130</v>
      </c>
      <c r="AH157">
        <v>255</v>
      </c>
      <c r="AM157" t="str">
        <f t="shared" si="2"/>
        <v>{dwID=24329,nLevel=1,szNote="驭虫",col={179,238,58,},[1]={},[2]={},aCataclysmBuff={{szReminder="免 驭虫免控（击退和被拉除外）",nPriority=11,col="#B3EE3AFF",colScreenHead="#B3EE3A",nColAlpha=255,},},},</v>
      </c>
    </row>
    <row r="158" spans="3:39" x14ac:dyDescent="0.15">
      <c r="C158">
        <v>3425</v>
      </c>
      <c r="D158">
        <v>1</v>
      </c>
      <c r="K158" t="s">
        <v>67</v>
      </c>
      <c r="L158" t="s">
        <v>2115</v>
      </c>
      <c r="AD158" t="s">
        <v>2269</v>
      </c>
      <c r="AE158">
        <v>2</v>
      </c>
      <c r="AF158" t="s">
        <v>2117</v>
      </c>
      <c r="AG158" t="s">
        <v>2132</v>
      </c>
      <c r="AH158">
        <v>255</v>
      </c>
      <c r="AM158" t="str">
        <f t="shared" si="2"/>
        <v>{dwID=3425,nLevel=1,szNote="鬼斧神工",col={255,204,0,},[1]={},[2]={},aCataclysmBuff={{szReminder="鬼 田螺技能鬼斧无敌",nPriority=2,col="#FFCC00FF",colScreenHead="#FFCC00",nColAlpha=255,},},},</v>
      </c>
    </row>
    <row r="159" spans="3:39" x14ac:dyDescent="0.15">
      <c r="C159">
        <v>3203</v>
      </c>
      <c r="D159">
        <v>1</v>
      </c>
      <c r="K159" t="s">
        <v>68</v>
      </c>
      <c r="L159" t="s">
        <v>2115</v>
      </c>
      <c r="AD159" t="s">
        <v>2270</v>
      </c>
      <c r="AE159">
        <v>2</v>
      </c>
      <c r="AF159" t="s">
        <v>2117</v>
      </c>
      <c r="AG159" t="s">
        <v>2132</v>
      </c>
      <c r="AH159">
        <v>255</v>
      </c>
      <c r="AM159" t="str">
        <f t="shared" si="2"/>
        <v>{dwID=3203,nLevel=1,szNote="浮光掠影",col={255,204,0,},[1]={},[2]={},aCataclysmBuff={{szReminder="隐 技能隐身",nPriority=2,col="#FFCC00FF",colScreenHead="#FFCC00",nColAlpha=255,},},},</v>
      </c>
    </row>
    <row r="160" spans="3:39" x14ac:dyDescent="0.15">
      <c r="C160">
        <v>9987</v>
      </c>
      <c r="D160">
        <v>1</v>
      </c>
      <c r="K160" t="s">
        <v>69</v>
      </c>
      <c r="L160" t="s">
        <v>2115</v>
      </c>
      <c r="AD160" t="s">
        <v>2271</v>
      </c>
      <c r="AE160">
        <v>2</v>
      </c>
      <c r="AF160" t="s">
        <v>2117</v>
      </c>
      <c r="AG160" t="s">
        <v>2132</v>
      </c>
      <c r="AH160">
        <v>255</v>
      </c>
      <c r="AM160" t="str">
        <f t="shared" si="2"/>
        <v>{dwID=9987,nLevel=1,szNote="瑕草无霜",col={255,204,0,},[1]={},[2]={},aCataclysmBuff={{szReminder="隐 奇穴群隐",nPriority=2,col="#FFCC00FF",colScreenHead="#FFCC00",nColAlpha=255,},},},</v>
      </c>
    </row>
    <row r="161" spans="3:39" x14ac:dyDescent="0.15">
      <c r="C161">
        <v>3214</v>
      </c>
      <c r="D161">
        <v>1</v>
      </c>
      <c r="K161" t="s">
        <v>70</v>
      </c>
      <c r="L161" t="s">
        <v>2120</v>
      </c>
      <c r="AD161" t="s">
        <v>2272</v>
      </c>
      <c r="AE161">
        <v>11</v>
      </c>
      <c r="AF161" t="s">
        <v>2123</v>
      </c>
      <c r="AG161" t="s">
        <v>2130</v>
      </c>
      <c r="AH161">
        <v>255</v>
      </c>
      <c r="AM161" t="str">
        <f t="shared" si="2"/>
        <v>{dwID=3214,nLevel=1,szNote="惊鸿游龙",col={179,238,58,},[1]={},[2]={},aCataclysmBuff={{szReminder="惊 技能惊鸿闪避内减",nPriority=11,col="#B3EE3AFF",colScreenHead="#B3EE3A",nColAlpha=255,},},},</v>
      </c>
    </row>
    <row r="162" spans="3:39" x14ac:dyDescent="0.15">
      <c r="C162">
        <v>12481</v>
      </c>
      <c r="D162">
        <v>1</v>
      </c>
      <c r="K162" t="s">
        <v>71</v>
      </c>
      <c r="L162" t="s">
        <v>2120</v>
      </c>
      <c r="AD162" t="s">
        <v>2273</v>
      </c>
      <c r="AE162">
        <v>11</v>
      </c>
      <c r="AF162" t="s">
        <v>2123</v>
      </c>
      <c r="AG162" t="s">
        <v>2130</v>
      </c>
      <c r="AH162">
        <v>255</v>
      </c>
      <c r="AM162" t="str">
        <f t="shared" si="2"/>
        <v>{dwID=12481,nLevel=1,szNote="浮空",col={179,238,58,},[1]={},[2]={},aCataclysmBuff={{szReminder="鸟 鸟翔碧空不受招式控制",nPriority=11,col="#B3EE3AFF",colScreenHead="#B3EE3A",nColAlpha=255,},},},</v>
      </c>
    </row>
    <row r="163" spans="3:39" x14ac:dyDescent="0.15">
      <c r="C163">
        <v>12857</v>
      </c>
      <c r="D163">
        <v>1</v>
      </c>
      <c r="K163" t="s">
        <v>72</v>
      </c>
      <c r="L163" t="s">
        <v>2120</v>
      </c>
      <c r="AD163" t="s">
        <v>2274</v>
      </c>
      <c r="AE163">
        <v>11</v>
      </c>
      <c r="AF163" t="s">
        <v>2123</v>
      </c>
      <c r="AG163" t="s">
        <v>2130</v>
      </c>
      <c r="AH163">
        <v>255</v>
      </c>
      <c r="AM163" t="str">
        <f t="shared" si="2"/>
        <v>{dwID=12857,nLevel=1,szNote="飞鸢逐月",col={179,238,58,},[1]={},[2]={},aCataclysmBuff={{szReminder="飞 不受招式控制（击退和被拉除外）",nPriority=11,col="#B3EE3AFF",colScreenHead="#B3EE3A",nColAlpha=255,},},},</v>
      </c>
    </row>
    <row r="164" spans="3:39" x14ac:dyDescent="0.15">
      <c r="C164">
        <v>6087</v>
      </c>
      <c r="D164">
        <v>1</v>
      </c>
      <c r="K164" t="s">
        <v>73</v>
      </c>
      <c r="L164" t="s">
        <v>2120</v>
      </c>
      <c r="AD164" t="s">
        <v>2275</v>
      </c>
      <c r="AE164">
        <v>11</v>
      </c>
      <c r="AF164" t="s">
        <v>2123</v>
      </c>
      <c r="AG164" t="s">
        <v>2130</v>
      </c>
      <c r="AH164">
        <v>255</v>
      </c>
      <c r="AM164" t="str">
        <f t="shared" si="2"/>
        <v>{dwID=6087,nLevel=1,szNote="流火飞星",col={179,238,58,},[1]={},[2]={},aCataclysmBuff={{szReminder="免 飞星遁影免控（击退和被拉除外）",nPriority=11,col="#B3EE3AFF",colScreenHead="#B3EE3A",nColAlpha=255,},},},</v>
      </c>
    </row>
    <row r="165" spans="3:39" x14ac:dyDescent="0.15">
      <c r="C165">
        <v>3279</v>
      </c>
      <c r="D165">
        <v>1</v>
      </c>
      <c r="K165" t="s">
        <v>74</v>
      </c>
      <c r="L165" t="s">
        <v>2120</v>
      </c>
      <c r="AD165" t="s">
        <v>2222</v>
      </c>
      <c r="AE165">
        <v>11</v>
      </c>
      <c r="AF165" t="s">
        <v>2123</v>
      </c>
      <c r="AG165" t="s">
        <v>2130</v>
      </c>
      <c r="AH165">
        <v>255</v>
      </c>
      <c r="AM165" t="str">
        <f t="shared" si="2"/>
        <v>{dwID=3279,nLevel=1,szNote="生死之交",col={179,238,58,},[1]={},[2]={},aCataclysmBuff={{szReminder="免 免控（击退和被拉除外）",nPriority=11,col="#B3EE3AFF",colScreenHead="#B3EE3A",nColAlpha=255,},},},</v>
      </c>
    </row>
    <row r="166" spans="3:39" x14ac:dyDescent="0.15">
      <c r="C166">
        <v>27088</v>
      </c>
      <c r="D166">
        <v>1</v>
      </c>
      <c r="K166" t="s">
        <v>2276</v>
      </c>
      <c r="L166" t="s">
        <v>2115</v>
      </c>
      <c r="AD166" t="s">
        <v>2277</v>
      </c>
      <c r="AE166">
        <v>2</v>
      </c>
      <c r="AF166" t="s">
        <v>2117</v>
      </c>
      <c r="AG166" t="s">
        <v>2132</v>
      </c>
      <c r="AH166">
        <v>255</v>
      </c>
      <c r="AM166" t="str">
        <f t="shared" si="2"/>
        <v>{dwID=27088,nLevel=1,szNote="净",col={255,204,0,},[1]={},[2]={},aCataclysmBuff={{szReminder="净 焚影奇穴清净心无敌",nPriority=2,col="#FFCC00FF",colScreenHead="#FFCC00",nColAlpha=255,},},},</v>
      </c>
    </row>
    <row r="167" spans="3:39" x14ac:dyDescent="0.15">
      <c r="C167">
        <v>18075</v>
      </c>
      <c r="D167">
        <v>1</v>
      </c>
      <c r="K167" t="s">
        <v>75</v>
      </c>
      <c r="L167" t="s">
        <v>2120</v>
      </c>
      <c r="AD167" t="s">
        <v>2278</v>
      </c>
      <c r="AE167">
        <v>11</v>
      </c>
      <c r="AF167" t="s">
        <v>2123</v>
      </c>
      <c r="AG167" t="s">
        <v>2130</v>
      </c>
      <c r="AH167">
        <v>255</v>
      </c>
      <c r="AM167" t="str">
        <f t="shared" si="2"/>
        <v>{dwID=18075,nLevel=1,szNote="微妙风",col={179,238,58,},[1]={},[2]={},aCataclysmBuff={{szReminder="减 奇穴微妙风降被命中",nPriority=11,col="#B3EE3AFF",colScreenHead="#B3EE3A",nColAlpha=255,},},},</v>
      </c>
    </row>
    <row r="168" spans="3:39" x14ac:dyDescent="0.15">
      <c r="C168">
        <v>4052</v>
      </c>
      <c r="D168">
        <v>1</v>
      </c>
      <c r="K168" t="s">
        <v>18</v>
      </c>
      <c r="L168" t="s">
        <v>2120</v>
      </c>
      <c r="AD168" t="s">
        <v>2279</v>
      </c>
      <c r="AE168">
        <v>2</v>
      </c>
      <c r="AF168" t="s">
        <v>2123</v>
      </c>
      <c r="AG168" t="s">
        <v>2130</v>
      </c>
      <c r="AH168">
        <v>255</v>
      </c>
      <c r="AM168" t="str">
        <f t="shared" si="2"/>
        <v>{dwID=4052,nLevel=1,szNote="暗尘弥散",col={179,238,58,},[1]={},[2]={},aCataclysmBuff={{szReminder="隐 施展伤害招式或受到伤害后伪装失效",nPriority=2,col="#B3EE3AFF",colScreenHead="#B3EE3A",nColAlpha=255,},},},</v>
      </c>
    </row>
    <row r="169" spans="3:39" x14ac:dyDescent="0.15">
      <c r="C169">
        <v>5744</v>
      </c>
      <c r="D169">
        <v>1</v>
      </c>
      <c r="K169" t="s">
        <v>76</v>
      </c>
      <c r="L169" t="s">
        <v>2120</v>
      </c>
      <c r="AD169" t="s">
        <v>2280</v>
      </c>
      <c r="AE169">
        <v>11</v>
      </c>
      <c r="AF169" t="s">
        <v>2123</v>
      </c>
      <c r="AG169" t="s">
        <v>2130</v>
      </c>
      <c r="AH169">
        <v>255</v>
      </c>
      <c r="AM169" t="str">
        <f t="shared" si="2"/>
        <v>{dwID=5744,nLevel=1,szNote="贪魔体",col={179,238,58,},[1]={},[2]={},aCataclysmBuff={{szReminder="贪 贪魔体",nPriority=11,col="#B3EE3AFF",colScreenHead="#B3EE3A",nColAlpha=255,},},},</v>
      </c>
    </row>
    <row r="170" spans="3:39" x14ac:dyDescent="0.15">
      <c r="C170">
        <v>6279</v>
      </c>
      <c r="D170">
        <v>1</v>
      </c>
      <c r="K170" t="s">
        <v>76</v>
      </c>
      <c r="L170" t="s">
        <v>2120</v>
      </c>
      <c r="AD170" t="s">
        <v>2280</v>
      </c>
      <c r="AE170">
        <v>11</v>
      </c>
      <c r="AF170" t="s">
        <v>2123</v>
      </c>
      <c r="AG170" t="s">
        <v>2130</v>
      </c>
      <c r="AH170">
        <v>255</v>
      </c>
      <c r="AM170" t="str">
        <f t="shared" si="2"/>
        <v>{dwID=6279,nLevel=1,szNote="贪魔体",col={179,238,58,},[1]={},[2]={},aCataclysmBuff={{szReminder="贪 贪魔体",nPriority=11,col="#B3EE3AFF",colScreenHead="#B3EE3A",nColAlpha=255,},},},</v>
      </c>
    </row>
    <row r="171" spans="3:39" x14ac:dyDescent="0.15">
      <c r="C171">
        <v>4439</v>
      </c>
      <c r="D171">
        <v>1</v>
      </c>
      <c r="K171" t="s">
        <v>76</v>
      </c>
      <c r="L171" t="s">
        <v>2120</v>
      </c>
      <c r="AD171" t="s">
        <v>2281</v>
      </c>
      <c r="AE171">
        <v>11</v>
      </c>
      <c r="AF171" t="s">
        <v>2123</v>
      </c>
      <c r="AG171" t="s">
        <v>2130</v>
      </c>
      <c r="AH171">
        <v>255</v>
      </c>
      <c r="AM171" t="str">
        <f t="shared" si="2"/>
        <v>{dwID=4439,nLevel=1,szNote="贪魔体",col={179,238,58,},[1]={},[2]={},aCataclysmBuff={{szReminder="贪 技能贪魔体减伤",nPriority=11,col="#B3EE3AFF",colScreenHead="#B3EE3A",nColAlpha=255,},},},</v>
      </c>
    </row>
    <row r="172" spans="3:39" x14ac:dyDescent="0.15">
      <c r="C172">
        <v>12665</v>
      </c>
      <c r="D172">
        <v>1</v>
      </c>
      <c r="K172" t="s">
        <v>77</v>
      </c>
      <c r="L172" t="s">
        <v>2120</v>
      </c>
      <c r="AD172" t="s">
        <v>2282</v>
      </c>
      <c r="AE172">
        <v>11</v>
      </c>
      <c r="AF172" t="s">
        <v>2123</v>
      </c>
      <c r="AG172" t="s">
        <v>2130</v>
      </c>
      <c r="AH172">
        <v>255</v>
      </c>
      <c r="AM172" t="str">
        <f t="shared" si="2"/>
        <v>{dwID=12665,nLevel=1,szNote="秘影",col={179,238,58,},[1]={},[2]={},aCataclysmBuff={{szReminder="免 不受招式控制（击退和被拉除外）",nPriority=11,col="#B3EE3AFF",colScreenHead="#B3EE3A",nColAlpha=255,},},},</v>
      </c>
    </row>
    <row r="173" spans="3:39" x14ac:dyDescent="0.15">
      <c r="C173">
        <v>4468</v>
      </c>
      <c r="D173">
        <v>1</v>
      </c>
      <c r="K173" t="s">
        <v>19</v>
      </c>
      <c r="L173" t="s">
        <v>2120</v>
      </c>
      <c r="AD173" t="s">
        <v>2282</v>
      </c>
      <c r="AE173">
        <v>11</v>
      </c>
      <c r="AF173" t="s">
        <v>2123</v>
      </c>
      <c r="AG173" t="s">
        <v>2130</v>
      </c>
      <c r="AH173">
        <v>255</v>
      </c>
      <c r="AM173" t="str">
        <f t="shared" si="2"/>
        <v>{dwID=4468,nLevel=1,szNote="超然",col={179,238,58,},[1]={},[2]={},aCataclysmBuff={{szReminder="免 不受招式控制（击退和被拉除外）",nPriority=11,col="#B3EE3AFF",colScreenHead="#B3EE3A",nColAlpha=255,},},},</v>
      </c>
    </row>
    <row r="174" spans="3:39" x14ac:dyDescent="0.15">
      <c r="C174">
        <v>12491</v>
      </c>
      <c r="D174">
        <v>1</v>
      </c>
      <c r="K174" t="s">
        <v>78</v>
      </c>
      <c r="L174" t="s">
        <v>2120</v>
      </c>
      <c r="AD174" t="s">
        <v>2283</v>
      </c>
      <c r="AE174">
        <v>11</v>
      </c>
      <c r="AF174" t="s">
        <v>2123</v>
      </c>
      <c r="AG174" t="s">
        <v>2130</v>
      </c>
      <c r="AH174">
        <v>255</v>
      </c>
      <c r="AM174" t="str">
        <f t="shared" si="2"/>
        <v>{dwID=12491,nLevel=1,szNote="冥月渡心",col={179,238,58,},[1]={},[2]={},aCataclysmBuff={{szReminder="免 免疫控制效果（被推被拉除外）",nPriority=11,col="#B3EE3AFF",colScreenHead="#B3EE3A",nColAlpha=255,},},},</v>
      </c>
    </row>
    <row r="175" spans="3:39" x14ac:dyDescent="0.15">
      <c r="C175">
        <v>27034</v>
      </c>
      <c r="D175">
        <v>1</v>
      </c>
      <c r="K175" t="s">
        <v>78</v>
      </c>
      <c r="L175" t="s">
        <v>2120</v>
      </c>
      <c r="AD175" t="s">
        <v>2283</v>
      </c>
      <c r="AE175">
        <v>11</v>
      </c>
      <c r="AF175" t="s">
        <v>2123</v>
      </c>
      <c r="AG175" t="s">
        <v>2130</v>
      </c>
      <c r="AH175">
        <v>255</v>
      </c>
      <c r="AM175" t="str">
        <f t="shared" si="2"/>
        <v>{dwID=27034,nLevel=1,szNote="冥月渡心",col={179,238,58,},[1]={},[2]={},aCataclysmBuff={{szReminder="免 免疫控制效果（被推被拉除外）",nPriority=11,col="#B3EE3AFF",colScreenHead="#B3EE3A",nColAlpha=255,},},},</v>
      </c>
    </row>
    <row r="176" spans="3:39" x14ac:dyDescent="0.15">
      <c r="C176">
        <v>19222</v>
      </c>
      <c r="D176">
        <v>1</v>
      </c>
      <c r="K176" t="s">
        <v>79</v>
      </c>
      <c r="L176" t="s">
        <v>2120</v>
      </c>
      <c r="AD176" t="s">
        <v>2284</v>
      </c>
      <c r="AE176">
        <v>11</v>
      </c>
      <c r="AF176" t="s">
        <v>2123</v>
      </c>
      <c r="AG176" t="s">
        <v>2130</v>
      </c>
      <c r="AH176">
        <v>255</v>
      </c>
      <c r="AM176" t="str">
        <f t="shared" si="2"/>
        <v>{dwID=19222,nLevel=1,szNote="无间影狱",col={179,238,58,},[1]={},[2]={},aCataclysmBuff={{szReminder="盾 化解自身最大气血值20%的伤害",nPriority=11,col="#B3EE3AFF",colScreenHead="#B3EE3A",nColAlpha=255,},},},</v>
      </c>
    </row>
    <row r="177" spans="3:39" x14ac:dyDescent="0.15">
      <c r="C177">
        <v>23180</v>
      </c>
      <c r="D177">
        <v>1</v>
      </c>
      <c r="K177" t="s">
        <v>80</v>
      </c>
      <c r="L177" t="s">
        <v>2115</v>
      </c>
      <c r="AD177" t="s">
        <v>2285</v>
      </c>
      <c r="AE177">
        <v>2</v>
      </c>
      <c r="AF177" t="s">
        <v>2117</v>
      </c>
      <c r="AG177" t="s">
        <v>2132</v>
      </c>
      <c r="AH177">
        <v>255</v>
      </c>
      <c r="AM177" t="str">
        <f t="shared" si="2"/>
        <v>{dwID=23180,nLevel=1,szNote="仁德",col={255,204,0,},[1]={},[2]={},aCataclysmBuff={{szReminder="仁 奇穴仁德无敌",nPriority=2,col="#FFCC00FF",colScreenHead="#FFCC00",nColAlpha=255,},},},</v>
      </c>
    </row>
    <row r="178" spans="3:39" x14ac:dyDescent="0.15">
      <c r="C178">
        <v>6200</v>
      </c>
      <c r="D178">
        <v>1</v>
      </c>
      <c r="K178" t="s">
        <v>81</v>
      </c>
      <c r="L178" t="s">
        <v>2120</v>
      </c>
      <c r="AD178" t="s">
        <v>2286</v>
      </c>
      <c r="AE178">
        <v>11</v>
      </c>
      <c r="AF178" t="s">
        <v>2123</v>
      </c>
      <c r="AG178" t="s">
        <v>2130</v>
      </c>
      <c r="AH178">
        <v>255</v>
      </c>
      <c r="AM178" t="str">
        <f t="shared" si="2"/>
        <v>{dwID=6200,nLevel=1,szNote="龙啸九天",col={179,238,58,},[1]={},[2]={},aCataclysmBuff={{szReminder="啸 技能龙啸减伤",nPriority=11,col="#B3EE3AFF",colScreenHead="#B3EE3A",nColAlpha=255,},},},</v>
      </c>
    </row>
    <row r="179" spans="3:39" x14ac:dyDescent="0.15">
      <c r="C179">
        <v>12530</v>
      </c>
      <c r="D179">
        <v>1</v>
      </c>
      <c r="K179" t="s">
        <v>82</v>
      </c>
      <c r="L179" t="s">
        <v>2120</v>
      </c>
      <c r="AD179" t="s">
        <v>2287</v>
      </c>
      <c r="AE179">
        <v>11</v>
      </c>
      <c r="AF179" t="s">
        <v>2123</v>
      </c>
      <c r="AG179" t="s">
        <v>2130</v>
      </c>
      <c r="AH179">
        <v>255</v>
      </c>
      <c r="AM179" t="str">
        <f t="shared" si="2"/>
        <v>{dwID=12530,nLevel=1,szNote="乘龙戏水",col={179,238,58,},[1]={},[2]={},aCataclysmBuff={{szReminder="乘 技能乘龙奇穴加强减伤60%",nPriority=11,col="#B3EE3AFF",colScreenHead="#B3EE3A",nColAlpha=255,},},},</v>
      </c>
    </row>
    <row r="180" spans="3:39" x14ac:dyDescent="0.15">
      <c r="C180">
        <v>18084</v>
      </c>
      <c r="D180">
        <v>1</v>
      </c>
      <c r="K180" t="s">
        <v>82</v>
      </c>
      <c r="L180" t="s">
        <v>2120</v>
      </c>
      <c r="AD180" t="s">
        <v>2288</v>
      </c>
      <c r="AE180">
        <v>11</v>
      </c>
      <c r="AF180" t="s">
        <v>2123</v>
      </c>
      <c r="AG180" t="s">
        <v>2130</v>
      </c>
      <c r="AH180">
        <v>255</v>
      </c>
      <c r="AM180" t="str">
        <f t="shared" si="2"/>
        <v>{dwID=18084,nLevel=1,szNote="乘龙戏水",col={179,238,58,},[1]={},[2]={},aCataclysmBuff={{szReminder="乘 免疫下次伤害",nPriority=11,col="#B3EE3AFF",colScreenHead="#B3EE3A",nColAlpha=255,},},},</v>
      </c>
    </row>
    <row r="181" spans="3:39" x14ac:dyDescent="0.15">
      <c r="C181">
        <v>6434</v>
      </c>
      <c r="D181">
        <v>1</v>
      </c>
      <c r="K181" t="s">
        <v>396</v>
      </c>
      <c r="L181" t="s">
        <v>2120</v>
      </c>
      <c r="AD181" t="s">
        <v>2289</v>
      </c>
      <c r="AE181">
        <v>11</v>
      </c>
      <c r="AF181" t="s">
        <v>2123</v>
      </c>
      <c r="AG181" t="s">
        <v>2130</v>
      </c>
      <c r="AH181">
        <v>255</v>
      </c>
      <c r="AM181" t="str">
        <f t="shared" si="2"/>
        <v>{dwID=6434,nLevel=1,szNote="醉逍遥",col={179,238,58,},[1]={},[2]={},aCataclysmBuff={{szReminder="闪 奇穴醉逍遥闪避",nPriority=11,col="#B3EE3AFF",colScreenHead="#B3EE3A",nColAlpha=255,},},},</v>
      </c>
    </row>
    <row r="182" spans="3:39" x14ac:dyDescent="0.15">
      <c r="C182">
        <v>5995</v>
      </c>
      <c r="D182">
        <v>1</v>
      </c>
      <c r="K182" t="s">
        <v>20</v>
      </c>
      <c r="L182" t="s">
        <v>2120</v>
      </c>
      <c r="AD182" t="s">
        <v>2290</v>
      </c>
      <c r="AE182">
        <v>11</v>
      </c>
      <c r="AF182" t="s">
        <v>2123</v>
      </c>
      <c r="AG182" t="s">
        <v>2130</v>
      </c>
      <c r="AH182">
        <v>255</v>
      </c>
      <c r="AM182" t="str">
        <f t="shared" si="2"/>
        <v>{dwID=5995,nLevel=1,szNote="笑醉狂",col={179,238,58,},[1]={},[2]={},aCataclysmBuff={{szReminder="免 笑醉狂_免控",nPriority=11,col="#B3EE3AFF",colScreenHead="#B3EE3A",nColAlpha=255,},},},</v>
      </c>
    </row>
    <row r="183" spans="3:39" x14ac:dyDescent="0.15">
      <c r="C183">
        <v>5996</v>
      </c>
      <c r="D183">
        <v>1</v>
      </c>
      <c r="K183" t="s">
        <v>20</v>
      </c>
      <c r="L183" t="s">
        <v>2120</v>
      </c>
      <c r="AD183" t="s">
        <v>2291</v>
      </c>
      <c r="AE183">
        <v>11</v>
      </c>
      <c r="AF183" t="s">
        <v>2123</v>
      </c>
      <c r="AG183" t="s">
        <v>2130</v>
      </c>
      <c r="AH183">
        <v>255</v>
      </c>
      <c r="AM183" t="str">
        <f t="shared" si="2"/>
        <v>{dwID=5996,nLevel=1,szNote="笑醉狂",col={179,238,58,},[1]={},[2]={},aCataclysmBuff={{szReminder="减 笑醉狂",nPriority=11,col="#B3EE3AFF",colScreenHead="#B3EE3A",nColAlpha=255,},},},</v>
      </c>
    </row>
    <row r="184" spans="3:39" x14ac:dyDescent="0.15">
      <c r="C184">
        <v>6015</v>
      </c>
      <c r="D184">
        <v>1</v>
      </c>
      <c r="K184" t="s">
        <v>83</v>
      </c>
      <c r="L184" t="s">
        <v>2120</v>
      </c>
      <c r="AD184" t="s">
        <v>2222</v>
      </c>
      <c r="AE184">
        <v>11</v>
      </c>
      <c r="AF184" t="s">
        <v>2123</v>
      </c>
      <c r="AG184" t="s">
        <v>2130</v>
      </c>
      <c r="AH184">
        <v>255</v>
      </c>
      <c r="AM184" t="str">
        <f t="shared" si="2"/>
        <v>{dwID=6015,nLevel=1,szNote="龙跃于渊",col={179,238,58,},[1]={},[2]={},aCataclysmBuff={{szReminder="免 免控（击退和被拉除外）",nPriority=11,col="#B3EE3AFF",colScreenHead="#B3EE3A",nColAlpha=255,},},},</v>
      </c>
    </row>
    <row r="185" spans="3:39" x14ac:dyDescent="0.15">
      <c r="C185">
        <v>13927</v>
      </c>
      <c r="D185">
        <v>1</v>
      </c>
      <c r="K185" t="s">
        <v>84</v>
      </c>
      <c r="L185" t="s">
        <v>2115</v>
      </c>
      <c r="AD185" t="s">
        <v>2292</v>
      </c>
      <c r="AE185">
        <v>1</v>
      </c>
      <c r="AF185" t="s">
        <v>2117</v>
      </c>
      <c r="AG185" t="s">
        <v>2132</v>
      </c>
      <c r="AH185">
        <v>255</v>
      </c>
      <c r="AM185" t="str">
        <f t="shared" si="2"/>
        <v>{dwID=13927,nLevel=1,szNote="隐",col={255,204,0,},[1]={},[2]={},aCataclysmBuff={{szReminder="隐 分山奇穴隐刀无敌",nPriority=1,col="#FFCC00FF",colScreenHead="#FFCC00",nColAlpha=255,},},},</v>
      </c>
    </row>
    <row r="186" spans="3:39" x14ac:dyDescent="0.15">
      <c r="C186">
        <v>8303</v>
      </c>
      <c r="D186">
        <v>1</v>
      </c>
      <c r="K186" t="s">
        <v>85</v>
      </c>
      <c r="L186" t="s">
        <v>2115</v>
      </c>
      <c r="AD186" t="s">
        <v>2293</v>
      </c>
      <c r="AE186">
        <v>1</v>
      </c>
      <c r="AF186" t="s">
        <v>2117</v>
      </c>
      <c r="AG186" t="s">
        <v>2132</v>
      </c>
      <c r="AH186">
        <v>255</v>
      </c>
      <c r="AM186" t="str">
        <f t="shared" si="2"/>
        <v>{dwID=8303,nLevel=1,szNote="盾立",col={255,204,0,},[1]={},[2]={},aCataclysmBuff={{szReminder="立 分山技能盾立无敌",nPriority=1,col="#FFCC00FF",colScreenHead="#FFCC00",nColAlpha=255,},},},</v>
      </c>
    </row>
    <row r="187" spans="3:39" x14ac:dyDescent="0.15">
      <c r="C187">
        <v>14319</v>
      </c>
      <c r="D187">
        <v>1</v>
      </c>
      <c r="K187" t="s">
        <v>86</v>
      </c>
      <c r="L187" t="s">
        <v>2115</v>
      </c>
      <c r="AD187" t="s">
        <v>2294</v>
      </c>
      <c r="AE187">
        <v>2</v>
      </c>
      <c r="AF187" t="s">
        <v>2117</v>
      </c>
      <c r="AG187" t="s">
        <v>2132</v>
      </c>
      <c r="AH187">
        <v>255</v>
      </c>
      <c r="AM187" t="str">
        <f t="shared" si="2"/>
        <v>{dwID=14319,nLevel=1,szNote="激奋",col={255,204,0,},[1]={},[2]={},aCataclysmBuff={{szReminder="激 分山奇穴激奋免死",nPriority=2,col="#FFCC00FF",colScreenHead="#FFCC00",nColAlpha=255,},},},</v>
      </c>
    </row>
    <row r="188" spans="3:39" x14ac:dyDescent="0.15">
      <c r="C188">
        <v>8300</v>
      </c>
      <c r="D188">
        <v>1</v>
      </c>
      <c r="K188" t="s">
        <v>87</v>
      </c>
      <c r="L188" t="s">
        <v>2120</v>
      </c>
      <c r="AD188" t="s">
        <v>2295</v>
      </c>
      <c r="AE188">
        <v>11</v>
      </c>
      <c r="AF188" t="s">
        <v>2123</v>
      </c>
      <c r="AG188" t="s">
        <v>2130</v>
      </c>
      <c r="AH188">
        <v>255</v>
      </c>
      <c r="AM188" t="str">
        <f t="shared" si="2"/>
        <v>{dwID=8300,nLevel=1,szNote="盾墙",col={179,238,58,},[1]={},[2]={},aCataclysmBuff={{szReminder="墙 技能盾墙减伤",nPriority=11,col="#B3EE3AFF",colScreenHead="#B3EE3A",nColAlpha=255,},},},</v>
      </c>
    </row>
    <row r="189" spans="3:39" x14ac:dyDescent="0.15">
      <c r="C189">
        <v>8650</v>
      </c>
      <c r="D189">
        <v>1</v>
      </c>
      <c r="K189" t="s">
        <v>87</v>
      </c>
      <c r="L189" t="s">
        <v>2120</v>
      </c>
      <c r="AD189" t="s">
        <v>2296</v>
      </c>
      <c r="AE189">
        <v>11</v>
      </c>
      <c r="AF189" t="s">
        <v>2123</v>
      </c>
      <c r="AG189" t="s">
        <v>2130</v>
      </c>
      <c r="AH189">
        <v>255</v>
      </c>
      <c r="AM189" t="str">
        <f t="shared" si="2"/>
        <v>{dwID=8650,nLevel=1,szNote="盾墙",col={179,238,58,},[1]={},[2]={},aCataclysmBuff={{szReminder="墙 技能盾墙附魔后群减伤",nPriority=11,col="#B3EE3AFF",colScreenHead="#B3EE3A",nColAlpha=255,},},},</v>
      </c>
    </row>
    <row r="190" spans="3:39" x14ac:dyDescent="0.15">
      <c r="C190">
        <v>8279</v>
      </c>
      <c r="D190">
        <v>1</v>
      </c>
      <c r="K190" t="s">
        <v>88</v>
      </c>
      <c r="L190" t="s">
        <v>2120</v>
      </c>
      <c r="AD190" t="s">
        <v>2297</v>
      </c>
      <c r="AE190">
        <v>11</v>
      </c>
      <c r="AF190" t="s">
        <v>2123</v>
      </c>
      <c r="AG190" t="s">
        <v>2130</v>
      </c>
      <c r="AH190">
        <v>255</v>
      </c>
      <c r="AM190" t="str">
        <f t="shared" si="2"/>
        <v>{dwID=8279,nLevel=1,szNote="盾壁",col={179,238,58,},[1]={},[2]={},aCataclysmBuff={{szReminder="壁 技能盾壁化解",nPriority=11,col="#B3EE3AFF",colScreenHead="#B3EE3A",nColAlpha=255,},},},</v>
      </c>
    </row>
    <row r="191" spans="3:39" x14ac:dyDescent="0.15">
      <c r="C191">
        <v>8292</v>
      </c>
      <c r="D191">
        <v>1</v>
      </c>
      <c r="K191" t="s">
        <v>88</v>
      </c>
      <c r="L191" t="s">
        <v>2120</v>
      </c>
      <c r="AD191" t="s">
        <v>2298</v>
      </c>
      <c r="AE191">
        <v>11</v>
      </c>
      <c r="AF191" t="s">
        <v>2123</v>
      </c>
      <c r="AG191" t="s">
        <v>2130</v>
      </c>
      <c r="AH191">
        <v>255</v>
      </c>
      <c r="AM191" t="str">
        <f t="shared" si="2"/>
        <v>{dwID=8292,nLevel=1,szNote="盾壁",col={179,238,58,},[1]={},[2]={},aCataclysmBuff={{szReminder="壁 技能盾壁加强版化解",nPriority=11,col="#B3EE3AFF",colScreenHead="#B3EE3A",nColAlpha=255,},},},</v>
      </c>
    </row>
    <row r="192" spans="3:39" x14ac:dyDescent="0.15">
      <c r="C192">
        <v>17564</v>
      </c>
      <c r="D192">
        <v>1</v>
      </c>
      <c r="K192" t="s">
        <v>88</v>
      </c>
      <c r="L192" t="s">
        <v>2120</v>
      </c>
      <c r="AD192" t="s">
        <v>2299</v>
      </c>
      <c r="AE192">
        <v>11</v>
      </c>
      <c r="AF192" t="s">
        <v>2123</v>
      </c>
      <c r="AG192" t="s">
        <v>2130</v>
      </c>
      <c r="AH192">
        <v>255</v>
      </c>
      <c r="AM192" t="str">
        <f t="shared" si="2"/>
        <v>{dwID=17564,nLevel=1,szNote="盾壁",col={179,238,58,},[1]={},[2]={},aCataclysmBuff={{szReminder="壁 盾壁双倍血量盾",nPriority=11,col="#B3EE3AFF",colScreenHead="#B3EE3A",nColAlpha=255,},},},</v>
      </c>
    </row>
    <row r="193" spans="3:39" x14ac:dyDescent="0.15">
      <c r="C193">
        <v>19236</v>
      </c>
      <c r="D193">
        <v>1</v>
      </c>
      <c r="K193" t="s">
        <v>88</v>
      </c>
      <c r="L193" t="s">
        <v>2120</v>
      </c>
      <c r="AD193" t="s">
        <v>2300</v>
      </c>
      <c r="AE193">
        <v>11</v>
      </c>
      <c r="AF193" t="s">
        <v>2123</v>
      </c>
      <c r="AG193" t="s">
        <v>2130</v>
      </c>
      <c r="AH193">
        <v>255</v>
      </c>
      <c r="AM193" t="str">
        <f t="shared" si="2"/>
        <v>{dwID=19236,nLevel=1,szNote="盾壁",col={179,238,58,},[1]={},[2]={},aCataclysmBuff={{szReminder="壁 盾壁新肃列盾壁效果",nPriority=11,col="#B3EE3AFF",colScreenHead="#B3EE3A",nColAlpha=255,},},},</v>
      </c>
    </row>
    <row r="194" spans="3:39" x14ac:dyDescent="0.15">
      <c r="C194">
        <v>8247</v>
      </c>
      <c r="D194">
        <v>1</v>
      </c>
      <c r="K194" t="s">
        <v>89</v>
      </c>
      <c r="L194" t="s">
        <v>2120</v>
      </c>
      <c r="AD194" t="s">
        <v>2301</v>
      </c>
      <c r="AE194">
        <v>11</v>
      </c>
      <c r="AF194" t="s">
        <v>2123</v>
      </c>
      <c r="AG194" t="s">
        <v>2130</v>
      </c>
      <c r="AH194">
        <v>255</v>
      </c>
      <c r="AM194" t="str">
        <f t="shared" ref="AM194:AM257" si="3">IF(B194&lt;&gt;"",IF(IFERROR(VALUE(C193),0)&lt;=0,"["&amp;B194&amp;"]={","},["&amp;B194&amp;"]={"),IF(C194&gt;0,"{dwID="&amp;C194&amp;","&amp;"nLevel="&amp;D194&amp;","&amp;IF(E194&gt;0,"nCount="&amp;E194&amp;",","")&amp;IF(F194&gt;0,"nIcon="&amp;F194&amp;",","")&amp;IF(G194&lt;&gt;"","szName="""&amp;G194&amp;""",","")&amp;IF(H194&gt;0,"bCheckLevel=true,","")&amp;IF(I194&gt;0,"nScrutinyType="&amp;I194&amp;",","")&amp;IF(J194&lt;&gt;"","tKungFu={"&amp;J194&amp;"},","")&amp;IF(K194&lt;&gt;"","szNote="""&amp;K194&amp;""",","")&amp;IF(L194&lt;&gt;"","col={"&amp;L194&amp;"},","")&amp;"[1]={"&amp;IF(M194&lt;&gt;"","tMark={"&amp;M194&amp;"},","")&amp;IF(N194&lt;&gt;"","szVoice="""&amp;N194&amp;""",","")&amp;IF(O194&gt;0,"bCheckLevel=true,","")&amp;IF(P194&gt;0,"bWhisperChannel=true,","")&amp;IF(Q194&gt;0,"bCenterAlarm=true,","")&amp;IF(R194&gt;0,"bScreenHead=true,","")&amp;IF(S194&gt;0,"bPartyBuffList=true,","")&amp;IF(T194&gt;0,"bBuffList=true,","")&amp;IF(U194&gt;0,"bTeamPanel=true,","")&amp;IF(V194&gt;0,"bOnlySelfSrc=true,","")&amp;"},"&amp;"[2]={"&amp;IF(W194&gt;0,"bCheckLevel=true,","")&amp;IF(X194&gt;0,"bWhisperChannel=true,","")&amp;IF(Y194&gt;0,"bCenterAlarm=true,","")&amp;"},"&amp;IF(OR(Z194&gt;0,AD194&lt;&gt;"",AE194&gt;0,AF194&lt;&gt;"",AG194&lt;&gt;"",AH194&gt;0,AI194&gt;0,AJ194&gt;0,AK194&gt;0),"aCataclysmBuff={{"&amp;IF(Z194&gt;0,"nStackNum="&amp;Z194&amp;",","")&amp;IF(AA194&lt;&gt;"","szStackOp="""&amp;AA194&amp;""",","")&amp;IF(AB194&gt;0,"bOnlyMine=true,","")&amp;IF(AC194&gt;0,"bOnlyMe=true,","")&amp;IF(AD194&lt;&gt;"","szReminder="""&amp;AD194&amp;""",","")&amp;IF(AE194&gt;0,"nPriority="&amp;AE194&amp;",","")&amp;IF(AF194&lt;&gt;"","col="""&amp;AF194&amp;""",","")&amp;IF(AG194&lt;&gt;"","colScreenHead="""&amp;AG194&amp;""",","")&amp;IF(AH194&gt;0,"nColAlpha="&amp;AH194&amp;",","")&amp;IF(AI194&gt;0,"bAttention=true,","")&amp;IF(AJ194&gt;0,"bCaution=true,","")&amp;IF(AK194&gt;0,"bScreenHead=true,","")&amp;"},"&amp;AL194&amp;"},","")&amp;IF(AN194&lt;&gt;"","tCountdown={"&amp;_xlfn.TEXTJOIN("",TRUE,AN194:ZY194)&amp;"},","")&amp;"},",IF(C193&gt;0,"},","")&amp;IF(AND(B194="",C194="",OR(B193&lt;&gt;"",C193&lt;&gt;"")),"},}","")))</f>
        <v>{dwID=8247,nLevel=1,szNote="无惧",col={179,238,58,},[1]={},[2]={},aCataclysmBuff={{szReminder="免 免疫一切控制效果（被拉除外）",nPriority=11,col="#B3EE3AFF",colScreenHead="#B3EE3A",nColAlpha=255,},},},</v>
      </c>
    </row>
    <row r="195" spans="3:39" x14ac:dyDescent="0.15">
      <c r="C195">
        <v>10173</v>
      </c>
      <c r="D195">
        <v>1</v>
      </c>
      <c r="K195" t="s">
        <v>17</v>
      </c>
      <c r="L195" t="s">
        <v>2133</v>
      </c>
      <c r="AD195" t="s">
        <v>2302</v>
      </c>
      <c r="AE195">
        <v>1</v>
      </c>
      <c r="AF195" t="s">
        <v>2135</v>
      </c>
      <c r="AG195" t="s">
        <v>2136</v>
      </c>
      <c r="AH195">
        <v>255</v>
      </c>
      <c r="AM195" t="str">
        <f t="shared" si="3"/>
        <v>{dwID=10173,nLevel=1,szNote="平沙落雁",col={165,96,232,},[1]={},[2]={},aCataclysmBuff={{szReminder="平 控制敌对玩家目标",nPriority=1,col="#FF0055FF",colScreenHead="#A560E8",nColAlpha=255,},},},</v>
      </c>
    </row>
    <row r="196" spans="3:39" x14ac:dyDescent="0.15">
      <c r="C196">
        <v>9284</v>
      </c>
      <c r="D196">
        <v>1</v>
      </c>
      <c r="K196" t="s">
        <v>90</v>
      </c>
      <c r="L196" t="s">
        <v>2120</v>
      </c>
      <c r="AD196" t="s">
        <v>2303</v>
      </c>
      <c r="AE196">
        <v>11</v>
      </c>
      <c r="AF196" t="s">
        <v>2123</v>
      </c>
      <c r="AG196" t="s">
        <v>2130</v>
      </c>
      <c r="AH196">
        <v>255</v>
      </c>
      <c r="AM196" t="str">
        <f t="shared" si="3"/>
        <v>{dwID=9284,nLevel=1,szNote="孤影化双",col={179,238,58,},[1]={},[2]={},aCataclysmBuff={{szReminder="孤 技能孤影化双减伤",nPriority=11,col="#B3EE3AFF",colScreenHead="#B3EE3A",nColAlpha=255,},},},</v>
      </c>
    </row>
    <row r="197" spans="3:39" x14ac:dyDescent="0.15">
      <c r="C197">
        <v>9693</v>
      </c>
      <c r="D197">
        <v>1</v>
      </c>
      <c r="K197" t="s">
        <v>91</v>
      </c>
      <c r="L197" t="s">
        <v>2120</v>
      </c>
      <c r="AD197" t="s">
        <v>2304</v>
      </c>
      <c r="AE197">
        <v>11</v>
      </c>
      <c r="AF197" t="s">
        <v>2123</v>
      </c>
      <c r="AG197" t="s">
        <v>2130</v>
      </c>
      <c r="AH197">
        <v>255</v>
      </c>
      <c r="AM197" t="str">
        <f t="shared" si="3"/>
        <v>{dwID=9693,nLevel=1,szNote="清绝影歌",col={179,238,58,},[1]={},[2]={},aCataclysmBuff={{szReminder="本 莫问奇穴浮影本体切剑减伤",nPriority=11,col="#B3EE3AFF",colScreenHead="#B3EE3A",nColAlpha=255,},},},</v>
      </c>
    </row>
    <row r="198" spans="3:39" x14ac:dyDescent="0.15">
      <c r="C198">
        <v>9342</v>
      </c>
      <c r="D198">
        <v>1</v>
      </c>
      <c r="K198" t="s">
        <v>92</v>
      </c>
      <c r="L198" t="s">
        <v>2305</v>
      </c>
      <c r="AD198" t="s">
        <v>2306</v>
      </c>
      <c r="AE198">
        <v>11</v>
      </c>
      <c r="AF198" t="s">
        <v>2123</v>
      </c>
      <c r="AG198" t="s">
        <v>2307</v>
      </c>
      <c r="AH198">
        <v>255</v>
      </c>
      <c r="AM198" t="str">
        <f t="shared" si="3"/>
        <v>{dwID=9342,nLevel=1,szNote="石间意",col={255,255,255,},[1]={},[2]={},aCataclysmBuff={{szReminder="石 奶歌奇穴石间意免控免封",nPriority=11,col="#B3EE3AFF",colScreenHead="#FFFFFF",nColAlpha=255,},},},</v>
      </c>
    </row>
    <row r="199" spans="3:39" x14ac:dyDescent="0.15">
      <c r="C199">
        <v>9266</v>
      </c>
      <c r="D199">
        <v>1</v>
      </c>
      <c r="K199" t="s">
        <v>420</v>
      </c>
      <c r="L199" t="s">
        <v>2120</v>
      </c>
      <c r="AD199" t="s">
        <v>2308</v>
      </c>
      <c r="AE199">
        <v>11</v>
      </c>
      <c r="AF199" t="s">
        <v>2123</v>
      </c>
      <c r="AG199" t="s">
        <v>2130</v>
      </c>
      <c r="AH199">
        <v>255</v>
      </c>
      <c r="AM199" t="str">
        <f t="shared" si="3"/>
        <v>{dwID=9266,nLevel=1,szNote="云生结海",col={179,238,58,},[1]={},[2]={},aCataclysmBuff={{szReminder="摊 技能云深平摊",nPriority=11,col="#B3EE3AFF",colScreenHead="#B3EE3A",nColAlpha=255,},},},</v>
      </c>
    </row>
    <row r="200" spans="3:39" x14ac:dyDescent="0.15">
      <c r="C200">
        <v>11151</v>
      </c>
      <c r="D200">
        <v>1</v>
      </c>
      <c r="K200" t="s">
        <v>21</v>
      </c>
      <c r="L200" t="s">
        <v>2115</v>
      </c>
      <c r="AD200" t="s">
        <v>2309</v>
      </c>
      <c r="AE200">
        <v>1</v>
      </c>
      <c r="AF200" t="s">
        <v>2117</v>
      </c>
      <c r="AG200" t="s">
        <v>2132</v>
      </c>
      <c r="AH200">
        <v>255</v>
      </c>
      <c r="AM200" t="str">
        <f t="shared" si="3"/>
        <v>{dwID=11151,nLevel=1,szNote="散流霞",col={255,204,0,},[1]={},[2]={},aCataclysmBuff={{szReminder="散 无法选中移速提高20%",nPriority=1,col="#FFCC00FF",colScreenHead="#FFCC00",nColAlpha=255,},},},</v>
      </c>
    </row>
    <row r="201" spans="3:39" x14ac:dyDescent="0.15">
      <c r="C201">
        <v>13778</v>
      </c>
      <c r="D201">
        <v>1</v>
      </c>
      <c r="K201" t="s">
        <v>93</v>
      </c>
      <c r="L201" t="s">
        <v>2115</v>
      </c>
      <c r="AD201" t="s">
        <v>2310</v>
      </c>
      <c r="AE201">
        <v>2</v>
      </c>
      <c r="AF201" t="s">
        <v>2117</v>
      </c>
      <c r="AG201" t="s">
        <v>2132</v>
      </c>
      <c r="AH201">
        <v>255</v>
      </c>
      <c r="AM201" t="str">
        <f t="shared" si="3"/>
        <v>{dwID=13778,nLevel=1,szNote="逸尘步虚",col={255,204,0,},[1]={},[2]={},aCataclysmBuff={{szReminder="逸 技能逸尘步虚无敌",nPriority=2,col="#FFCC00FF",colScreenHead="#FFCC00",nColAlpha=255,},},},</v>
      </c>
    </row>
    <row r="202" spans="3:39" x14ac:dyDescent="0.15">
      <c r="C202">
        <v>13735</v>
      </c>
      <c r="D202">
        <v>1</v>
      </c>
      <c r="K202" t="s">
        <v>94</v>
      </c>
      <c r="L202" t="s">
        <v>2120</v>
      </c>
      <c r="AD202" t="s">
        <v>2311</v>
      </c>
      <c r="AE202">
        <v>11</v>
      </c>
      <c r="AF202" t="s">
        <v>2123</v>
      </c>
      <c r="AG202" t="s">
        <v>2130</v>
      </c>
      <c r="AH202">
        <v>255</v>
      </c>
      <c r="AM202" t="str">
        <f t="shared" si="3"/>
        <v>{dwID=13735,nLevel=1,szNote="浮游天地",col={179,238,58,},[1]={},[2]={},aCataclysmBuff={{szReminder="浮 浮游天地免控",nPriority=11,col="#B3EE3AFF",colScreenHead="#B3EE3A",nColAlpha=255,},},},</v>
      </c>
    </row>
    <row r="203" spans="3:39" x14ac:dyDescent="0.15">
      <c r="C203">
        <v>15717</v>
      </c>
      <c r="D203">
        <v>1</v>
      </c>
      <c r="K203" t="s">
        <v>95</v>
      </c>
      <c r="L203" t="s">
        <v>2115</v>
      </c>
      <c r="AD203" t="s">
        <v>2312</v>
      </c>
      <c r="AE203">
        <v>2</v>
      </c>
      <c r="AF203" t="s">
        <v>2117</v>
      </c>
      <c r="AG203" t="s">
        <v>2132</v>
      </c>
      <c r="AH203">
        <v>255</v>
      </c>
      <c r="AM203" t="str">
        <f t="shared" si="3"/>
        <v>{dwID=15717,nLevel=1,szNote="十方玄机",col={255,204,0,},[1]={},[2]={},aCataclysmBuff={{szReminder="十 技能十方无敌",nPriority=2,col="#FFCC00FF",colScreenHead="#FFCC00",nColAlpha=255,},},},</v>
      </c>
    </row>
    <row r="204" spans="3:39" x14ac:dyDescent="0.15">
      <c r="C204">
        <v>15826</v>
      </c>
      <c r="D204">
        <v>1</v>
      </c>
      <c r="K204" t="s">
        <v>96</v>
      </c>
      <c r="L204" t="s">
        <v>2120</v>
      </c>
      <c r="AD204" t="s">
        <v>2313</v>
      </c>
      <c r="AE204">
        <v>11</v>
      </c>
      <c r="AF204" t="s">
        <v>2123</v>
      </c>
      <c r="AG204" t="s">
        <v>2130</v>
      </c>
      <c r="AH204">
        <v>255</v>
      </c>
      <c r="AM204" t="str">
        <f t="shared" si="3"/>
        <v>{dwID=15826,nLevel=1,szNote="日月吴钩",col={179,238,58,},[1]={},[2]={},aCataclysmBuff={{szReminder="闪 技能日月吴钩闪避",nPriority=11,col="#B3EE3AFF",colScreenHead="#B3EE3A",nColAlpha=255,},},},</v>
      </c>
    </row>
    <row r="205" spans="3:39" x14ac:dyDescent="0.15">
      <c r="C205">
        <v>15621</v>
      </c>
      <c r="D205">
        <v>4</v>
      </c>
      <c r="H205">
        <v>1</v>
      </c>
      <c r="K205" t="s">
        <v>97</v>
      </c>
      <c r="L205" t="s">
        <v>2120</v>
      </c>
      <c r="AD205" t="s">
        <v>2314</v>
      </c>
      <c r="AE205">
        <v>11</v>
      </c>
      <c r="AF205" t="s">
        <v>2123</v>
      </c>
      <c r="AG205" t="s">
        <v>2130</v>
      </c>
      <c r="AH205">
        <v>255</v>
      </c>
      <c r="AM205" t="str">
        <f t="shared" si="3"/>
        <v>{dwID=15621,nLevel=4,bCheckLevel=true,szNote="崔嵬鬼步",col={179,238,58,},[1]={},[2]={},aCataclysmBuff={{szReminder="鬼 奇穴闻鹤降被命中",nPriority=11,col="#B3EE3AFF",colScreenHead="#B3EE3A",nColAlpha=255,},},},</v>
      </c>
    </row>
    <row r="206" spans="3:39" x14ac:dyDescent="0.15">
      <c r="C206">
        <v>18049</v>
      </c>
      <c r="D206">
        <v>1</v>
      </c>
      <c r="K206" t="s">
        <v>98</v>
      </c>
      <c r="L206" t="s">
        <v>2115</v>
      </c>
      <c r="AD206" t="s">
        <v>2315</v>
      </c>
      <c r="AE206">
        <v>2</v>
      </c>
      <c r="AF206" t="s">
        <v>2117</v>
      </c>
      <c r="AG206" t="s">
        <v>2132</v>
      </c>
      <c r="AH206">
        <v>255</v>
      </c>
      <c r="AM206" t="str">
        <f t="shared" si="3"/>
        <v>{dwID=18049,nLevel=1,szNote="巨门北落",col={255,204,0,},[1]={},[2]={},aCataclysmBuff={{szReminder="巨 技能巨门无敌",nPriority=2,col="#FFCC00FF",colScreenHead="#FFCC00",nColAlpha=255,},},},</v>
      </c>
    </row>
    <row r="207" spans="3:39" x14ac:dyDescent="0.15">
      <c r="C207">
        <v>17596</v>
      </c>
      <c r="D207">
        <v>1</v>
      </c>
      <c r="K207" t="s">
        <v>99</v>
      </c>
      <c r="L207" t="s">
        <v>2115</v>
      </c>
      <c r="AB207">
        <v>1</v>
      </c>
      <c r="AD207" t="s">
        <v>2316</v>
      </c>
      <c r="AE207">
        <v>2</v>
      </c>
      <c r="AF207" t="s">
        <v>2117</v>
      </c>
      <c r="AG207" t="s">
        <v>2132</v>
      </c>
      <c r="AH207">
        <v>255</v>
      </c>
      <c r="AM207" t="str">
        <f t="shared" si="3"/>
        <v>{dwID=17596,nLevel=1,szNote="祝由·水坎",col={255,204,0,},[1]={},[2]={},aCataclysmBuff={{bOnlyMine=true,szReminder="水 奇穴神占水卦无敌",nPriority=2,col="#FFCC00FF",colScreenHead="#FFCC00",nColAlpha=255,},},},</v>
      </c>
    </row>
    <row r="208" spans="3:39" x14ac:dyDescent="0.15">
      <c r="C208">
        <v>21276</v>
      </c>
      <c r="D208">
        <v>1</v>
      </c>
      <c r="K208" t="s">
        <v>100</v>
      </c>
      <c r="L208" t="s">
        <v>2115</v>
      </c>
      <c r="AD208" t="s">
        <v>2317</v>
      </c>
      <c r="AE208">
        <v>2</v>
      </c>
      <c r="AF208" t="s">
        <v>2117</v>
      </c>
      <c r="AG208" t="s">
        <v>2132</v>
      </c>
      <c r="AH208">
        <v>255</v>
      </c>
      <c r="AM208" t="str">
        <f t="shared" si="3"/>
        <v>{dwID=21276,nLevel=1,szNote="逐云寒蕊",col={255,204,0,},[1]={},[2]={},aCataclysmBuff={{szReminder="逐 技能逐云寒蕊无敌",nPriority=2,col="#FFCC00FF",colScreenHead="#FFCC00",nColAlpha=255,},},},</v>
      </c>
    </row>
    <row r="209" spans="1:41" x14ac:dyDescent="0.15">
      <c r="C209">
        <v>20874</v>
      </c>
      <c r="D209">
        <v>1</v>
      </c>
      <c r="K209" t="s">
        <v>101</v>
      </c>
      <c r="L209" t="s">
        <v>2115</v>
      </c>
      <c r="AD209" t="s">
        <v>2318</v>
      </c>
      <c r="AE209">
        <v>2</v>
      </c>
      <c r="AF209" t="s">
        <v>2117</v>
      </c>
      <c r="AG209" t="s">
        <v>2132</v>
      </c>
      <c r="AH209">
        <v>255</v>
      </c>
      <c r="AM209" t="str">
        <f t="shared" si="3"/>
        <v>{dwID=20874,nLevel=1,szNote="浅碧",col={255,204,0,},[1]={},[2]={},aCataclysmBuff={{szReminder="碧 林素奇穴浅碧免死",nPriority=2,col="#FFCC00FF",colScreenHead="#FFCC00",nColAlpha=255,},},},</v>
      </c>
    </row>
    <row r="210" spans="1:41" x14ac:dyDescent="0.15">
      <c r="C210">
        <v>20199</v>
      </c>
      <c r="D210">
        <v>1</v>
      </c>
      <c r="K210" t="s">
        <v>102</v>
      </c>
      <c r="L210" t="s">
        <v>2120</v>
      </c>
      <c r="AD210" t="s">
        <v>2319</v>
      </c>
      <c r="AE210">
        <v>11</v>
      </c>
      <c r="AF210" t="s">
        <v>2123</v>
      </c>
      <c r="AG210" t="s">
        <v>2130</v>
      </c>
      <c r="AH210">
        <v>255</v>
      </c>
      <c r="AM210" t="str">
        <f t="shared" si="3"/>
        <v>{dwID=20199,nLevel=1,szNote="绿野蔓生",col={179,238,58,},[1]={},[2]={},aCataclysmBuff={{szReminder="免 绿野蔓生抗拒",nPriority=11,col="#B3EE3AFF",colScreenHead="#B3EE3A",nColAlpha=255,},},},</v>
      </c>
    </row>
    <row r="211" spans="1:41" x14ac:dyDescent="0.15">
      <c r="C211">
        <v>26951</v>
      </c>
      <c r="D211">
        <v>1</v>
      </c>
      <c r="K211" t="s">
        <v>103</v>
      </c>
      <c r="L211" t="s">
        <v>2120</v>
      </c>
      <c r="AD211" t="s">
        <v>2320</v>
      </c>
      <c r="AE211">
        <v>11</v>
      </c>
      <c r="AF211" t="s">
        <v>2123</v>
      </c>
      <c r="AG211" t="s">
        <v>2130</v>
      </c>
      <c r="AH211">
        <v>255</v>
      </c>
      <c r="AM211" t="str">
        <f t="shared" si="3"/>
        <v>{dwID=26951,nLevel=1,szNote="应天授命",col={179,238,58,},[1]={},[2]={},aCataclysmBuff={{szReminder="减 技能应天授命减伤回血",nPriority=11,col="#B3EE3AFF",colScreenHead="#B3EE3A",nColAlpha=255,},},},</v>
      </c>
    </row>
    <row r="212" spans="1:41" x14ac:dyDescent="0.15">
      <c r="C212">
        <v>27408</v>
      </c>
      <c r="D212">
        <v>1</v>
      </c>
      <c r="K212" t="s">
        <v>104</v>
      </c>
      <c r="L212" t="s">
        <v>2120</v>
      </c>
      <c r="AD212" t="s">
        <v>2321</v>
      </c>
      <c r="AE212">
        <v>11</v>
      </c>
      <c r="AF212" t="s">
        <v>2123</v>
      </c>
      <c r="AG212" t="s">
        <v>2130</v>
      </c>
      <c r="AH212">
        <v>255</v>
      </c>
      <c r="AM212" t="str">
        <f t="shared" si="3"/>
        <v>{dwID=27408,nLevel=1,szNote="护持",col={179,238,58,},[1]={},[2]={},aCataclysmBuff={{szReminder="盾 结魂契约_护盾15%",nPriority=11,col="#B3EE3AFF",colScreenHead="#B3EE3A",nColAlpha=255,},},},</v>
      </c>
    </row>
    <row r="213" spans="1:41" x14ac:dyDescent="0.15">
      <c r="C213">
        <v>26952</v>
      </c>
      <c r="D213">
        <v>1</v>
      </c>
      <c r="K213" t="s">
        <v>105</v>
      </c>
      <c r="L213" t="s">
        <v>2120</v>
      </c>
      <c r="AD213" t="s">
        <v>2322</v>
      </c>
      <c r="AE213">
        <v>11</v>
      </c>
      <c r="AF213" t="s">
        <v>2123</v>
      </c>
      <c r="AG213" t="s">
        <v>2130</v>
      </c>
      <c r="AH213">
        <v>255</v>
      </c>
      <c r="AM213" t="str">
        <f t="shared" si="3"/>
        <v>{dwID=26952,nLevel=1,szNote="游雾乘云",col={179,238,58,},[1]={},[2]={},aCataclysmBuff={{szReminder="乘 免疫所有控制效果",nPriority=11,col="#B3EE3AFF",colScreenHead="#B3EE3A",nColAlpha=255,},},},</v>
      </c>
    </row>
    <row r="214" spans="1:41" x14ac:dyDescent="0.15">
      <c r="C214">
        <v>27544</v>
      </c>
      <c r="D214">
        <v>1</v>
      </c>
      <c r="K214" t="s">
        <v>105</v>
      </c>
      <c r="L214" t="s">
        <v>2120</v>
      </c>
      <c r="AD214" t="s">
        <v>2322</v>
      </c>
      <c r="AE214">
        <v>11</v>
      </c>
      <c r="AF214" t="s">
        <v>2123</v>
      </c>
      <c r="AG214" t="s">
        <v>2130</v>
      </c>
      <c r="AH214">
        <v>255</v>
      </c>
      <c r="AM214" t="str">
        <f t="shared" si="3"/>
        <v>{dwID=27544,nLevel=1,szNote="游雾乘云",col={179,238,58,},[1]={},[2]={},aCataclysmBuff={{szReminder="乘 免疫所有控制效果",nPriority=11,col="#B3EE3AFF",colScreenHead="#B3EE3A",nColAlpha=255,},},},</v>
      </c>
    </row>
    <row r="215" spans="1:41" x14ac:dyDescent="0.15">
      <c r="C215">
        <v>26858</v>
      </c>
      <c r="D215">
        <v>1</v>
      </c>
      <c r="K215" t="s">
        <v>106</v>
      </c>
      <c r="L215" t="s">
        <v>2120</v>
      </c>
      <c r="AD215" t="s">
        <v>2323</v>
      </c>
      <c r="AE215">
        <v>11</v>
      </c>
      <c r="AF215" t="s">
        <v>2123</v>
      </c>
      <c r="AG215" t="s">
        <v>2130</v>
      </c>
      <c r="AH215">
        <v>255</v>
      </c>
      <c r="AM215" t="str">
        <f t="shared" si="3"/>
        <v>{dwID=26858,nLevel=1,szNote="澄神",col={179,238,58,},[1]={},[2]={},aCataclysmBuff={{szReminder="免 免疫控制效果（击退和被拉除外）",nPriority=11,col="#B3EE3AFF",colScreenHead="#B3EE3A",nColAlpha=255,},},},</v>
      </c>
    </row>
    <row r="216" spans="1:41" x14ac:dyDescent="0.15">
      <c r="A216" t="s">
        <v>2324</v>
      </c>
      <c r="B216">
        <v>-2</v>
      </c>
      <c r="AM216" t="str">
        <f t="shared" si="3"/>
        <v>},[-2]={</v>
      </c>
    </row>
    <row r="217" spans="1:41" x14ac:dyDescent="0.15">
      <c r="C217">
        <v>15363</v>
      </c>
      <c r="D217">
        <v>1</v>
      </c>
      <c r="I217">
        <v>1</v>
      </c>
      <c r="L217" t="s">
        <v>2143</v>
      </c>
      <c r="T217">
        <v>1</v>
      </c>
      <c r="AM217" t="str">
        <f t="shared" si="3"/>
        <v>{dwID=15363,nLevel=1,nScrutinyType=1,col={255,255,0,},[1]={bBuffList=true,},[2]={},tCountdown={{nClass=2,nIcon=1444,nFrame=5,szName="为自身添加等级为1持续时间为15秒的寒泉",nTime=0,key="寒泉",},{nClass=1,nIcon=1444,nFrame=5,szName="寒泉",nTime=15,key="寒泉",},},},</v>
      </c>
      <c r="AN217" t="s">
        <v>2150</v>
      </c>
      <c r="AO217" t="s">
        <v>2151</v>
      </c>
    </row>
    <row r="218" spans="1:41" x14ac:dyDescent="0.15">
      <c r="C218">
        <v>4805</v>
      </c>
      <c r="D218">
        <v>1</v>
      </c>
      <c r="I218">
        <v>1</v>
      </c>
      <c r="L218" t="s">
        <v>2143</v>
      </c>
      <c r="AM218" t="str">
        <f t="shared" si="3"/>
        <v>{dwID=4805,nLevel=1,nScrutinyType=1,col={255,255,0,},[1]={},[2]={},tCountdown={{nClass=1,nIcon=4005,nFrame=5,szName="套马杆",nTime=-1,key="套马杆",},{nClass=2,nIcon=4005,nFrame=3,szName="套马杆",nTime=-1,key="套马杆",},},},</v>
      </c>
      <c r="AN218" t="s">
        <v>2193</v>
      </c>
      <c r="AO218" t="s">
        <v>2194</v>
      </c>
    </row>
    <row r="219" spans="1:41" x14ac:dyDescent="0.15">
      <c r="C219">
        <v>17149</v>
      </c>
      <c r="D219">
        <v>1</v>
      </c>
      <c r="F219">
        <v>1465</v>
      </c>
      <c r="G219" t="s">
        <v>2325</v>
      </c>
      <c r="I219">
        <v>1</v>
      </c>
      <c r="K219" t="s">
        <v>7</v>
      </c>
      <c r="L219" t="s">
        <v>2326</v>
      </c>
      <c r="T219">
        <v>1</v>
      </c>
      <c r="AM219" t="str">
        <f t="shared" si="3"/>
        <v>{dwID=17149,nLevel=1,nIcon=1465,szName="　",nScrutinyType=1,szNote="家园饱食BUFF",col={0,0,0,},[1]={bBuffList=true,},[2]={},},</v>
      </c>
    </row>
    <row r="220" spans="1:41" x14ac:dyDescent="0.15">
      <c r="A220" t="s">
        <v>2327</v>
      </c>
      <c r="B220">
        <v>-1</v>
      </c>
      <c r="AM220" t="str">
        <f t="shared" si="3"/>
        <v>},[-1]={</v>
      </c>
    </row>
    <row r="221" spans="1:41" x14ac:dyDescent="0.15">
      <c r="C221">
        <v>3158</v>
      </c>
      <c r="D221">
        <v>1</v>
      </c>
      <c r="F221">
        <v>3319</v>
      </c>
      <c r="G221" t="s">
        <v>2328</v>
      </c>
      <c r="I221">
        <v>1</v>
      </c>
      <c r="K221" t="s">
        <v>107</v>
      </c>
      <c r="L221" t="s">
        <v>2143</v>
      </c>
      <c r="T221">
        <v>1</v>
      </c>
      <c r="AM221" t="str">
        <f t="shared" si="3"/>
        <v>{dwID=3158,nLevel=1,nIcon=3319,szName="起飞",nScrutinyType=1,szNote="白羽焰翼",col={255,255,0,},[1]={bBuffList=true,},[2]={},},</v>
      </c>
    </row>
    <row r="222" spans="1:41" x14ac:dyDescent="0.15">
      <c r="C222">
        <v>3159</v>
      </c>
      <c r="D222">
        <v>1</v>
      </c>
      <c r="F222">
        <v>7682</v>
      </c>
      <c r="G222" t="s">
        <v>2329</v>
      </c>
      <c r="I222">
        <v>1</v>
      </c>
      <c r="K222" t="s">
        <v>107</v>
      </c>
      <c r="L222" t="s">
        <v>2330</v>
      </c>
      <c r="R222">
        <v>1</v>
      </c>
      <c r="T222">
        <v>1</v>
      </c>
      <c r="U222">
        <v>1</v>
      </c>
      <c r="AD222" t="s">
        <v>108</v>
      </c>
      <c r="AF222" t="s">
        <v>2331</v>
      </c>
      <c r="AH222">
        <v>255</v>
      </c>
      <c r="AM222" t="str">
        <f t="shared" si="3"/>
        <v>{dwID=3159,nLevel=1,nIcon=7682,szName="滑翔",nScrutinyType=1,szNote="白羽焰翼",col={31,255,255,},[1]={bScreenHead=true,bBuffList=true,bTeamPanel=true,},[2]={},aCataclysmBuff={{szReminder="飞",col="#1FFFFFFF",nColAlpha=255,},},tCountdown={{nClass=1,nIcon=7682,nFrame=0,szName="滑翔效果·Ctrl+右键气劲可卸除",nTime=60,key="白羽焰翼·滑翔",},{nClass=2,nIcon=7682,nFrame=5,szName="",nTime=0,key="白羽焰翼·滑翔",},},},</v>
      </c>
      <c r="AN222" t="s">
        <v>2332</v>
      </c>
      <c r="AO222" t="s">
        <v>2333</v>
      </c>
    </row>
    <row r="223" spans="1:41" x14ac:dyDescent="0.15">
      <c r="C223">
        <v>3160</v>
      </c>
      <c r="D223">
        <v>1</v>
      </c>
      <c r="I223">
        <v>1</v>
      </c>
      <c r="K223" t="s">
        <v>107</v>
      </c>
      <c r="L223" t="s">
        <v>2143</v>
      </c>
      <c r="T223">
        <v>1</v>
      </c>
      <c r="AM223" t="str">
        <f t="shared" si="3"/>
        <v>{dwID=3160,nLevel=1,nScrutinyType=1,szNote="白羽焰翼",col={255,255,0,},[1]={bBuffList=true,},[2]={},},</v>
      </c>
    </row>
    <row r="224" spans="1:41" x14ac:dyDescent="0.15">
      <c r="C224">
        <v>3166</v>
      </c>
      <c r="D224">
        <v>1</v>
      </c>
      <c r="F224">
        <v>2593</v>
      </c>
      <c r="G224" t="s">
        <v>109</v>
      </c>
      <c r="I224">
        <v>1</v>
      </c>
      <c r="K224" t="s">
        <v>107</v>
      </c>
      <c r="L224" t="s">
        <v>2143</v>
      </c>
      <c r="AM224" t="str">
        <f t="shared" si="3"/>
        <v>{dwID=3166,nLevel=1,nIcon=2593,szName="准备",nScrutinyType=1,szNote="白羽焰翼",col={255,255,0,},[1]={},[2]={},},</v>
      </c>
    </row>
    <row r="225" spans="3:41" x14ac:dyDescent="0.15">
      <c r="C225">
        <v>3162</v>
      </c>
      <c r="D225">
        <v>1</v>
      </c>
      <c r="I225">
        <v>1</v>
      </c>
      <c r="K225" t="s">
        <v>107</v>
      </c>
      <c r="T225">
        <v>1</v>
      </c>
      <c r="AM225" t="str">
        <f t="shared" si="3"/>
        <v>{dwID=3162,nLevel=1,nScrutinyType=1,szNote="白羽焰翼",[1]={bBuffList=true,},[2]={},},</v>
      </c>
    </row>
    <row r="226" spans="3:41" x14ac:dyDescent="0.15">
      <c r="C226">
        <v>20938</v>
      </c>
      <c r="D226">
        <v>1</v>
      </c>
      <c r="I226">
        <v>1</v>
      </c>
      <c r="J226" t="s">
        <v>2174</v>
      </c>
      <c r="L226" t="s">
        <v>2152</v>
      </c>
      <c r="T226">
        <v>1</v>
      </c>
      <c r="AM226" t="str">
        <f t="shared" si="3"/>
        <v>{dwID=20938,nLevel=1,nScrutinyType=1,tKungFu={["SKILL#10080"]=true,},col={0,255,255,},[1]={bBuffList=true,},[2]={},tCountdown={{nClass=2,nIcon=904,nFrame=5,szName="倒计时 {$B20938}",nTime="1,【{$receiver}】·补左旋右转;2,【{$receiver}】·补左旋右转;5,【{$receiver}】·补左旋右转",nRefresh=1,key="KEY·左旋右转",},},},</v>
      </c>
      <c r="AN226" t="s">
        <v>2334</v>
      </c>
    </row>
    <row r="227" spans="3:41" x14ac:dyDescent="0.15">
      <c r="C227">
        <v>18603</v>
      </c>
      <c r="D227">
        <v>1</v>
      </c>
      <c r="I227">
        <v>1</v>
      </c>
      <c r="J227" t="s">
        <v>2149</v>
      </c>
      <c r="L227" t="s">
        <v>2152</v>
      </c>
      <c r="T227">
        <v>1</v>
      </c>
      <c r="AM227" t="str">
        <f t="shared" si="3"/>
        <v>{dwID=18603,nLevel=1,nScrutinyType=1,tKungFu={["SKILL#10021"]=true,["SKILL#10028"]=true,},col={0,255,255,},[1]={bBuffList=true,},[2]={},tCountdown={{nClass=2,nIcon=2038,nFrame=7,szName="乱洒青荷在命中NPC等级≤105/115时：为自身添加等级为1持续时间为8秒的霜聚结露，提高1500点基础混元性内功攻击",nTime=0,key="霜聚结露",},{nClass=1,nIcon=2038,nFrame=7,szName="霜聚结露",nTime=8,key="霜聚结露",},},},</v>
      </c>
      <c r="AN227" t="s">
        <v>2335</v>
      </c>
      <c r="AO227" t="s">
        <v>2336</v>
      </c>
    </row>
    <row r="228" spans="3:41" x14ac:dyDescent="0.15">
      <c r="C228">
        <v>18623</v>
      </c>
      <c r="D228">
        <v>1</v>
      </c>
      <c r="I228">
        <v>1</v>
      </c>
      <c r="J228" t="s">
        <v>2149</v>
      </c>
      <c r="K228" t="s">
        <v>110</v>
      </c>
      <c r="L228" t="s">
        <v>2168</v>
      </c>
      <c r="T228">
        <v>1</v>
      </c>
      <c r="AM228" t="str">
        <f t="shared" si="3"/>
        <v>{dwID=18623,nLevel=1,nScrutinyType=1,tKungFu={["SKILL#10021"]=true,["SKILL#10028"]=true,},szNote="霜聚结露·愈",col={0,255,0,},[1]={bBuffList=true,},[2]={},tCountdown={{nClass=2,nIcon=2038,nFrame=7,szName="霜聚结露·愈·提高2000点治疗量",nTime=0,key="霜聚结露·愈",},{nClass=1,nIcon=2038,nFrame=7,szName="霜聚结露·愈",nTime=8,key="霜聚结露·愈",},},},</v>
      </c>
      <c r="AN228" t="s">
        <v>2337</v>
      </c>
      <c r="AO228" t="s">
        <v>2338</v>
      </c>
    </row>
    <row r="229" spans="3:41" x14ac:dyDescent="0.15">
      <c r="C229">
        <v>16495</v>
      </c>
      <c r="D229">
        <v>1</v>
      </c>
      <c r="I229">
        <v>1</v>
      </c>
      <c r="J229" t="s">
        <v>2149</v>
      </c>
      <c r="K229" t="s">
        <v>2339</v>
      </c>
      <c r="L229" t="s">
        <v>2143</v>
      </c>
      <c r="T229">
        <v>1</v>
      </c>
      <c r="AM229" t="str">
        <f t="shared" si="3"/>
        <v>{dwID=16495,nLevel=1,nScrutinyType=1,tKungFu={["SKILL#10021"]=true,["SKILL#10028"]=true,},szNote="冰花爆炸7尺仅有一朵",col={255,255,0,},[1]={bBuffList=true,},[2]={},},</v>
      </c>
    </row>
    <row r="230" spans="3:41" x14ac:dyDescent="0.15">
      <c r="C230">
        <v>16496</v>
      </c>
      <c r="D230">
        <v>1</v>
      </c>
      <c r="I230">
        <v>1</v>
      </c>
      <c r="J230" t="s">
        <v>2149</v>
      </c>
      <c r="L230" t="s">
        <v>2143</v>
      </c>
      <c r="T230">
        <v>1</v>
      </c>
      <c r="AM230" t="str">
        <f t="shared" si="3"/>
        <v>{dwID=16496,nLevel=1,nScrutinyType=1,tKungFu={["SKILL#10021"]=true,["SKILL#10028"]=true,},col={255,255,0,},[1]={bBuffList=true,},[2]={},},</v>
      </c>
    </row>
    <row r="231" spans="3:41" x14ac:dyDescent="0.15">
      <c r="C231">
        <v>15385</v>
      </c>
      <c r="D231">
        <v>5</v>
      </c>
      <c r="I231">
        <v>1</v>
      </c>
      <c r="K231" t="s">
        <v>2340</v>
      </c>
      <c r="L231" t="s">
        <v>2168</v>
      </c>
      <c r="T231">
        <v>1</v>
      </c>
      <c r="AB231">
        <v>1</v>
      </c>
      <c r="AD231" t="s">
        <v>2341</v>
      </c>
      <c r="AE231">
        <v>1</v>
      </c>
      <c r="AF231" t="s">
        <v>2123</v>
      </c>
      <c r="AH231">
        <v>255</v>
      </c>
      <c r="AM231" t="str">
        <f t="shared" si="3"/>
        <v>{dwID=15385,nLevel=5,nScrutinyType=1,szNote="真药苦中叹",col={0,255,0,},[1]={bBuffList=true,},[2]={},aCataclysmBuff={{bOnlyMine=true,szReminder="冬 冬去春来",nPriority=1,col="#B3EE3AFF",nColAlpha=255,},},},</v>
      </c>
    </row>
    <row r="232" spans="3:41" x14ac:dyDescent="0.15">
      <c r="C232">
        <v>15378</v>
      </c>
      <c r="D232">
        <v>1</v>
      </c>
      <c r="I232">
        <v>1</v>
      </c>
      <c r="K232" t="s">
        <v>2342</v>
      </c>
      <c r="L232" t="s">
        <v>2168</v>
      </c>
      <c r="T232">
        <v>1</v>
      </c>
      <c r="AM232" t="str">
        <f t="shared" si="3"/>
        <v>{dwID=15378,nLevel=1,nScrutinyType=1,szNote="春泥触发无花只有寒",col={0,255,0,},[1]={bBuffList=true,},[2]={},},</v>
      </c>
    </row>
    <row r="233" spans="3:41" x14ac:dyDescent="0.15">
      <c r="C233">
        <v>11808</v>
      </c>
      <c r="D233">
        <v>1</v>
      </c>
      <c r="I233">
        <v>1</v>
      </c>
      <c r="K233" t="s">
        <v>2343</v>
      </c>
      <c r="L233" t="s">
        <v>2152</v>
      </c>
      <c r="T233">
        <v>1</v>
      </c>
      <c r="AM233" t="str">
        <f t="shared" si="3"/>
        <v>{dwID=11808,nLevel=1,nScrutinyType=1,szNote="冷月照独帆",col={0,255,255,},[1]={bBuffList=true,},[2]={},},</v>
      </c>
    </row>
    <row r="234" spans="3:41" x14ac:dyDescent="0.15">
      <c r="C234">
        <v>16259</v>
      </c>
      <c r="D234">
        <v>1</v>
      </c>
      <c r="I234">
        <v>1</v>
      </c>
      <c r="J234" t="s">
        <v>2344</v>
      </c>
      <c r="L234" t="s">
        <v>2152</v>
      </c>
      <c r="T234">
        <v>1</v>
      </c>
      <c r="AM234" t="str">
        <f t="shared" si="3"/>
        <v>{dwID=16259,nLevel=1,nScrutinyType=1,tKungFu={["SKILL#10175"]=true,["SKILL#10176"]=true,},col={0,255,255,},[1]={bBuffList=true,},[2]={},},</v>
      </c>
    </row>
    <row r="235" spans="3:41" x14ac:dyDescent="0.15">
      <c r="C235">
        <v>15363</v>
      </c>
      <c r="D235">
        <v>1</v>
      </c>
      <c r="I235">
        <v>1</v>
      </c>
      <c r="J235" t="s">
        <v>2149</v>
      </c>
      <c r="L235" t="s">
        <v>2143</v>
      </c>
      <c r="T235">
        <v>1</v>
      </c>
      <c r="AM235" t="str">
        <f t="shared" si="3"/>
        <v>{dwID=15363,nLevel=1,nScrutinyType=1,tKungFu={["SKILL#10021"]=true,["SKILL#10028"]=true,},col={255,255,0,},[1]={bBuffList=true,},[2]={},tCountdown={{nClass=2,nIcon=1444,nFrame=5,szName="为自身添加等级为1持续时间为15秒的寒泉",nTime=0,key="寒泉",},{nClass=1,nIcon=1444,nFrame=5,szName="寒泉",nTime=15,key="寒泉",},},},</v>
      </c>
      <c r="AN235" t="s">
        <v>2150</v>
      </c>
      <c r="AO235" t="s">
        <v>2151</v>
      </c>
    </row>
    <row r="236" spans="3:41" x14ac:dyDescent="0.15">
      <c r="C236">
        <v>24742</v>
      </c>
      <c r="D236">
        <v>1</v>
      </c>
      <c r="L236" t="s">
        <v>2152</v>
      </c>
      <c r="T236">
        <v>1</v>
      </c>
      <c r="AM236" t="str">
        <f t="shared" si="3"/>
        <v>{dwID=24742,nLevel=1,col={0,255,255,},[1]={bBuffList=true,},[2]={},},</v>
      </c>
    </row>
    <row r="237" spans="3:41" x14ac:dyDescent="0.15">
      <c r="C237">
        <v>10852</v>
      </c>
      <c r="D237">
        <v>1</v>
      </c>
      <c r="L237" t="s">
        <v>2181</v>
      </c>
      <c r="T237">
        <v>1</v>
      </c>
      <c r="U237">
        <v>1</v>
      </c>
      <c r="AD237" t="s">
        <v>2345</v>
      </c>
      <c r="AE237">
        <v>1</v>
      </c>
      <c r="AF237" t="s">
        <v>2205</v>
      </c>
      <c r="AH237">
        <v>255</v>
      </c>
      <c r="AM237" t="str">
        <f t="shared" si="3"/>
        <v>{dwID=10852,nLevel=1,col={255,150,0,},[1]={bBuffList=true,bTeamPanel=true,},[2]={},aCataclysmBuff={{szReminder="隐 无隐无踪",nPriority=1,col="#FF9600FF",nColAlpha=255,},},},</v>
      </c>
    </row>
    <row r="238" spans="3:41" x14ac:dyDescent="0.15">
      <c r="C238">
        <v>961</v>
      </c>
      <c r="D238">
        <v>1</v>
      </c>
      <c r="L238" t="s">
        <v>2346</v>
      </c>
      <c r="T238">
        <v>1</v>
      </c>
      <c r="AM238" t="str">
        <f t="shared" si="3"/>
        <v>{dwID=961,nLevel=1,col={255,150,50,},[1]={bBuffList=true,},[2]={},},</v>
      </c>
    </row>
    <row r="239" spans="3:41" x14ac:dyDescent="0.15">
      <c r="C239">
        <v>12186</v>
      </c>
      <c r="D239">
        <v>1</v>
      </c>
      <c r="L239" t="s">
        <v>2347</v>
      </c>
      <c r="T239">
        <v>1</v>
      </c>
      <c r="AM239" t="str">
        <f t="shared" si="3"/>
        <v>{dwID=12186,nLevel=1,col={250,150,50,},[1]={bBuffList=true,},[2]={},},</v>
      </c>
    </row>
    <row r="240" spans="3:41" x14ac:dyDescent="0.15">
      <c r="C240">
        <v>772</v>
      </c>
      <c r="D240">
        <v>1</v>
      </c>
      <c r="L240" t="s">
        <v>2347</v>
      </c>
      <c r="T240">
        <v>1</v>
      </c>
      <c r="AM240" t="str">
        <f t="shared" si="3"/>
        <v>{dwID=772,nLevel=1,col={250,150,50,},[1]={bBuffList=true,},[2]={},},</v>
      </c>
    </row>
    <row r="241" spans="3:42" x14ac:dyDescent="0.15">
      <c r="C241">
        <v>50786</v>
      </c>
      <c r="D241">
        <v>1</v>
      </c>
      <c r="L241" t="s">
        <v>2346</v>
      </c>
      <c r="T241">
        <v>1</v>
      </c>
      <c r="AM241" t="str">
        <f t="shared" si="3"/>
        <v>{dwID=50786,nLevel=1,col={255,150,50,},[1]={bBuffList=true,},[2]={},},</v>
      </c>
    </row>
    <row r="242" spans="3:42" x14ac:dyDescent="0.15">
      <c r="C242">
        <v>108</v>
      </c>
      <c r="D242">
        <v>1</v>
      </c>
      <c r="L242" t="s">
        <v>2348</v>
      </c>
      <c r="T242">
        <v>1</v>
      </c>
      <c r="AM242" t="str">
        <f t="shared" si="3"/>
        <v>{dwID=108,nLevel=1,col={255,255,50,},[1]={bBuffList=true,},[2]={},},</v>
      </c>
    </row>
    <row r="243" spans="3:42" x14ac:dyDescent="0.15">
      <c r="C243">
        <v>7746</v>
      </c>
      <c r="D243">
        <v>1</v>
      </c>
      <c r="L243" t="s">
        <v>2347</v>
      </c>
      <c r="T243">
        <v>1</v>
      </c>
      <c r="AD243" t="s">
        <v>2349</v>
      </c>
      <c r="AE243">
        <v>1</v>
      </c>
      <c r="AF243" t="s">
        <v>2205</v>
      </c>
      <c r="AH243">
        <v>255</v>
      </c>
      <c r="AM243" t="str">
        <f t="shared" si="3"/>
        <v>{dwID=7746,nLevel=1,col={250,150,50,},[1]={bBuffList=true,},[2]={},aCataclysmBuff={{szReminder="隐 免疫",nPriority=1,col="#FF9600FF",nColAlpha=255,},},},</v>
      </c>
    </row>
    <row r="244" spans="3:42" x14ac:dyDescent="0.15">
      <c r="C244">
        <v>1413</v>
      </c>
      <c r="D244">
        <v>1</v>
      </c>
      <c r="L244" t="s">
        <v>2346</v>
      </c>
      <c r="T244">
        <v>1</v>
      </c>
      <c r="AM244" t="str">
        <f t="shared" si="3"/>
        <v>{dwID=1413,nLevel=1,col={255,150,50,},[1]={bBuffList=true,},[2]={},},</v>
      </c>
    </row>
    <row r="245" spans="3:42" x14ac:dyDescent="0.15">
      <c r="C245">
        <v>25702</v>
      </c>
      <c r="D245">
        <v>1</v>
      </c>
      <c r="T245">
        <v>1</v>
      </c>
      <c r="U245">
        <v>1</v>
      </c>
      <c r="AM245" t="str">
        <f t="shared" si="3"/>
        <v>{dwID=25702,nLevel=1,[1]={bBuffList=true,bTeamPanel=true,},[2]={},},</v>
      </c>
    </row>
    <row r="246" spans="3:42" x14ac:dyDescent="0.15">
      <c r="C246">
        <v>24855</v>
      </c>
      <c r="D246">
        <v>1</v>
      </c>
      <c r="G246" t="s">
        <v>2350</v>
      </c>
      <c r="T246">
        <v>1</v>
      </c>
      <c r="U246">
        <v>1</v>
      </c>
      <c r="AD246" t="s">
        <v>2351</v>
      </c>
      <c r="AE246">
        <v>1</v>
      </c>
      <c r="AH246">
        <v>255</v>
      </c>
      <c r="AM246" t="str">
        <f t="shared" si="3"/>
        <v>{dwID=24855,nLevel=1,szName="跨服",[1]={bBuffList=true,bTeamPanel=true,},[2]={},aCataclysmBuff={{szReminder="跨 跨服排队重置神行",nPriority=1,nColAlpha=255,},},},</v>
      </c>
    </row>
    <row r="247" spans="3:42" x14ac:dyDescent="0.15">
      <c r="C247">
        <v>1061</v>
      </c>
      <c r="D247">
        <v>1</v>
      </c>
      <c r="G247" t="s">
        <v>111</v>
      </c>
      <c r="I247">
        <v>1</v>
      </c>
      <c r="T247">
        <v>1</v>
      </c>
      <c r="AM247" t="str">
        <f t="shared" si="3"/>
        <v>{dwID=1061,nLevel=1,szName="腾云",nScrutinyType=1,[1]={bBuffList=true,},[2]={},},</v>
      </c>
    </row>
    <row r="248" spans="3:42" x14ac:dyDescent="0.15">
      <c r="C248">
        <v>8477</v>
      </c>
      <c r="D248">
        <v>1</v>
      </c>
      <c r="F248">
        <v>6491</v>
      </c>
      <c r="G248" t="s">
        <v>2100</v>
      </c>
      <c r="I248">
        <v>1</v>
      </c>
      <c r="T248">
        <v>1</v>
      </c>
      <c r="AM248" t="str">
        <f t="shared" si="3"/>
        <v>{dwID=8477,nLevel=1,nIcon=6491,szName="劲足",nScrutinyType=1,[1]={bBuffList=true,},[2]={},tCountdown={{nClass=1,nIcon=6678,nFrame=5,szName="骑御·调息",nTime=-1,key="骑御·调息",},{nClass=2,nIcon=6491,nFrame=4,szName="劲足·消失",nTime=2,nRefresh=300,key="骑御·劲足",},},},</v>
      </c>
      <c r="AN248" t="s">
        <v>2352</v>
      </c>
      <c r="AO248" t="s">
        <v>2161</v>
      </c>
    </row>
    <row r="249" spans="3:42" x14ac:dyDescent="0.15">
      <c r="C249">
        <v>8656</v>
      </c>
      <c r="D249">
        <v>1</v>
      </c>
      <c r="T249">
        <v>1</v>
      </c>
      <c r="AM249" t="str">
        <f t="shared" si="3"/>
        <v>{dwID=8656,nLevel=1,[1]={bBuffList=true,},[2]={},},</v>
      </c>
    </row>
    <row r="250" spans="3:42" x14ac:dyDescent="0.15">
      <c r="C250">
        <v>8611</v>
      </c>
      <c r="D250">
        <v>1</v>
      </c>
      <c r="F250">
        <v>6507</v>
      </c>
      <c r="T250">
        <v>1</v>
      </c>
      <c r="AM250" t="str">
        <f t="shared" si="3"/>
        <v>{dwID=8611,nLevel=1,nIcon=6507,[1]={bBuffList=true,},[2]={},},</v>
      </c>
    </row>
    <row r="251" spans="3:42" x14ac:dyDescent="0.15">
      <c r="C251">
        <v>12382</v>
      </c>
      <c r="D251">
        <v>1</v>
      </c>
      <c r="F251">
        <v>13697</v>
      </c>
      <c r="G251" t="s">
        <v>112</v>
      </c>
      <c r="I251">
        <v>1</v>
      </c>
      <c r="J251" t="s">
        <v>2353</v>
      </c>
      <c r="AM251" t="str">
        <f t="shared" si="3"/>
        <v>{dwID=12382,nLevel=1,nIcon=13697,szName="剑舞表现",nScrutinyType=1,tKungFu={["SKILL#10080"]=true,["SKILL#10081"]=true,},[1]={},[2]={},tCountdown={{nClass=2,nIcon=904,nFrame=5,szName="KEY·左旋右转",nTime=0,key="KEY·左旋右转",},{nClass=2,nIcon=904,nFrame=-1,szName="KEY·左旋右转",nTime=0.01,nRefresh=60,key="KEY·左旋右转",},{nClass=2,nIcon=904,nFrame=5,szName="KEY·左旋右转",nTime=-1,nRefresh=60,key="KEY·左旋右转",},},},</v>
      </c>
      <c r="AN251" t="s">
        <v>2354</v>
      </c>
      <c r="AO251" t="s">
        <v>2355</v>
      </c>
      <c r="AP251" t="s">
        <v>2356</v>
      </c>
    </row>
    <row r="252" spans="3:42" x14ac:dyDescent="0.15">
      <c r="C252">
        <v>7560</v>
      </c>
      <c r="D252">
        <v>1</v>
      </c>
      <c r="L252" t="s">
        <v>2115</v>
      </c>
      <c r="R252">
        <v>1</v>
      </c>
      <c r="T252">
        <v>1</v>
      </c>
      <c r="U252">
        <v>1</v>
      </c>
      <c r="AD252" t="s">
        <v>2357</v>
      </c>
      <c r="AE252">
        <v>1</v>
      </c>
      <c r="AF252" t="s">
        <v>2117</v>
      </c>
      <c r="AG252" t="s">
        <v>2132</v>
      </c>
      <c r="AH252">
        <v>255</v>
      </c>
      <c r="AK252">
        <v>1</v>
      </c>
      <c r="AM252" t="str">
        <f t="shared" si="3"/>
        <v>{dwID=7560,nLevel=1,col={255,204,0,},[1]={bScreenHead=true,bBuffList=true,bTeamPanel=true,},[2]={},aCataclysmBuff={{szReminder="驰 御·驰援",nPriority=1,col="#FFCC00FF",colScreenHead="#FFCC00",nColAlpha=255,bScreenHead=true,},},},</v>
      </c>
    </row>
    <row r="253" spans="3:42" x14ac:dyDescent="0.15">
      <c r="C253">
        <v>23741</v>
      </c>
      <c r="D253">
        <v>1</v>
      </c>
      <c r="F253">
        <v>17135</v>
      </c>
      <c r="G253" t="s">
        <v>2358</v>
      </c>
      <c r="I253">
        <v>1</v>
      </c>
      <c r="K253" t="s">
        <v>113</v>
      </c>
      <c r="T253">
        <v>1</v>
      </c>
      <c r="AM253" t="str">
        <f t="shared" si="3"/>
        <v>{dwID=23741,nLevel=1,nIcon=17135,szName="CD",nScrutinyType=1,szNote="通用CD1",[1]={bBuffList=true,},[2]={},},</v>
      </c>
    </row>
    <row r="254" spans="3:42" x14ac:dyDescent="0.15">
      <c r="C254">
        <v>23790</v>
      </c>
      <c r="D254">
        <v>1</v>
      </c>
      <c r="F254">
        <v>17135</v>
      </c>
      <c r="G254" t="s">
        <v>2358</v>
      </c>
      <c r="I254">
        <v>1</v>
      </c>
      <c r="K254" t="s">
        <v>114</v>
      </c>
      <c r="T254">
        <v>1</v>
      </c>
      <c r="AM254" t="str">
        <f t="shared" si="3"/>
        <v>{dwID=23790,nLevel=1,nIcon=17135,szName="CD",nScrutinyType=1,szNote="通用CD2",[1]={bBuffList=true,},[2]={},},</v>
      </c>
    </row>
    <row r="255" spans="3:42" x14ac:dyDescent="0.15">
      <c r="C255">
        <v>7179</v>
      </c>
      <c r="D255">
        <v>1</v>
      </c>
      <c r="F255">
        <v>16428</v>
      </c>
      <c r="G255" t="s">
        <v>2359</v>
      </c>
      <c r="I255">
        <v>1</v>
      </c>
      <c r="K255" t="s">
        <v>115</v>
      </c>
      <c r="T255">
        <v>1</v>
      </c>
      <c r="AM255" t="str">
        <f t="shared" si="3"/>
        <v>{dwID=7179,nLevel=1,nIcon=16428,szName="木桩",nScrutinyType=1,szNote="木桩道具_5分钟倒计时",[1]={bBuffList=true,},[2]={},},</v>
      </c>
    </row>
    <row r="256" spans="3:42" x14ac:dyDescent="0.15">
      <c r="C256">
        <v>15764</v>
      </c>
      <c r="D256">
        <v>1</v>
      </c>
      <c r="F256">
        <v>12053</v>
      </c>
      <c r="G256" t="s">
        <v>2360</v>
      </c>
      <c r="I256">
        <v>1</v>
      </c>
      <c r="K256" t="s">
        <v>2361</v>
      </c>
      <c r="T256">
        <v>1</v>
      </c>
      <c r="AM256" t="str">
        <f t="shared" si="3"/>
        <v>{dwID=15764,nLevel=1,nIcon=12053,szName="走兔株",nScrutinyType=1,szNote="走兔株道具_5分钟倒",[1]={bBuffList=true,},[2]={},},</v>
      </c>
    </row>
    <row r="257" spans="3:40" x14ac:dyDescent="0.15">
      <c r="C257">
        <v>22072</v>
      </c>
      <c r="D257">
        <v>1</v>
      </c>
      <c r="F257">
        <v>16428</v>
      </c>
      <c r="G257" t="s">
        <v>2362</v>
      </c>
      <c r="I257">
        <v>1</v>
      </c>
      <c r="K257" t="s">
        <v>116</v>
      </c>
      <c r="T257">
        <v>1</v>
      </c>
      <c r="AM257" t="str">
        <f t="shared" si="3"/>
        <v>{dwID=22072,nLevel=1,nIcon=16428,szName="鹿武童",nScrutinyType=1,szNote="鹿武童道具_5分钟倒计时",[1]={bBuffList=true,},[2]={},},</v>
      </c>
    </row>
    <row r="258" spans="3:40" x14ac:dyDescent="0.15">
      <c r="C258">
        <v>24122</v>
      </c>
      <c r="D258">
        <v>1</v>
      </c>
      <c r="F258">
        <v>17623</v>
      </c>
      <c r="G258" t="s">
        <v>2363</v>
      </c>
      <c r="I258">
        <v>1</v>
      </c>
      <c r="K258" t="s">
        <v>117</v>
      </c>
      <c r="T258">
        <v>1</v>
      </c>
      <c r="AM258" t="str">
        <f t="shared" ref="AM258:AM321" si="4">IF(B258&lt;&gt;"",IF(IFERROR(VALUE(C257),0)&lt;=0,"["&amp;B258&amp;"]={","},["&amp;B258&amp;"]={"),IF(C258&gt;0,"{dwID="&amp;C258&amp;","&amp;"nLevel="&amp;D258&amp;","&amp;IF(E258&gt;0,"nCount="&amp;E258&amp;",","")&amp;IF(F258&gt;0,"nIcon="&amp;F258&amp;",","")&amp;IF(G258&lt;&gt;"","szName="""&amp;G258&amp;""",","")&amp;IF(H258&gt;0,"bCheckLevel=true,","")&amp;IF(I258&gt;0,"nScrutinyType="&amp;I258&amp;",","")&amp;IF(J258&lt;&gt;"","tKungFu={"&amp;J258&amp;"},","")&amp;IF(K258&lt;&gt;"","szNote="""&amp;K258&amp;""",","")&amp;IF(L258&lt;&gt;"","col={"&amp;L258&amp;"},","")&amp;"[1]={"&amp;IF(M258&lt;&gt;"","tMark={"&amp;M258&amp;"},","")&amp;IF(N258&lt;&gt;"","szVoice="""&amp;N258&amp;""",","")&amp;IF(O258&gt;0,"bCheckLevel=true,","")&amp;IF(P258&gt;0,"bWhisperChannel=true,","")&amp;IF(Q258&gt;0,"bCenterAlarm=true,","")&amp;IF(R258&gt;0,"bScreenHead=true,","")&amp;IF(S258&gt;0,"bPartyBuffList=true,","")&amp;IF(T258&gt;0,"bBuffList=true,","")&amp;IF(U258&gt;0,"bTeamPanel=true,","")&amp;IF(V258&gt;0,"bOnlySelfSrc=true,","")&amp;"},"&amp;"[2]={"&amp;IF(W258&gt;0,"bCheckLevel=true,","")&amp;IF(X258&gt;0,"bWhisperChannel=true,","")&amp;IF(Y258&gt;0,"bCenterAlarm=true,","")&amp;"},"&amp;IF(OR(Z258&gt;0,AD258&lt;&gt;"",AE258&gt;0,AF258&lt;&gt;"",AG258&lt;&gt;"",AH258&gt;0,AI258&gt;0,AJ258&gt;0,AK258&gt;0),"aCataclysmBuff={{"&amp;IF(Z258&gt;0,"nStackNum="&amp;Z258&amp;",","")&amp;IF(AA258&lt;&gt;"","szStackOp="""&amp;AA258&amp;""",","")&amp;IF(AB258&gt;0,"bOnlyMine=true,","")&amp;IF(AC258&gt;0,"bOnlyMe=true,","")&amp;IF(AD258&lt;&gt;"","szReminder="""&amp;AD258&amp;""",","")&amp;IF(AE258&gt;0,"nPriority="&amp;AE258&amp;",","")&amp;IF(AF258&lt;&gt;"","col="""&amp;AF258&amp;""",","")&amp;IF(AG258&lt;&gt;"","colScreenHead="""&amp;AG258&amp;""",","")&amp;IF(AH258&gt;0,"nColAlpha="&amp;AH258&amp;",","")&amp;IF(AI258&gt;0,"bAttention=true,","")&amp;IF(AJ258&gt;0,"bCaution=true,","")&amp;IF(AK258&gt;0,"bScreenHead=true,","")&amp;"},"&amp;AL258&amp;"},","")&amp;IF(AN258&lt;&gt;"","tCountdown={"&amp;_xlfn.TEXTJOIN("",TRUE,AN258:ZY258)&amp;"},","")&amp;"},",IF(C257&gt;0,"},","")&amp;IF(AND(B258="",C258="",OR(B257&lt;&gt;"",C257&lt;&gt;"")),"},}","")))</f>
        <v>{dwID=24122,nLevel=1,nIcon=17623,szName="木狸狸",nScrutinyType=1,szNote="木滚滚道具_5分钟倒计时",[1]={bBuffList=true,},[2]={},},</v>
      </c>
    </row>
    <row r="259" spans="3:40" x14ac:dyDescent="0.15">
      <c r="C259">
        <v>14210</v>
      </c>
      <c r="D259">
        <v>1</v>
      </c>
      <c r="F259">
        <v>7143</v>
      </c>
      <c r="G259" t="s">
        <v>287</v>
      </c>
      <c r="I259">
        <v>1</v>
      </c>
      <c r="K259" t="s">
        <v>2364</v>
      </c>
      <c r="L259" t="s">
        <v>2143</v>
      </c>
      <c r="T259">
        <v>1</v>
      </c>
      <c r="AM259" t="str">
        <f t="shared" si="4"/>
        <v>{dwID=14210,nLevel=1,nIcon=7143,szName="交通",nScrutinyType=1,szNote="更换交通表现标记",col={255,255,0,},[1]={bBuffList=true,},[2]={},},</v>
      </c>
    </row>
    <row r="260" spans="3:40" x14ac:dyDescent="0.15">
      <c r="C260">
        <v>2993</v>
      </c>
      <c r="D260">
        <v>1</v>
      </c>
      <c r="I260">
        <v>1</v>
      </c>
      <c r="AM260" t="str">
        <f t="shared" si="4"/>
        <v>{dwID=2993,nLevel=1,nScrutinyType=1,[1]={},[2]={},tCountdown={{nClass=1,nIcon=2178,nFrame=5,szName="蛋叉叔叔的糖葫芦",nTime=10,nRefresh=1800,key="蛋叉叔叔的糖葫芦",},},},</v>
      </c>
      <c r="AN260" t="s">
        <v>2365</v>
      </c>
    </row>
    <row r="261" spans="3:40" x14ac:dyDescent="0.15">
      <c r="C261">
        <v>631</v>
      </c>
      <c r="D261">
        <v>1</v>
      </c>
      <c r="K261" t="s">
        <v>23</v>
      </c>
      <c r="L261" t="s">
        <v>2366</v>
      </c>
      <c r="AB261">
        <v>1</v>
      </c>
      <c r="AD261" t="s">
        <v>2166</v>
      </c>
      <c r="AE261">
        <v>5</v>
      </c>
      <c r="AF261" t="s">
        <v>2196</v>
      </c>
      <c r="AH261">
        <v>255</v>
      </c>
      <c r="AM261" t="str">
        <f t="shared" si="4"/>
        <v>{dwID=631,nLevel=1,szNote="握针",col={0,238,0,},[1]={},[2]={},aCataclysmBuff={{bOnlyMine=true,szReminder="握 奶花技能握针hot",nPriority=5,col="#00EE00FF",nColAlpha=255,},},},</v>
      </c>
    </row>
    <row r="262" spans="3:40" x14ac:dyDescent="0.15">
      <c r="C262">
        <v>5693</v>
      </c>
      <c r="D262">
        <v>1</v>
      </c>
      <c r="K262" t="s">
        <v>118</v>
      </c>
      <c r="L262" t="s">
        <v>2366</v>
      </c>
      <c r="AB262">
        <v>1</v>
      </c>
      <c r="AD262" t="s">
        <v>2195</v>
      </c>
      <c r="AE262">
        <v>6</v>
      </c>
      <c r="AF262" t="s">
        <v>2196</v>
      </c>
      <c r="AH262">
        <v>255</v>
      </c>
      <c r="AM262" t="str">
        <f t="shared" si="4"/>
        <v>{dwID=5693,nLevel=1,szNote="述怀",col={0,238,0,},[1]={},[2]={},aCataclysmBuff={{bOnlyMine=true,szReminder="述 奶花奇穴述怀hot",nPriority=6,col="#00EE00FF",nColAlpha=255,},},},</v>
      </c>
    </row>
    <row r="263" spans="3:40" x14ac:dyDescent="0.15">
      <c r="C263">
        <v>680</v>
      </c>
      <c r="D263">
        <v>1</v>
      </c>
      <c r="K263" t="s">
        <v>119</v>
      </c>
      <c r="L263" t="s">
        <v>2366</v>
      </c>
      <c r="AB263">
        <v>1</v>
      </c>
      <c r="AD263" t="s">
        <v>2197</v>
      </c>
      <c r="AE263">
        <v>5</v>
      </c>
      <c r="AF263" t="s">
        <v>2196</v>
      </c>
      <c r="AH263">
        <v>255</v>
      </c>
      <c r="AM263" t="str">
        <f t="shared" si="4"/>
        <v>{dwID=680,nLevel=1,szNote="翔舞",col={0,238,0,},[1]={},[2]={},aCataclysmBuff={{bOnlyMine=true,szReminder="翔 奶秀技能翔舞hot",nPriority=5,col="#00EE00FF",nColAlpha=255,},},},</v>
      </c>
    </row>
    <row r="264" spans="3:40" x14ac:dyDescent="0.15">
      <c r="C264">
        <v>681</v>
      </c>
      <c r="D264">
        <v>1</v>
      </c>
      <c r="K264" t="s">
        <v>120</v>
      </c>
      <c r="L264" t="s">
        <v>2366</v>
      </c>
      <c r="AB264">
        <v>1</v>
      </c>
      <c r="AD264" t="s">
        <v>2198</v>
      </c>
      <c r="AE264">
        <v>6</v>
      </c>
      <c r="AF264" t="s">
        <v>2196</v>
      </c>
      <c r="AH264">
        <v>255</v>
      </c>
      <c r="AM264" t="str">
        <f t="shared" si="4"/>
        <v>{dwID=681,nLevel=1,szNote="上元点鬟",col={0,238,0,},[1]={},[2]={},aCataclysmBuff={{bOnlyMine=true,szReminder="元 奶秀技能上元hot",nPriority=6,col="#00EE00FF",nColAlpha=255,},},},</v>
      </c>
    </row>
    <row r="265" spans="3:40" x14ac:dyDescent="0.15">
      <c r="C265">
        <v>9454</v>
      </c>
      <c r="D265">
        <v>1</v>
      </c>
      <c r="K265" t="s">
        <v>121</v>
      </c>
      <c r="L265" t="s">
        <v>2366</v>
      </c>
      <c r="AB265">
        <v>1</v>
      </c>
      <c r="AD265" t="s">
        <v>2201</v>
      </c>
      <c r="AE265">
        <v>5</v>
      </c>
      <c r="AF265" t="s">
        <v>2196</v>
      </c>
      <c r="AH265">
        <v>255</v>
      </c>
      <c r="AM265" t="str">
        <f t="shared" si="4"/>
        <v>{dwID=9454,nLevel=1,szNote="宫",col={0,238,0,},[1]={},[2]={},aCataclysmBuff={{bOnlyMine=true,szReminder="宫 奶歌技能宫hot",nPriority=5,col="#00EE00FF",nColAlpha=255,},},},</v>
      </c>
    </row>
    <row r="266" spans="3:40" x14ac:dyDescent="0.15">
      <c r="C266">
        <v>9455</v>
      </c>
      <c r="D266">
        <v>1</v>
      </c>
      <c r="K266" t="s">
        <v>121</v>
      </c>
      <c r="L266" t="s">
        <v>2366</v>
      </c>
      <c r="AB266">
        <v>1</v>
      </c>
      <c r="AD266" t="s">
        <v>2201</v>
      </c>
      <c r="AE266">
        <v>5</v>
      </c>
      <c r="AF266" t="s">
        <v>2196</v>
      </c>
      <c r="AH266">
        <v>255</v>
      </c>
      <c r="AM266" t="str">
        <f t="shared" si="4"/>
        <v>{dwID=9455,nLevel=1,szNote="宫",col={0,238,0,},[1]={},[2]={},aCataclysmBuff={{bOnlyMine=true,szReminder="宫 奶歌技能宫hot",nPriority=5,col="#00EE00FF",nColAlpha=255,},},},</v>
      </c>
    </row>
    <row r="267" spans="3:40" x14ac:dyDescent="0.15">
      <c r="C267">
        <v>9456</v>
      </c>
      <c r="D267">
        <v>1</v>
      </c>
      <c r="K267" t="s">
        <v>121</v>
      </c>
      <c r="L267" t="s">
        <v>2366</v>
      </c>
      <c r="AB267">
        <v>1</v>
      </c>
      <c r="AD267" t="s">
        <v>2201</v>
      </c>
      <c r="AE267">
        <v>5</v>
      </c>
      <c r="AF267" t="s">
        <v>2196</v>
      </c>
      <c r="AH267">
        <v>255</v>
      </c>
      <c r="AM267" t="str">
        <f t="shared" si="4"/>
        <v>{dwID=9456,nLevel=1,szNote="宫",col={0,238,0,},[1]={},[2]={},aCataclysmBuff={{bOnlyMine=true,szReminder="宫 奶歌技能宫hot",nPriority=5,col="#00EE00FF",nColAlpha=255,},},},</v>
      </c>
    </row>
    <row r="268" spans="3:40" x14ac:dyDescent="0.15">
      <c r="C268">
        <v>9457</v>
      </c>
      <c r="D268">
        <v>1</v>
      </c>
      <c r="K268" t="s">
        <v>121</v>
      </c>
      <c r="L268" t="s">
        <v>2366</v>
      </c>
      <c r="AB268">
        <v>1</v>
      </c>
      <c r="AD268" t="s">
        <v>2201</v>
      </c>
      <c r="AE268">
        <v>5</v>
      </c>
      <c r="AF268" t="s">
        <v>2196</v>
      </c>
      <c r="AH268">
        <v>255</v>
      </c>
      <c r="AM268" t="str">
        <f t="shared" si="4"/>
        <v>{dwID=9457,nLevel=1,szNote="宫",col={0,238,0,},[1]={},[2]={},aCataclysmBuff={{bOnlyMine=true,szReminder="宫 奶歌技能宫hot",nPriority=5,col="#00EE00FF",nColAlpha=255,},},},</v>
      </c>
    </row>
    <row r="269" spans="3:40" x14ac:dyDescent="0.15">
      <c r="C269">
        <v>9459</v>
      </c>
      <c r="D269">
        <v>1</v>
      </c>
      <c r="K269" t="s">
        <v>122</v>
      </c>
      <c r="L269" t="s">
        <v>2366</v>
      </c>
      <c r="AB269">
        <v>1</v>
      </c>
      <c r="AD269" t="s">
        <v>2202</v>
      </c>
      <c r="AE269">
        <v>6</v>
      </c>
      <c r="AF269" t="s">
        <v>2196</v>
      </c>
      <c r="AH269">
        <v>255</v>
      </c>
      <c r="AM269" t="str">
        <f t="shared" si="4"/>
        <v>{dwID=9459,nLevel=1,szNote="商",col={0,238,0,},[1]={},[2]={},aCataclysmBuff={{bOnlyMine=true,szReminder="商 奶歌技能商hot",nPriority=6,col="#00EE00FF",nColAlpha=255,},},},</v>
      </c>
    </row>
    <row r="270" spans="3:40" x14ac:dyDescent="0.15">
      <c r="C270">
        <v>9460</v>
      </c>
      <c r="D270">
        <v>1</v>
      </c>
      <c r="K270" t="s">
        <v>122</v>
      </c>
      <c r="L270" t="s">
        <v>2366</v>
      </c>
      <c r="AB270">
        <v>1</v>
      </c>
      <c r="AD270" t="s">
        <v>2202</v>
      </c>
      <c r="AE270">
        <v>6</v>
      </c>
      <c r="AF270" t="s">
        <v>2196</v>
      </c>
      <c r="AH270">
        <v>255</v>
      </c>
      <c r="AM270" t="str">
        <f t="shared" si="4"/>
        <v>{dwID=9460,nLevel=1,szNote="商",col={0,238,0,},[1]={},[2]={},aCataclysmBuff={{bOnlyMine=true,szReminder="商 奶歌技能商hot",nPriority=6,col="#00EE00FF",nColAlpha=255,},},},</v>
      </c>
    </row>
    <row r="271" spans="3:40" x14ac:dyDescent="0.15">
      <c r="C271">
        <v>9461</v>
      </c>
      <c r="D271">
        <v>1</v>
      </c>
      <c r="K271" t="s">
        <v>122</v>
      </c>
      <c r="L271" t="s">
        <v>2366</v>
      </c>
      <c r="AB271">
        <v>1</v>
      </c>
      <c r="AD271" t="s">
        <v>2202</v>
      </c>
      <c r="AE271">
        <v>6</v>
      </c>
      <c r="AF271" t="s">
        <v>2196</v>
      </c>
      <c r="AH271">
        <v>255</v>
      </c>
      <c r="AM271" t="str">
        <f t="shared" si="4"/>
        <v>{dwID=9461,nLevel=1,szNote="商",col={0,238,0,},[1]={},[2]={},aCataclysmBuff={{bOnlyMine=true,szReminder="商 奶歌技能商hot",nPriority=6,col="#00EE00FF",nColAlpha=255,},},},</v>
      </c>
    </row>
    <row r="272" spans="3:40" x14ac:dyDescent="0.15">
      <c r="C272">
        <v>9462</v>
      </c>
      <c r="D272">
        <v>1</v>
      </c>
      <c r="K272" t="s">
        <v>122</v>
      </c>
      <c r="L272" t="s">
        <v>2366</v>
      </c>
      <c r="AB272">
        <v>1</v>
      </c>
      <c r="AD272" t="s">
        <v>2202</v>
      </c>
      <c r="AE272">
        <v>6</v>
      </c>
      <c r="AF272" t="s">
        <v>2196</v>
      </c>
      <c r="AH272">
        <v>255</v>
      </c>
      <c r="AM272" t="str">
        <f t="shared" si="4"/>
        <v>{dwID=9462,nLevel=1,szNote="商",col={0,238,0,},[1]={},[2]={},aCataclysmBuff={{bOnlyMine=true,szReminder="商 奶歌技能商hot",nPriority=6,col="#00EE00FF",nColAlpha=255,},},},</v>
      </c>
    </row>
    <row r="273" spans="3:39" x14ac:dyDescent="0.15">
      <c r="C273">
        <v>9463</v>
      </c>
      <c r="D273">
        <v>1</v>
      </c>
      <c r="K273" t="s">
        <v>123</v>
      </c>
      <c r="L273" t="s">
        <v>2366</v>
      </c>
      <c r="AB273">
        <v>1</v>
      </c>
      <c r="AD273" t="s">
        <v>2203</v>
      </c>
      <c r="AE273">
        <v>7</v>
      </c>
      <c r="AF273" t="s">
        <v>2196</v>
      </c>
      <c r="AH273">
        <v>255</v>
      </c>
      <c r="AM273" t="str">
        <f t="shared" si="4"/>
        <v>{dwID=9463,nLevel=1,szNote="角",col={0,238,0,},[1]={},[2]={},aCataclysmBuff={{bOnlyMine=true,szReminder="角 奶歌技能角hot",nPriority=7,col="#00EE00FF",nColAlpha=255,},},},</v>
      </c>
    </row>
    <row r="274" spans="3:39" x14ac:dyDescent="0.15">
      <c r="C274">
        <v>9464</v>
      </c>
      <c r="D274">
        <v>1</v>
      </c>
      <c r="K274" t="s">
        <v>123</v>
      </c>
      <c r="L274" t="s">
        <v>2366</v>
      </c>
      <c r="AB274">
        <v>1</v>
      </c>
      <c r="AD274" t="s">
        <v>2203</v>
      </c>
      <c r="AE274">
        <v>7</v>
      </c>
      <c r="AF274" t="s">
        <v>2196</v>
      </c>
      <c r="AH274">
        <v>255</v>
      </c>
      <c r="AM274" t="str">
        <f t="shared" si="4"/>
        <v>{dwID=9464,nLevel=1,szNote="角",col={0,238,0,},[1]={},[2]={},aCataclysmBuff={{bOnlyMine=true,szReminder="角 奶歌技能角hot",nPriority=7,col="#00EE00FF",nColAlpha=255,},},},</v>
      </c>
    </row>
    <row r="275" spans="3:39" x14ac:dyDescent="0.15">
      <c r="C275">
        <v>9465</v>
      </c>
      <c r="D275">
        <v>1</v>
      </c>
      <c r="K275" t="s">
        <v>123</v>
      </c>
      <c r="L275" t="s">
        <v>2366</v>
      </c>
      <c r="AB275">
        <v>1</v>
      </c>
      <c r="AD275" t="s">
        <v>2203</v>
      </c>
      <c r="AE275">
        <v>7</v>
      </c>
      <c r="AF275" t="s">
        <v>2196</v>
      </c>
      <c r="AH275">
        <v>255</v>
      </c>
      <c r="AM275" t="str">
        <f t="shared" si="4"/>
        <v>{dwID=9465,nLevel=1,szNote="角",col={0,238,0,},[1]={},[2]={},aCataclysmBuff={{bOnlyMine=true,szReminder="角 奶歌技能角hot",nPriority=7,col="#00EE00FF",nColAlpha=255,},},},</v>
      </c>
    </row>
    <row r="276" spans="3:39" x14ac:dyDescent="0.15">
      <c r="C276">
        <v>9466</v>
      </c>
      <c r="D276">
        <v>1</v>
      </c>
      <c r="K276" t="s">
        <v>123</v>
      </c>
      <c r="L276" t="s">
        <v>2366</v>
      </c>
      <c r="AB276">
        <v>1</v>
      </c>
      <c r="AD276" t="s">
        <v>2203</v>
      </c>
      <c r="AE276">
        <v>7</v>
      </c>
      <c r="AF276" t="s">
        <v>2196</v>
      </c>
      <c r="AH276">
        <v>255</v>
      </c>
      <c r="AM276" t="str">
        <f t="shared" si="4"/>
        <v>{dwID=9466,nLevel=1,szNote="角",col={0,238,0,},[1]={},[2]={},aCataclysmBuff={{bOnlyMine=true,szReminder="角 奶歌技能角hot",nPriority=7,col="#00EE00FF",nColAlpha=255,},},},</v>
      </c>
    </row>
    <row r="277" spans="3:39" x14ac:dyDescent="0.15">
      <c r="C277">
        <v>9334</v>
      </c>
      <c r="D277">
        <v>1</v>
      </c>
      <c r="K277" t="s">
        <v>124</v>
      </c>
      <c r="L277" t="s">
        <v>2367</v>
      </c>
      <c r="AB277">
        <v>1</v>
      </c>
      <c r="AD277" t="s">
        <v>2200</v>
      </c>
      <c r="AE277">
        <v>4</v>
      </c>
      <c r="AF277" t="s">
        <v>2368</v>
      </c>
      <c r="AH277">
        <v>255</v>
      </c>
      <c r="AM277" t="str">
        <f t="shared" si="4"/>
        <v>{dwID=9334,nLevel=1,szNote="梅花三弄",col={31,238,255,},[1]={},[2]={},aCataclysmBuff={{bOnlyMine=true,szReminder="梅 奶歌技能梅花三弄化解",nPriority=4,col="#1FEEFFFF",nColAlpha=255,},},},</v>
      </c>
    </row>
    <row r="278" spans="3:39" x14ac:dyDescent="0.15">
      <c r="C278">
        <v>20070</v>
      </c>
      <c r="D278">
        <v>1</v>
      </c>
      <c r="K278" t="s">
        <v>125</v>
      </c>
      <c r="L278" t="s">
        <v>2366</v>
      </c>
      <c r="AB278">
        <v>1</v>
      </c>
      <c r="AD278" t="s">
        <v>2369</v>
      </c>
      <c r="AE278">
        <v>5</v>
      </c>
      <c r="AF278" t="s">
        <v>2196</v>
      </c>
      <c r="AH278">
        <v>255</v>
      </c>
      <c r="AM278" t="str">
        <f t="shared" si="4"/>
        <v>{dwID=20070,nLevel=1,szNote="赤芍寒香",col={0,238,0,},[1]={},[2]={},aCataclysmBuff={{bOnlyMine=true,szReminder="香 灵素技能赤芍寒香hot",nPriority=5,col="#00EE00FF",nColAlpha=255,},},},</v>
      </c>
    </row>
    <row r="279" spans="3:39" x14ac:dyDescent="0.15">
      <c r="C279">
        <v>16403</v>
      </c>
      <c r="D279">
        <v>1</v>
      </c>
      <c r="K279" t="s">
        <v>24</v>
      </c>
      <c r="L279" t="s">
        <v>2115</v>
      </c>
      <c r="R279">
        <v>1</v>
      </c>
      <c r="AD279" t="s">
        <v>2211</v>
      </c>
      <c r="AE279">
        <v>3</v>
      </c>
      <c r="AF279" t="s">
        <v>2117</v>
      </c>
      <c r="AG279" t="s">
        <v>2132</v>
      </c>
      <c r="AH279">
        <v>255</v>
      </c>
      <c r="AI279">
        <v>1</v>
      </c>
      <c r="AK279">
        <v>1</v>
      </c>
      <c r="AM279" t="str">
        <f t="shared" si="4"/>
        <v>{dwID=16403,nLevel=1,szNote="霸体",col={255,204,0,},[1]={bScreenHead=true,},[2]={},aCataclysmBuff={{szReminder="霸",nPriority=3,col="#FFCC00FF",colScreenHead="#FFCC00",nColAlpha=255,bAttention=true,bScreenHead=true,},},},</v>
      </c>
    </row>
    <row r="280" spans="3:39" x14ac:dyDescent="0.15">
      <c r="C280">
        <v>9934</v>
      </c>
      <c r="D280">
        <v>1</v>
      </c>
      <c r="K280" t="s">
        <v>25</v>
      </c>
      <c r="L280" t="s">
        <v>2115</v>
      </c>
      <c r="R280">
        <v>1</v>
      </c>
      <c r="AD280" t="s">
        <v>2212</v>
      </c>
      <c r="AE280">
        <v>1</v>
      </c>
      <c r="AF280" t="s">
        <v>2117</v>
      </c>
      <c r="AG280" t="s">
        <v>2132</v>
      </c>
      <c r="AH280">
        <v>255</v>
      </c>
      <c r="AK280">
        <v>1</v>
      </c>
      <c r="AM280" t="str">
        <f t="shared" si="4"/>
        <v>{dwID=9934,nLevel=1,szNote="南风吐月",col={255,204,0,},[1]={bScreenHead=true,},[2]={},aCataclysmBuff={{szReminder="南 花间奇穴南风无敌",nPriority=1,col="#FFCC00FF",colScreenHead="#FFCC00",nColAlpha=255,bScreenHead=true,},},},</v>
      </c>
    </row>
    <row r="281" spans="3:39" x14ac:dyDescent="0.15">
      <c r="C281">
        <v>20709</v>
      </c>
      <c r="D281">
        <v>1</v>
      </c>
      <c r="K281" t="s">
        <v>26</v>
      </c>
      <c r="L281" t="s">
        <v>2115</v>
      </c>
      <c r="R281">
        <v>1</v>
      </c>
      <c r="AD281" t="s">
        <v>2213</v>
      </c>
      <c r="AE281">
        <v>2</v>
      </c>
      <c r="AF281" t="s">
        <v>2117</v>
      </c>
      <c r="AG281" t="s">
        <v>2132</v>
      </c>
      <c r="AH281">
        <v>255</v>
      </c>
      <c r="AK281">
        <v>1</v>
      </c>
      <c r="AM281" t="str">
        <f t="shared" si="4"/>
        <v>{dwID=20709,nLevel=1,szNote="天工甲士",col={255,204,0,},[1]={bScreenHead=true,},[2]={},aCataclysmBuff={{szReminder="甲 奇穴天工甲士无敌",nPriority=2,col="#FFCC00FF",colScreenHead="#FFCC00",nColAlpha=255,bScreenHead=true,},},},</v>
      </c>
    </row>
    <row r="282" spans="3:39" x14ac:dyDescent="0.15">
      <c r="C282">
        <v>22812</v>
      </c>
      <c r="D282">
        <v>1</v>
      </c>
      <c r="K282" t="s">
        <v>27</v>
      </c>
      <c r="L282" t="s">
        <v>2115</v>
      </c>
      <c r="R282">
        <v>1</v>
      </c>
      <c r="AD282" t="s">
        <v>2214</v>
      </c>
      <c r="AE282">
        <v>2</v>
      </c>
      <c r="AF282" t="s">
        <v>2117</v>
      </c>
      <c r="AG282" t="s">
        <v>2132</v>
      </c>
      <c r="AH282">
        <v>255</v>
      </c>
      <c r="AK282">
        <v>1</v>
      </c>
      <c r="AM282" t="str">
        <f t="shared" si="4"/>
        <v>{dwID=22812,nLevel=1,szNote="翰墨永誓",col={255,204,0,},[1]={bScreenHead=true,},[2]={},aCataclysmBuff={{szReminder="永 花间奇穴翰墨永誓禁疗无敌",nPriority=2,col="#FFCC00FF",colScreenHead="#FFCC00",nColAlpha=255,bScreenHead=true,},},},</v>
      </c>
    </row>
    <row r="283" spans="3:39" x14ac:dyDescent="0.15">
      <c r="C283">
        <v>9933</v>
      </c>
      <c r="D283">
        <v>1</v>
      </c>
      <c r="K283" t="s">
        <v>28</v>
      </c>
      <c r="L283" t="s">
        <v>2115</v>
      </c>
      <c r="R283">
        <v>1</v>
      </c>
      <c r="AD283" t="s">
        <v>2215</v>
      </c>
      <c r="AE283">
        <v>2</v>
      </c>
      <c r="AF283" t="s">
        <v>2117</v>
      </c>
      <c r="AG283" t="s">
        <v>2132</v>
      </c>
      <c r="AH283">
        <v>255</v>
      </c>
      <c r="AK283">
        <v>1</v>
      </c>
      <c r="AM283" t="str">
        <f t="shared" si="4"/>
        <v>{dwID=9933,nLevel=1,szNote="笼花",col={255,204,0,},[1]={bScreenHead=true,},[2]={},aCataclysmBuff={{szReminder="折 奶花奇穴折页复活",nPriority=2,col="#FFCC00FF",colScreenHead="#FFCC00",nColAlpha=255,bScreenHead=true,},},},</v>
      </c>
    </row>
    <row r="284" spans="3:39" x14ac:dyDescent="0.15">
      <c r="C284">
        <v>17894</v>
      </c>
      <c r="D284">
        <v>1</v>
      </c>
      <c r="K284" t="s">
        <v>29</v>
      </c>
      <c r="L284" t="s">
        <v>2115</v>
      </c>
      <c r="R284">
        <v>1</v>
      </c>
      <c r="AD284" t="s">
        <v>2216</v>
      </c>
      <c r="AE284">
        <v>2</v>
      </c>
      <c r="AF284" t="s">
        <v>2117</v>
      </c>
      <c r="AG284" t="s">
        <v>2132</v>
      </c>
      <c r="AH284">
        <v>255</v>
      </c>
      <c r="AK284">
        <v>1</v>
      </c>
      <c r="AM284" t="str">
        <f t="shared" si="4"/>
        <v>{dwID=17894,nLevel=1,szNote="大针",col={255,204,0,},[1]={bScreenHead=true,},[2]={},aCataclysmBuff={{szReminder="大 奶花奇穴大针",nPriority=2,col="#FFCC00FF",colScreenHead="#FFCC00",nColAlpha=255,bScreenHead=true,},},},</v>
      </c>
    </row>
    <row r="285" spans="3:39" x14ac:dyDescent="0.15">
      <c r="C285">
        <v>6256</v>
      </c>
      <c r="D285">
        <v>1</v>
      </c>
      <c r="K285" t="s">
        <v>381</v>
      </c>
      <c r="L285" t="s">
        <v>2120</v>
      </c>
      <c r="R285">
        <v>1</v>
      </c>
      <c r="AD285" t="s">
        <v>2217</v>
      </c>
      <c r="AE285">
        <v>10</v>
      </c>
      <c r="AF285" t="s">
        <v>2123</v>
      </c>
      <c r="AG285" t="s">
        <v>2130</v>
      </c>
      <c r="AH285">
        <v>255</v>
      </c>
      <c r="AK285">
        <v>1</v>
      </c>
      <c r="AM285" t="str">
        <f t="shared" si="4"/>
        <v>{dwID=6256,nLevel=1,szNote="沃土",col={179,238,58,},[1]={bScreenHead=true,},[2]={},aCataclysmBuff={{szReminder="免 奶花奇穴沃土免打断缴械无法运功",nPriority=10,col="#B3EE3AFF",colScreenHead="#B3EE3A",nColAlpha=255,bScreenHead=true,},},},</v>
      </c>
    </row>
    <row r="286" spans="3:39" x14ac:dyDescent="0.15">
      <c r="C286">
        <v>122</v>
      </c>
      <c r="D286">
        <v>1</v>
      </c>
      <c r="E286">
        <v>6</v>
      </c>
      <c r="K286" t="s">
        <v>30</v>
      </c>
      <c r="L286" t="s">
        <v>2120</v>
      </c>
      <c r="R286">
        <v>1</v>
      </c>
      <c r="Z286">
        <v>6</v>
      </c>
      <c r="AA286" t="s">
        <v>2121</v>
      </c>
      <c r="AD286" t="s">
        <v>2218</v>
      </c>
      <c r="AE286">
        <v>11</v>
      </c>
      <c r="AF286" t="s">
        <v>2123</v>
      </c>
      <c r="AG286" t="s">
        <v>2130</v>
      </c>
      <c r="AH286">
        <v>255</v>
      </c>
      <c r="AK286">
        <v>1</v>
      </c>
      <c r="AL286" t="s">
        <v>2370</v>
      </c>
      <c r="AM286" t="str">
        <f t="shared" si="4"/>
        <v>{dwID=122,nLevel=1,nCount=6,szNote="春泥护花",col={179,238,58,},[1]={bScreenHead=true,},[2]={},aCataclysmBuff={{nStackNum=6,szStackOp="&gt;=",szReminder="春 技能春泥减伤",nPriority=11,col="#B3EE3AFF",colScreenHead="#B3EE3A",nColAlpha=255,bScreenHead=true,},{szStackOp="&gt;=",nStackNum=1,szReminder="春 技能春泥减伤",nPriority=12,nColAlpha=255,col="#B3EE3AFF",},},},</v>
      </c>
    </row>
    <row r="287" spans="3:39" x14ac:dyDescent="0.15">
      <c r="C287">
        <v>6257</v>
      </c>
      <c r="D287">
        <v>1</v>
      </c>
      <c r="K287" t="s">
        <v>30</v>
      </c>
      <c r="L287" t="s">
        <v>2120</v>
      </c>
      <c r="R287">
        <v>1</v>
      </c>
      <c r="AD287" t="s">
        <v>2219</v>
      </c>
      <c r="AE287">
        <v>11</v>
      </c>
      <c r="AF287" t="s">
        <v>2123</v>
      </c>
      <c r="AG287" t="s">
        <v>2130</v>
      </c>
      <c r="AH287">
        <v>255</v>
      </c>
      <c r="AK287">
        <v>1</v>
      </c>
      <c r="AM287" t="str">
        <f t="shared" si="4"/>
        <v>{dwID=6257,nLevel=1,szNote="春泥护花",col={179,238,58,},[1]={bScreenHead=true,},[2]={},aCataclysmBuff={{szReminder="春 弹梦春泥减伤免驱散",nPriority=11,col="#B3EE3AFF",colScreenHead="#B3EE3A",nColAlpha=255,bScreenHead=true,},},},</v>
      </c>
    </row>
    <row r="288" spans="3:39" x14ac:dyDescent="0.15">
      <c r="C288">
        <v>6264</v>
      </c>
      <c r="D288">
        <v>1</v>
      </c>
      <c r="E288">
        <v>6</v>
      </c>
      <c r="K288" t="s">
        <v>30</v>
      </c>
      <c r="L288" t="s">
        <v>2120</v>
      </c>
      <c r="R288">
        <v>1</v>
      </c>
      <c r="Z288">
        <v>6</v>
      </c>
      <c r="AA288" t="s">
        <v>2121</v>
      </c>
      <c r="AD288" t="s">
        <v>2220</v>
      </c>
      <c r="AE288">
        <v>11</v>
      </c>
      <c r="AF288" t="s">
        <v>2123</v>
      </c>
      <c r="AG288" t="s">
        <v>2130</v>
      </c>
      <c r="AH288">
        <v>255</v>
      </c>
      <c r="AK288">
        <v>1</v>
      </c>
      <c r="AL288" t="s">
        <v>2371</v>
      </c>
      <c r="AM288" t="str">
        <f t="shared" si="4"/>
        <v>{dwID=6264,nLevel=1,nCount=6,szNote="春泥护花",col={179,238,58,},[1]={bScreenHead=true,},[2]={},aCataclysmBuff={{nStackNum=6,szStackOp="&gt;=",szReminder="春 奇穴南柯+15技能春泥减伤",nPriority=11,col="#B3EE3AFF",colScreenHead="#B3EE3A",nColAlpha=255,bScreenHead=true,},{szStackOp="&gt;=",nStackNum=1,szReminder="春 奇穴南柯+15技能春泥减伤",nPriority=12,nColAlpha=255,col="#B3EE3AFF",},},},</v>
      </c>
    </row>
    <row r="289" spans="3:39" x14ac:dyDescent="0.15">
      <c r="C289">
        <v>24148</v>
      </c>
      <c r="D289">
        <v>1</v>
      </c>
      <c r="K289" t="s">
        <v>126</v>
      </c>
      <c r="L289" t="s">
        <v>2120</v>
      </c>
      <c r="AD289" t="s">
        <v>2372</v>
      </c>
      <c r="AE289">
        <v>11</v>
      </c>
      <c r="AF289" t="s">
        <v>2123</v>
      </c>
      <c r="AH289">
        <v>255</v>
      </c>
      <c r="AM289" t="str">
        <f t="shared" si="4"/>
        <v>{dwID=24148,nLevel=1,szNote="坐隐",col={179,238,58,},[1]={},[2]={},aCataclysmBuff={{szReminder="盾 奶花奇穴坐隐化解",nPriority=11,col="#B3EE3AFF",nColAlpha=255,},},},</v>
      </c>
    </row>
    <row r="290" spans="3:39" x14ac:dyDescent="0.15">
      <c r="C290">
        <v>126</v>
      </c>
      <c r="D290">
        <v>1</v>
      </c>
      <c r="K290" t="s">
        <v>127</v>
      </c>
      <c r="L290" t="s">
        <v>2120</v>
      </c>
      <c r="AD290" t="s">
        <v>2373</v>
      </c>
      <c r="AE290">
        <v>12</v>
      </c>
      <c r="AF290" t="s">
        <v>2123</v>
      </c>
      <c r="AH290">
        <v>255</v>
      </c>
      <c r="AM290" t="str">
        <f t="shared" si="4"/>
        <v>{dwID=126,nLevel=1,szNote="毫针",col={179,238,58,},[1]={},[2]={},aCataclysmBuff={{szReminder="毫 旧版毫针技能减伤",nPriority=12,col="#B3EE3AFF",nColAlpha=255,},},},</v>
      </c>
    </row>
    <row r="291" spans="3:39" x14ac:dyDescent="0.15">
      <c r="C291">
        <v>9724</v>
      </c>
      <c r="D291">
        <v>1</v>
      </c>
      <c r="K291" t="s">
        <v>127</v>
      </c>
      <c r="L291" t="s">
        <v>2120</v>
      </c>
      <c r="AD291" t="s">
        <v>2374</v>
      </c>
      <c r="AE291">
        <v>12</v>
      </c>
      <c r="AF291" t="s">
        <v>2123</v>
      </c>
      <c r="AH291">
        <v>255</v>
      </c>
      <c r="AM291" t="str">
        <f t="shared" si="4"/>
        <v>{dwID=9724,nLevel=1,szNote="毫针",col={179,238,58,},[1]={},[2]={},aCataclysmBuff={{szReminder="毫 奇穴秋毫减伤",nPriority=12,col="#B3EE3AFF",nColAlpha=255,},},},</v>
      </c>
    </row>
    <row r="292" spans="3:39" x14ac:dyDescent="0.15">
      <c r="C292">
        <v>6262</v>
      </c>
      <c r="D292">
        <v>1</v>
      </c>
      <c r="K292" t="s">
        <v>128</v>
      </c>
      <c r="L292" t="s">
        <v>2120</v>
      </c>
      <c r="AD292" t="s">
        <v>2375</v>
      </c>
      <c r="AE292">
        <v>11</v>
      </c>
      <c r="AF292" t="s">
        <v>2123</v>
      </c>
      <c r="AH292">
        <v>255</v>
      </c>
      <c r="AM292" t="str">
        <f t="shared" si="4"/>
        <v>{dwID=6262,nLevel=1,szNote="金屋",col={179,238,58,},[1]={},[2]={},aCataclysmBuff={{szReminder="减 花间奇穴金屋减伤",nPriority=11,col="#B3EE3AFF",nColAlpha=255,},},},</v>
      </c>
    </row>
    <row r="293" spans="3:39" x14ac:dyDescent="0.15">
      <c r="C293">
        <v>26136</v>
      </c>
      <c r="D293">
        <v>1</v>
      </c>
      <c r="K293" t="s">
        <v>129</v>
      </c>
      <c r="L293" t="s">
        <v>2120</v>
      </c>
      <c r="AD293" t="s">
        <v>2376</v>
      </c>
      <c r="AE293">
        <v>11</v>
      </c>
      <c r="AF293" t="s">
        <v>2123</v>
      </c>
      <c r="AH293">
        <v>255</v>
      </c>
      <c r="AM293" t="str">
        <f t="shared" si="4"/>
        <v>{dwID=26136,nLevel=1,szNote="轻燕",col={179,238,58,},[1]={},[2]={},aCataclysmBuff={{szReminder="减 奶花奇穴轻燕减伤",nPriority=11,col="#B3EE3AFF",nColAlpha=255,},},},</v>
      </c>
    </row>
    <row r="294" spans="3:39" x14ac:dyDescent="0.15">
      <c r="C294">
        <v>411</v>
      </c>
      <c r="D294">
        <v>1</v>
      </c>
      <c r="K294" t="s">
        <v>31</v>
      </c>
      <c r="L294" t="s">
        <v>2120</v>
      </c>
      <c r="R294">
        <v>1</v>
      </c>
      <c r="AD294" t="s">
        <v>2221</v>
      </c>
      <c r="AE294">
        <v>10</v>
      </c>
      <c r="AF294" t="s">
        <v>2123</v>
      </c>
      <c r="AG294" t="s">
        <v>2130</v>
      </c>
      <c r="AH294">
        <v>255</v>
      </c>
      <c r="AK294">
        <v>1</v>
      </c>
      <c r="AM294" t="str">
        <f t="shared" si="4"/>
        <v>{dwID=411,nLevel=1,szNote="星楼月影",col={179,238,58,},[1]={bScreenHead=true,},[2]={},aCataclysmBuff={{szReminder="免 免控（击退和被拉除外）急速提高30%",nPriority=10,col="#B3EE3AFF",colScreenHead="#B3EE3A",nColAlpha=255,bScreenHead=true,},},},</v>
      </c>
    </row>
    <row r="295" spans="3:39" x14ac:dyDescent="0.15">
      <c r="C295">
        <v>20247</v>
      </c>
      <c r="D295">
        <v>1</v>
      </c>
      <c r="K295" t="s">
        <v>31</v>
      </c>
      <c r="L295" t="s">
        <v>2120</v>
      </c>
      <c r="R295">
        <v>1</v>
      </c>
      <c r="AD295" t="s">
        <v>2222</v>
      </c>
      <c r="AE295">
        <v>10</v>
      </c>
      <c r="AF295" t="s">
        <v>2123</v>
      </c>
      <c r="AG295" t="s">
        <v>2130</v>
      </c>
      <c r="AH295">
        <v>255</v>
      </c>
      <c r="AK295">
        <v>1</v>
      </c>
      <c r="AM295" t="str">
        <f t="shared" si="4"/>
        <v>{dwID=20247,nLevel=1,szNote="星楼月影",col={179,238,58,},[1]={bScreenHead=true,},[2]={},aCataclysmBuff={{szReminder="免 免控（击退和被拉除外）",nPriority=10,col="#B3EE3AFF",colScreenHead="#B3EE3A",nColAlpha=255,bScreenHead=true,},},},</v>
      </c>
    </row>
    <row r="296" spans="3:39" x14ac:dyDescent="0.15">
      <c r="C296">
        <v>17015</v>
      </c>
      <c r="D296">
        <v>1</v>
      </c>
      <c r="K296" t="s">
        <v>32</v>
      </c>
      <c r="L296" t="s">
        <v>2120</v>
      </c>
      <c r="R296">
        <v>1</v>
      </c>
      <c r="AD296" t="s">
        <v>2223</v>
      </c>
      <c r="AE296">
        <v>12</v>
      </c>
      <c r="AF296" t="s">
        <v>2123</v>
      </c>
      <c r="AG296" t="s">
        <v>2130</v>
      </c>
      <c r="AH296">
        <v>255</v>
      </c>
      <c r="AK296">
        <v>1</v>
      </c>
      <c r="AM296" t="str">
        <f t="shared" si="4"/>
        <v>{dwID=17015,nLevel=1,szNote="月斜",col={179,238,58,},[1]={bScreenHead=true,},[2]={},aCataclysmBuff={{szReminder="盾 化解气血最大值45%的伤害",nPriority=12,col="#B3EE3AFF",colScreenHead="#B3EE3A",nColAlpha=255,bScreenHead=true,},},},</v>
      </c>
    </row>
    <row r="297" spans="3:39" x14ac:dyDescent="0.15">
      <c r="C297">
        <v>113</v>
      </c>
      <c r="D297">
        <v>1</v>
      </c>
      <c r="K297" t="s">
        <v>130</v>
      </c>
      <c r="L297" t="s">
        <v>2120</v>
      </c>
      <c r="AD297" t="s">
        <v>2377</v>
      </c>
      <c r="AE297">
        <v>30</v>
      </c>
      <c r="AF297" t="s">
        <v>2123</v>
      </c>
      <c r="AH297">
        <v>255</v>
      </c>
      <c r="AM297" t="str">
        <f t="shared" si="4"/>
        <v>{dwID=113,nLevel=1,szNote="碧水滔天",col={179,238,58,},[1]={},[2]={},aCataclysmBuff={{szReminder="碧 碧水滔天万花回蓝2级回血",nPriority=30,col="#B3EE3AFF",nColAlpha=255,},},},</v>
      </c>
    </row>
    <row r="298" spans="3:39" x14ac:dyDescent="0.15">
      <c r="C298">
        <v>412</v>
      </c>
      <c r="D298">
        <v>2</v>
      </c>
      <c r="H298">
        <v>1</v>
      </c>
      <c r="K298" t="s">
        <v>33</v>
      </c>
      <c r="L298" t="s">
        <v>2120</v>
      </c>
      <c r="R298">
        <v>1</v>
      </c>
      <c r="AD298" t="s">
        <v>2224</v>
      </c>
      <c r="AE298">
        <v>2</v>
      </c>
      <c r="AF298" t="s">
        <v>2123</v>
      </c>
      <c r="AG298" t="s">
        <v>2130</v>
      </c>
      <c r="AH298">
        <v>255</v>
      </c>
      <c r="AK298">
        <v>1</v>
      </c>
      <c r="AM298" t="str">
        <f t="shared" si="4"/>
        <v>{dwID=412,nLevel=2,bCheckLevel=true,szNote="水月",col={179,238,58,},[1]={bScreenHead=true,},[2]={},aCataclysmBuff={{szReminder="月 万花水月爆发免控",nPriority=2,col="#B3EE3AFF",colScreenHead="#B3EE3A",nColAlpha=255,bScreenHead=true,},},},</v>
      </c>
    </row>
    <row r="299" spans="3:39" x14ac:dyDescent="0.15">
      <c r="C299">
        <v>8458</v>
      </c>
      <c r="D299">
        <v>1</v>
      </c>
      <c r="K299" t="s">
        <v>34</v>
      </c>
      <c r="L299" t="s">
        <v>2120</v>
      </c>
      <c r="R299">
        <v>1</v>
      </c>
      <c r="AD299" t="s">
        <v>2225</v>
      </c>
      <c r="AE299">
        <v>2</v>
      </c>
      <c r="AF299" t="s">
        <v>2123</v>
      </c>
      <c r="AG299" t="s">
        <v>2130</v>
      </c>
      <c r="AH299">
        <v>255</v>
      </c>
      <c r="AK299">
        <v>1</v>
      </c>
      <c r="AM299" t="str">
        <f t="shared" si="4"/>
        <v>{dwID=8458,nLevel=1,szNote="水月无间",col={179,238,58,},[1]={bScreenHead=true,},[2]={},aCataclysmBuff={{szReminder="月 万花水月免疫控制（击退和被拉除外）",nPriority=2,col="#B3EE3AFF",colScreenHead="#B3EE3A",nColAlpha=255,bScreenHead=true,},},},</v>
      </c>
    </row>
    <row r="300" spans="3:39" x14ac:dyDescent="0.15">
      <c r="C300">
        <v>70018</v>
      </c>
      <c r="D300">
        <v>1</v>
      </c>
      <c r="E300">
        <v>6</v>
      </c>
      <c r="K300" t="s">
        <v>30</v>
      </c>
      <c r="L300" t="s">
        <v>2120</v>
      </c>
      <c r="R300">
        <v>1</v>
      </c>
      <c r="Z300">
        <v>6</v>
      </c>
      <c r="AA300" t="s">
        <v>2121</v>
      </c>
      <c r="AD300" t="s">
        <v>2227</v>
      </c>
      <c r="AE300">
        <v>11</v>
      </c>
      <c r="AF300" t="s">
        <v>2123</v>
      </c>
      <c r="AG300" t="s">
        <v>2130</v>
      </c>
      <c r="AH300">
        <v>255</v>
      </c>
      <c r="AK300">
        <v>1</v>
      </c>
      <c r="AL300" t="s">
        <v>2378</v>
      </c>
      <c r="AM300" t="str">
        <f t="shared" si="4"/>
        <v>{dwID=70018,nLevel=1,nCount=6,szNote="春泥护花",col={179,238,58,},[1]={bScreenHead=true,},[2]={},aCataclysmBuff={{nStackNum=6,szStackOp="&gt;=",szReminder="春 无界技能春泥减伤",nPriority=11,col="#B3EE3AFF",colScreenHead="#B3EE3A",nColAlpha=255,bScreenHead=true,},{szStackOp="&gt;=",nStackNum=1,szReminder="春 无界技能春泥减伤",nPriority=12,nColAlpha=255,col="#B3EE3AFF",},},},</v>
      </c>
    </row>
    <row r="301" spans="3:39" x14ac:dyDescent="0.15">
      <c r="C301">
        <v>24614</v>
      </c>
      <c r="D301">
        <v>1</v>
      </c>
      <c r="K301" t="s">
        <v>308</v>
      </c>
      <c r="L301" t="s">
        <v>2228</v>
      </c>
      <c r="R301">
        <v>1</v>
      </c>
      <c r="AD301" t="s">
        <v>2229</v>
      </c>
      <c r="AE301">
        <v>12</v>
      </c>
      <c r="AF301" t="s">
        <v>2230</v>
      </c>
      <c r="AG301" t="s">
        <v>2231</v>
      </c>
      <c r="AH301">
        <v>255</v>
      </c>
      <c r="AI301">
        <v>1</v>
      </c>
      <c r="AK301">
        <v>1</v>
      </c>
      <c r="AM301" t="str">
        <f t="shared" si="4"/>
        <v>{dwID=24614,nLevel=1,szNote="雷霆震怒",col={31,63,255,},[1]={bScreenHead=true,},[2]={},aCataclysmBuff={{szReminder="晕 缠竹友方",nPriority=12,col="#1F3FFFFF",colScreenHead="#1F3FFF",nColAlpha=255,bAttention=true,bScreenHead=true,},},},</v>
      </c>
    </row>
    <row r="302" spans="3:39" x14ac:dyDescent="0.15">
      <c r="C302">
        <v>6182</v>
      </c>
      <c r="D302">
        <v>1</v>
      </c>
      <c r="K302" t="s">
        <v>36</v>
      </c>
      <c r="L302" t="s">
        <v>2115</v>
      </c>
      <c r="R302">
        <v>1</v>
      </c>
      <c r="AD302" t="s">
        <v>2232</v>
      </c>
      <c r="AE302">
        <v>2</v>
      </c>
      <c r="AF302" t="s">
        <v>2117</v>
      </c>
      <c r="AG302" t="s">
        <v>2132</v>
      </c>
      <c r="AH302">
        <v>255</v>
      </c>
      <c r="AK302">
        <v>1</v>
      </c>
      <c r="AM302" t="str">
        <f t="shared" si="4"/>
        <v>{dwID=6182,nLevel=1,szNote="冥泽",col={255,204,0,},[1]={bScreenHead=true,},[2]={},aCataclysmBuff={{szReminder="冥 奇穴冥泽免死",nPriority=2,col="#FFCC00FF",colScreenHead="#FFCC00",nColAlpha=255,bScreenHead=true,},},},</v>
      </c>
    </row>
    <row r="303" spans="3:39" x14ac:dyDescent="0.15">
      <c r="C303">
        <v>24376</v>
      </c>
      <c r="D303">
        <v>1</v>
      </c>
      <c r="K303" t="s">
        <v>131</v>
      </c>
      <c r="L303" t="s">
        <v>2366</v>
      </c>
      <c r="AB303">
        <v>1</v>
      </c>
      <c r="AD303" t="s">
        <v>2379</v>
      </c>
      <c r="AE303">
        <v>7</v>
      </c>
      <c r="AF303" t="s">
        <v>2196</v>
      </c>
      <c r="AH303">
        <v>255</v>
      </c>
      <c r="AM303" t="str">
        <f t="shared" si="4"/>
        <v>{dwID=24376,nLevel=1,szNote="韶景",col={0,238,0,},[1]={},[2]={},aCataclysmBuff={{bOnlyMine=true,szReminder="韶 奶秀奇穴韶景芳尘hot",nPriority=7,col="#00EE00FF",nColAlpha=255,},},},</v>
      </c>
    </row>
    <row r="304" spans="3:39" x14ac:dyDescent="0.15">
      <c r="C304">
        <v>16545</v>
      </c>
      <c r="D304">
        <v>1</v>
      </c>
      <c r="K304" t="s">
        <v>132</v>
      </c>
      <c r="L304" t="s">
        <v>2120</v>
      </c>
      <c r="AD304" t="s">
        <v>2380</v>
      </c>
      <c r="AE304">
        <v>11</v>
      </c>
      <c r="AF304" t="s">
        <v>2123</v>
      </c>
      <c r="AH304">
        <v>255</v>
      </c>
      <c r="AM304" t="str">
        <f t="shared" si="4"/>
        <v>{dwID=16545,nLevel=1,szNote="璇妗",col={179,238,58,},[1]={},[2]={},aCataclysmBuff={{szReminder="减 奶秀奇穴璇妗减伤",nPriority=11,col="#B3EE3AFF",nColAlpha=255,},},},</v>
      </c>
    </row>
    <row r="305" spans="3:39" x14ac:dyDescent="0.15">
      <c r="C305">
        <v>775</v>
      </c>
      <c r="D305">
        <v>1</v>
      </c>
      <c r="K305" t="s">
        <v>133</v>
      </c>
      <c r="L305" t="s">
        <v>2120</v>
      </c>
      <c r="AD305" t="s">
        <v>2381</v>
      </c>
      <c r="AE305">
        <v>11</v>
      </c>
      <c r="AF305" t="s">
        <v>2123</v>
      </c>
      <c r="AH305">
        <v>255</v>
      </c>
      <c r="AM305" t="str">
        <f t="shared" si="4"/>
        <v>{dwID=775,nLevel=1,szNote="灵犀",col={179,238,58,},[1]={},[2]={},aCataclysmBuff={{szReminder="减 运功不被打退",nPriority=11,col="#B3EE3AFF",nColAlpha=255,},},},</v>
      </c>
    </row>
    <row r="306" spans="3:39" x14ac:dyDescent="0.15">
      <c r="C306">
        <v>11272</v>
      </c>
      <c r="D306">
        <v>1</v>
      </c>
      <c r="K306" t="s">
        <v>134</v>
      </c>
      <c r="L306" t="s">
        <v>2120</v>
      </c>
      <c r="AD306" t="s">
        <v>2382</v>
      </c>
      <c r="AE306">
        <v>11</v>
      </c>
      <c r="AF306" t="s">
        <v>2123</v>
      </c>
      <c r="AH306">
        <v>255</v>
      </c>
      <c r="AM306" t="str">
        <f t="shared" si="4"/>
        <v>{dwID=11272,nLevel=1,szNote="初熟",col={179,238,58,},[1]={},[2]={},aCataclysmBuff={{szReminder="减 天地低昂额外10%减伤",nPriority=11,col="#B3EE3AFF",nColAlpha=255,},},},</v>
      </c>
    </row>
    <row r="307" spans="3:39" x14ac:dyDescent="0.15">
      <c r="C307">
        <v>684</v>
      </c>
      <c r="D307">
        <v>1</v>
      </c>
      <c r="K307" t="s">
        <v>37</v>
      </c>
      <c r="L307" t="s">
        <v>2120</v>
      </c>
      <c r="R307">
        <v>1</v>
      </c>
      <c r="AD307" t="s">
        <v>2233</v>
      </c>
      <c r="AE307">
        <v>11</v>
      </c>
      <c r="AF307" t="s">
        <v>2123</v>
      </c>
      <c r="AG307" t="s">
        <v>2130</v>
      </c>
      <c r="AH307">
        <v>255</v>
      </c>
      <c r="AK307">
        <v>1</v>
      </c>
      <c r="AM307" t="str">
        <f t="shared" si="4"/>
        <v>{dwID=684,nLevel=1,szNote="天地低昂",col={179,238,58,},[1]={bScreenHead=true,},[2]={},aCataclysmBuff={{szReminder="减 技能天地风袖减伤",nPriority=11,col="#B3EE3AFF",colScreenHead="#B3EE3A",nColAlpha=255,bScreenHead=true,},},},</v>
      </c>
    </row>
    <row r="308" spans="3:39" x14ac:dyDescent="0.15">
      <c r="C308">
        <v>9775</v>
      </c>
      <c r="D308">
        <v>1</v>
      </c>
      <c r="K308" t="s">
        <v>37</v>
      </c>
      <c r="L308" t="s">
        <v>2120</v>
      </c>
      <c r="R308">
        <v>1</v>
      </c>
      <c r="AD308" t="s">
        <v>2233</v>
      </c>
      <c r="AE308">
        <v>11</v>
      </c>
      <c r="AF308" t="s">
        <v>2123</v>
      </c>
      <c r="AG308" t="s">
        <v>2130</v>
      </c>
      <c r="AH308">
        <v>255</v>
      </c>
      <c r="AK308">
        <v>1</v>
      </c>
      <c r="AM308" t="str">
        <f t="shared" si="4"/>
        <v>{dwID=9775,nLevel=1,szNote="天地低昂",col={179,238,58,},[1]={bScreenHead=true,},[2]={},aCataclysmBuff={{szReminder="减 技能天地风袖减伤",nPriority=11,col="#B3EE3AFF",colScreenHead="#B3EE3A",nColAlpha=255,bScreenHead=true,},},},</v>
      </c>
    </row>
    <row r="309" spans="3:39" x14ac:dyDescent="0.15">
      <c r="C309">
        <v>9781</v>
      </c>
      <c r="D309">
        <v>1</v>
      </c>
      <c r="K309" t="s">
        <v>37</v>
      </c>
      <c r="L309" t="s">
        <v>2120</v>
      </c>
      <c r="R309">
        <v>1</v>
      </c>
      <c r="AD309" t="s">
        <v>2233</v>
      </c>
      <c r="AE309">
        <v>11</v>
      </c>
      <c r="AF309" t="s">
        <v>2123</v>
      </c>
      <c r="AG309" t="s">
        <v>2130</v>
      </c>
      <c r="AH309">
        <v>255</v>
      </c>
      <c r="AK309">
        <v>1</v>
      </c>
      <c r="AM309" t="str">
        <f t="shared" si="4"/>
        <v>{dwID=9781,nLevel=1,szNote="天地低昂",col={179,238,58,},[1]={bScreenHead=true,},[2]={},aCataclysmBuff={{szReminder="减 技能天地风袖减伤",nPriority=11,col="#B3EE3AFF",colScreenHead="#B3EE3A",nColAlpha=255,bScreenHead=true,},},},</v>
      </c>
    </row>
    <row r="310" spans="3:39" x14ac:dyDescent="0.15">
      <c r="C310">
        <v>9782</v>
      </c>
      <c r="D310">
        <v>1</v>
      </c>
      <c r="K310" t="s">
        <v>37</v>
      </c>
      <c r="L310" t="s">
        <v>2120</v>
      </c>
      <c r="R310">
        <v>1</v>
      </c>
      <c r="AD310" t="s">
        <v>2233</v>
      </c>
      <c r="AE310">
        <v>11</v>
      </c>
      <c r="AF310" t="s">
        <v>2123</v>
      </c>
      <c r="AG310" t="s">
        <v>2130</v>
      </c>
      <c r="AH310">
        <v>255</v>
      </c>
      <c r="AK310">
        <v>1</v>
      </c>
      <c r="AM310" t="str">
        <f t="shared" si="4"/>
        <v>{dwID=9782,nLevel=1,szNote="天地低昂",col={179,238,58,},[1]={bScreenHead=true,},[2]={},aCataclysmBuff={{szReminder="减 技能天地风袖减伤",nPriority=11,col="#B3EE3AFF",colScreenHead="#B3EE3A",nColAlpha=255,bScreenHead=true,},},},</v>
      </c>
    </row>
    <row r="311" spans="3:39" x14ac:dyDescent="0.15">
      <c r="C311">
        <v>25113</v>
      </c>
      <c r="D311">
        <v>1</v>
      </c>
      <c r="K311" t="s">
        <v>37</v>
      </c>
      <c r="L311" t="s">
        <v>2120</v>
      </c>
      <c r="R311">
        <v>1</v>
      </c>
      <c r="AD311" t="s">
        <v>2233</v>
      </c>
      <c r="AE311">
        <v>11</v>
      </c>
      <c r="AF311" t="s">
        <v>2123</v>
      </c>
      <c r="AG311" t="s">
        <v>2130</v>
      </c>
      <c r="AH311">
        <v>255</v>
      </c>
      <c r="AK311">
        <v>1</v>
      </c>
      <c r="AM311" t="str">
        <f t="shared" si="4"/>
        <v>{dwID=25113,nLevel=1,szNote="天地低昂",col={179,238,58,},[1]={bScreenHead=true,},[2]={},aCataclysmBuff={{szReminder="减 技能天地风袖减伤",nPriority=11,col="#B3EE3AFF",colScreenHead="#B3EE3A",nColAlpha=255,bScreenHead=true,},},},</v>
      </c>
    </row>
    <row r="312" spans="3:39" x14ac:dyDescent="0.15">
      <c r="C312">
        <v>10617</v>
      </c>
      <c r="D312">
        <v>1</v>
      </c>
      <c r="K312" t="s">
        <v>38</v>
      </c>
      <c r="L312" t="s">
        <v>2120</v>
      </c>
      <c r="R312">
        <v>1</v>
      </c>
      <c r="AD312" t="s">
        <v>2234</v>
      </c>
      <c r="AE312">
        <v>11</v>
      </c>
      <c r="AF312" t="s">
        <v>2123</v>
      </c>
      <c r="AG312" t="s">
        <v>2130</v>
      </c>
      <c r="AH312">
        <v>255</v>
      </c>
      <c r="AK312">
        <v>1</v>
      </c>
      <c r="AM312" t="str">
        <f t="shared" si="4"/>
        <v>{dwID=10617,nLevel=1,szNote="雾雨",col={179,238,58,},[1]={bScreenHead=true,},[2]={},aCataclysmBuff={{szReminder="闪 雾雨闪避",nPriority=11,col="#B3EE3AFF",colScreenHead="#B3EE3A",nColAlpha=255,bScreenHead=true,},},},</v>
      </c>
    </row>
    <row r="313" spans="3:39" x14ac:dyDescent="0.15">
      <c r="C313">
        <v>10618</v>
      </c>
      <c r="D313">
        <v>1</v>
      </c>
      <c r="K313" t="s">
        <v>38</v>
      </c>
      <c r="L313" t="s">
        <v>2120</v>
      </c>
      <c r="R313">
        <v>1</v>
      </c>
      <c r="AD313" t="s">
        <v>2235</v>
      </c>
      <c r="AE313">
        <v>11</v>
      </c>
      <c r="AF313" t="s">
        <v>2123</v>
      </c>
      <c r="AG313" t="s">
        <v>2130</v>
      </c>
      <c r="AH313">
        <v>255</v>
      </c>
      <c r="AK313">
        <v>1</v>
      </c>
      <c r="AM313" t="str">
        <f t="shared" si="4"/>
        <v>{dwID=10618,nLevel=1,szNote="雾雨",col={179,238,58,},[1]={bScreenHead=true,},[2]={},aCataclysmBuff={{szReminder="繁 技能繁音免封闪避",nPriority=11,col="#B3EE3AFF",colScreenHead="#B3EE3A",nColAlpha=255,bScreenHead=true,},},},</v>
      </c>
    </row>
    <row r="314" spans="3:39" x14ac:dyDescent="0.15">
      <c r="C314">
        <v>10619</v>
      </c>
      <c r="D314">
        <v>1</v>
      </c>
      <c r="K314" t="s">
        <v>38</v>
      </c>
      <c r="L314" t="s">
        <v>2120</v>
      </c>
      <c r="R314">
        <v>1</v>
      </c>
      <c r="AD314" t="s">
        <v>2236</v>
      </c>
      <c r="AE314">
        <v>11</v>
      </c>
      <c r="AF314" t="s">
        <v>2123</v>
      </c>
      <c r="AG314" t="s">
        <v>2130</v>
      </c>
      <c r="AH314">
        <v>255</v>
      </c>
      <c r="AK314">
        <v>1</v>
      </c>
      <c r="AM314" t="str">
        <f t="shared" si="4"/>
        <v>{dwID=10619,nLevel=1,szNote="雾雨",col={179,238,58,},[1]={bScreenHead=true,},[2]={},aCataclysmBuff={{szReminder="闪 雾雨闪避提高100%",nPriority=11,col="#B3EE3AFF",colScreenHead="#B3EE3A",nColAlpha=255,bScreenHead=true,},},},</v>
      </c>
    </row>
    <row r="315" spans="3:39" x14ac:dyDescent="0.15">
      <c r="C315">
        <v>6174</v>
      </c>
      <c r="D315">
        <v>1</v>
      </c>
      <c r="K315" t="s">
        <v>39</v>
      </c>
      <c r="L315" t="s">
        <v>2120</v>
      </c>
      <c r="R315">
        <v>1</v>
      </c>
      <c r="AD315" t="s">
        <v>2237</v>
      </c>
      <c r="AE315">
        <v>11</v>
      </c>
      <c r="AF315" t="s">
        <v>2123</v>
      </c>
      <c r="AG315" t="s">
        <v>2130</v>
      </c>
      <c r="AH315">
        <v>255</v>
      </c>
      <c r="AK315">
        <v>1</v>
      </c>
      <c r="AM315" t="str">
        <f t="shared" si="4"/>
        <v>{dwID=6174,nLevel=1,szNote="两生",col={179,238,58,},[1]={bScreenHead=true,},[2]={},aCataclysmBuff={{szReminder="闪 奇穴两生闪避",nPriority=11,col="#B3EE3AFF",colScreenHead="#B3EE3A",nColAlpha=255,bScreenHead=true,},},},</v>
      </c>
    </row>
    <row r="316" spans="3:39" x14ac:dyDescent="0.15">
      <c r="C316">
        <v>12361</v>
      </c>
      <c r="D316">
        <v>1</v>
      </c>
      <c r="K316" t="s">
        <v>40</v>
      </c>
      <c r="L316" t="s">
        <v>2120</v>
      </c>
      <c r="R316">
        <v>1</v>
      </c>
      <c r="AD316" t="s">
        <v>2238</v>
      </c>
      <c r="AE316">
        <v>11</v>
      </c>
      <c r="AF316" t="s">
        <v>2123</v>
      </c>
      <c r="AG316" t="s">
        <v>2130</v>
      </c>
      <c r="AH316">
        <v>255</v>
      </c>
      <c r="AK316">
        <v>1</v>
      </c>
      <c r="AM316" t="str">
        <f t="shared" si="4"/>
        <v>{dwID=12361,nLevel=1,szNote="棠梨",col={179,238,58,},[1]={bScreenHead=true,},[2]={},aCataclysmBuff={{szReminder="摊 奶秀技能王母平摊",nPriority=11,col="#B3EE3AFF",colScreenHead="#B3EE3A",nColAlpha=255,bScreenHead=true,},},},</v>
      </c>
    </row>
    <row r="317" spans="3:39" x14ac:dyDescent="0.15">
      <c r="C317">
        <v>2805</v>
      </c>
      <c r="D317">
        <v>1</v>
      </c>
      <c r="K317" t="s">
        <v>135</v>
      </c>
      <c r="L317" t="s">
        <v>2120</v>
      </c>
      <c r="AD317" t="s">
        <v>2383</v>
      </c>
      <c r="AE317">
        <v>11</v>
      </c>
      <c r="AF317" t="s">
        <v>2123</v>
      </c>
      <c r="AH317">
        <v>255</v>
      </c>
      <c r="AM317" t="str">
        <f t="shared" si="4"/>
        <v>{dwID=2805,nLevel=1,szNote="玉骨",col={179,238,58,},[1]={},[2]={},aCataclysmBuff={{szReminder="减 奇穴玉骨内减",nPriority=11,col="#B3EE3AFF",nColAlpha=255,},},},</v>
      </c>
    </row>
    <row r="318" spans="3:39" x14ac:dyDescent="0.15">
      <c r="C318">
        <v>677</v>
      </c>
      <c r="D318">
        <v>1</v>
      </c>
      <c r="K318" t="s">
        <v>41</v>
      </c>
      <c r="L318" t="s">
        <v>2120</v>
      </c>
      <c r="R318">
        <v>1</v>
      </c>
      <c r="AD318" t="s">
        <v>2239</v>
      </c>
      <c r="AE318">
        <v>11</v>
      </c>
      <c r="AF318" t="s">
        <v>2123</v>
      </c>
      <c r="AG318" t="s">
        <v>2130</v>
      </c>
      <c r="AH318">
        <v>255</v>
      </c>
      <c r="AK318">
        <v>1</v>
      </c>
      <c r="AM318" t="str">
        <f t="shared" si="4"/>
        <v>{dwID=677,nLevel=1,szNote="鹊踏枝",col={179,238,58,},[1]={bScreenHead=true,},[2]={},aCataclysmBuff={{szReminder="闪 技能鹊踏闪避",nPriority=11,col="#B3EE3AFF",colScreenHead="#B3EE3A",nColAlpha=255,bScreenHead=true,},},},</v>
      </c>
    </row>
    <row r="319" spans="3:39" x14ac:dyDescent="0.15">
      <c r="C319">
        <v>12286</v>
      </c>
      <c r="D319">
        <v>1</v>
      </c>
      <c r="K319" t="s">
        <v>136</v>
      </c>
      <c r="L319" t="s">
        <v>2120</v>
      </c>
      <c r="AD319" t="s">
        <v>2384</v>
      </c>
      <c r="AE319">
        <v>11</v>
      </c>
      <c r="AF319" t="s">
        <v>2123</v>
      </c>
      <c r="AH319">
        <v>255</v>
      </c>
      <c r="AM319" t="str">
        <f t="shared" si="4"/>
        <v>{dwID=12286,nLevel=1,szNote="左旋右转",col={179,238,58,},[1]={},[2]={},aCataclysmBuff={{szReminder="减 奶秀奇穴左旋右转减伤",nPriority=11,col="#B3EE3AFF",nColAlpha=255,},},},</v>
      </c>
    </row>
    <row r="320" spans="3:39" x14ac:dyDescent="0.15">
      <c r="C320">
        <v>22875</v>
      </c>
      <c r="D320">
        <v>1</v>
      </c>
      <c r="K320" t="s">
        <v>137</v>
      </c>
      <c r="L320" t="s">
        <v>2120</v>
      </c>
      <c r="AD320" t="s">
        <v>2385</v>
      </c>
      <c r="AE320">
        <v>11</v>
      </c>
      <c r="AF320" t="s">
        <v>2123</v>
      </c>
      <c r="AH320">
        <v>255</v>
      </c>
      <c r="AM320" t="str">
        <f t="shared" si="4"/>
        <v>{dwID=22875,nLevel=1,szNote="低昂",col={179,238,58,},[1]={},[2]={},aCataclysmBuff={{szReminder="盾 奶秀奇穴舞霁化解",nPriority=11,col="#B3EE3AFF",nColAlpha=255,},},},</v>
      </c>
    </row>
    <row r="321" spans="3:39" x14ac:dyDescent="0.15">
      <c r="C321">
        <v>21115</v>
      </c>
      <c r="D321">
        <v>1</v>
      </c>
      <c r="K321" t="s">
        <v>138</v>
      </c>
      <c r="L321" t="s">
        <v>2120</v>
      </c>
      <c r="AB321">
        <v>1</v>
      </c>
      <c r="AD321" t="s">
        <v>2386</v>
      </c>
      <c r="AE321">
        <v>11</v>
      </c>
      <c r="AF321" t="s">
        <v>2123</v>
      </c>
      <c r="AH321">
        <v>255</v>
      </c>
      <c r="AM321" t="str">
        <f t="shared" si="4"/>
        <v>{dwID=21115,nLevel=1,szNote="留风",col={179,238,58,},[1]={},[2]={},aCataclysmBuff={{bOnlyMine=true,szReminder="红 奶秀奇穴红绡倩风治疗免持续",nPriority=11,col="#B3EE3AFF",nColAlpha=255,},},},</v>
      </c>
    </row>
    <row r="322" spans="3:39" x14ac:dyDescent="0.15">
      <c r="C322">
        <v>27094</v>
      </c>
      <c r="D322">
        <v>1</v>
      </c>
      <c r="K322" t="s">
        <v>2387</v>
      </c>
      <c r="L322" t="s">
        <v>2120</v>
      </c>
      <c r="AD322" t="s">
        <v>2388</v>
      </c>
      <c r="AE322">
        <v>11</v>
      </c>
      <c r="AF322" t="s">
        <v>2123</v>
      </c>
      <c r="AH322">
        <v>255</v>
      </c>
      <c r="AM322" t="str">
        <f t="shared" ref="AM322:AM385" si="5">IF(B322&lt;&gt;"",IF(IFERROR(VALUE(C321),0)&lt;=0,"["&amp;B322&amp;"]={","},["&amp;B322&amp;"]={"),IF(C322&gt;0,"{dwID="&amp;C322&amp;","&amp;"nLevel="&amp;D322&amp;","&amp;IF(E322&gt;0,"nCount="&amp;E322&amp;",","")&amp;IF(F322&gt;0,"nIcon="&amp;F322&amp;",","")&amp;IF(G322&lt;&gt;"","szName="""&amp;G322&amp;""",","")&amp;IF(H322&gt;0,"bCheckLevel=true,","")&amp;IF(I322&gt;0,"nScrutinyType="&amp;I322&amp;",","")&amp;IF(J322&lt;&gt;"","tKungFu={"&amp;J322&amp;"},","")&amp;IF(K322&lt;&gt;"","szNote="""&amp;K322&amp;""",","")&amp;IF(L322&lt;&gt;"","col={"&amp;L322&amp;"},","")&amp;"[1]={"&amp;IF(M322&lt;&gt;"","tMark={"&amp;M322&amp;"},","")&amp;IF(N322&lt;&gt;"","szVoice="""&amp;N322&amp;""",","")&amp;IF(O322&gt;0,"bCheckLevel=true,","")&amp;IF(P322&gt;0,"bWhisperChannel=true,","")&amp;IF(Q322&gt;0,"bCenterAlarm=true,","")&amp;IF(R322&gt;0,"bScreenHead=true,","")&amp;IF(S322&gt;0,"bPartyBuffList=true,","")&amp;IF(T322&gt;0,"bBuffList=true,","")&amp;IF(U322&gt;0,"bTeamPanel=true,","")&amp;IF(V322&gt;0,"bOnlySelfSrc=true,","")&amp;"},"&amp;"[2]={"&amp;IF(W322&gt;0,"bCheckLevel=true,","")&amp;IF(X322&gt;0,"bWhisperChannel=true,","")&amp;IF(Y322&gt;0,"bCenterAlarm=true,","")&amp;"},"&amp;IF(OR(Z322&gt;0,AD322&lt;&gt;"",AE322&gt;0,AF322&lt;&gt;"",AG322&lt;&gt;"",AH322&gt;0,AI322&gt;0,AJ322&gt;0,AK322&gt;0),"aCataclysmBuff={{"&amp;IF(Z322&gt;0,"nStackNum="&amp;Z322&amp;",","")&amp;IF(AA322&lt;&gt;"","szStackOp="""&amp;AA322&amp;""",","")&amp;IF(AB322&gt;0,"bOnlyMine=true,","")&amp;IF(AC322&gt;0,"bOnlyMe=true,","")&amp;IF(AD322&lt;&gt;"","szReminder="""&amp;AD322&amp;""",","")&amp;IF(AE322&gt;0,"nPriority="&amp;AE322&amp;",","")&amp;IF(AF322&lt;&gt;"","col="""&amp;AF322&amp;""",","")&amp;IF(AG322&lt;&gt;"","colScreenHead="""&amp;AG322&amp;""",","")&amp;IF(AH322&gt;0,"nColAlpha="&amp;AH322&amp;",","")&amp;IF(AI322&gt;0,"bAttention=true,","")&amp;IF(AJ322&gt;0,"bCaution=true,","")&amp;IF(AK322&gt;0,"bScreenHead=true,","")&amp;"},"&amp;AL322&amp;"},","")&amp;IF(AN322&lt;&gt;"","tCountdown={"&amp;_xlfn.TEXTJOIN("",TRUE,AN322:ZY322)&amp;"},","")&amp;"},",IF(C321&gt;0,"},","")&amp;IF(AND(B322="",C322="",OR(B321&lt;&gt;"",C321&lt;&gt;"")),"},}","")))</f>
        <v>{dwID=27094,nLevel=1,szNote="云洗",col={179,238,58,},[1]={},[2]={},aCataclysmBuff={{szReminder="云 奶秀奇穴云洗闪避",nPriority=11,col="#B3EE3AFF",nColAlpha=255,},},},</v>
      </c>
    </row>
    <row r="323" spans="3:39" x14ac:dyDescent="0.15">
      <c r="C323">
        <v>9855</v>
      </c>
      <c r="D323">
        <v>1</v>
      </c>
      <c r="K323" t="s">
        <v>42</v>
      </c>
      <c r="L323" t="s">
        <v>2120</v>
      </c>
      <c r="R323">
        <v>1</v>
      </c>
      <c r="AD323" t="s">
        <v>2240</v>
      </c>
      <c r="AE323">
        <v>10</v>
      </c>
      <c r="AF323" t="s">
        <v>2123</v>
      </c>
      <c r="AG323" t="s">
        <v>2130</v>
      </c>
      <c r="AH323">
        <v>255</v>
      </c>
      <c r="AK323">
        <v>1</v>
      </c>
      <c r="AM323" t="str">
        <f t="shared" si="5"/>
        <v>{dwID=9855,nLevel=1,szNote="音韵",col={179,238,58,},[1]={bScreenHead=true,},[2]={},aCataclysmBuff={{szReminder="免 蝶弄足3秒免控（被拉除外）",nPriority=10,col="#B3EE3AFF",colScreenHead="#B3EE3A",nColAlpha=255,bScreenHead=true,},},},</v>
      </c>
    </row>
    <row r="324" spans="3:39" x14ac:dyDescent="0.15">
      <c r="C324">
        <v>14515</v>
      </c>
      <c r="D324">
        <v>1</v>
      </c>
      <c r="K324" t="s">
        <v>43</v>
      </c>
      <c r="L324" t="s">
        <v>2120</v>
      </c>
      <c r="R324">
        <v>1</v>
      </c>
      <c r="AD324" t="s">
        <v>2241</v>
      </c>
      <c r="AE324">
        <v>10</v>
      </c>
      <c r="AF324" t="s">
        <v>2123</v>
      </c>
      <c r="AG324" t="s">
        <v>2130</v>
      </c>
      <c r="AH324">
        <v>255</v>
      </c>
      <c r="AK324">
        <v>1</v>
      </c>
      <c r="AM324" t="str">
        <f t="shared" si="5"/>
        <v>{dwID=14515,nLevel=1,szNote="飞竹",col={179,238,58,},[1]={bScreenHead=true,},[2]={},aCataclysmBuff={{szReminder="免 免控（击退和被拉除外）免伤+20%",nPriority=10,col="#B3EE3AFF",colScreenHead="#B3EE3A",nColAlpha=255,bScreenHead=true,},},},</v>
      </c>
    </row>
    <row r="325" spans="3:39" x14ac:dyDescent="0.15">
      <c r="C325">
        <v>70011</v>
      </c>
      <c r="D325">
        <v>1</v>
      </c>
      <c r="K325" t="s">
        <v>2242</v>
      </c>
      <c r="L325" t="s">
        <v>2120</v>
      </c>
      <c r="R325">
        <v>1</v>
      </c>
      <c r="AD325" t="s">
        <v>2233</v>
      </c>
      <c r="AE325">
        <v>11</v>
      </c>
      <c r="AF325" t="s">
        <v>2123</v>
      </c>
      <c r="AG325" t="s">
        <v>2130</v>
      </c>
      <c r="AH325">
        <v>255</v>
      </c>
      <c r="AK325">
        <v>1</v>
      </c>
      <c r="AM325" t="str">
        <f t="shared" si="5"/>
        <v>{dwID=70011,nLevel=1,szNote="天地低昂·悟",col={179,238,58,},[1]={bScreenHead=true,},[2]={},aCataclysmBuff={{szReminder="减 技能天地风袖减伤",nPriority=11,col="#B3EE3AFF",colScreenHead="#B3EE3A",nColAlpha=255,bScreenHead=true,},},},</v>
      </c>
    </row>
    <row r="326" spans="3:39" x14ac:dyDescent="0.15">
      <c r="C326">
        <v>9835</v>
      </c>
      <c r="D326">
        <v>1</v>
      </c>
      <c r="K326" t="s">
        <v>44</v>
      </c>
      <c r="L326" t="s">
        <v>2115</v>
      </c>
      <c r="R326">
        <v>1</v>
      </c>
      <c r="AD326" t="s">
        <v>2243</v>
      </c>
      <c r="AE326">
        <v>2</v>
      </c>
      <c r="AF326" t="s">
        <v>2117</v>
      </c>
      <c r="AG326" t="s">
        <v>2132</v>
      </c>
      <c r="AH326">
        <v>255</v>
      </c>
      <c r="AK326">
        <v>1</v>
      </c>
      <c r="AM326" t="str">
        <f t="shared" si="5"/>
        <v>{dwID=9835,nLevel=1,szNote="独觉",col={255,204,0,},[1]={bScreenHead=true,},[2]={},aCataclysmBuff={{szReminder="独 奇穴独觉外功无敌",nPriority=2,col="#FFCC00FF",colScreenHead="#FFCC00",nColAlpha=255,bScreenHead=true,},},},</v>
      </c>
    </row>
    <row r="327" spans="3:39" x14ac:dyDescent="0.15">
      <c r="C327">
        <v>856</v>
      </c>
      <c r="D327">
        <v>1</v>
      </c>
      <c r="K327" t="s">
        <v>45</v>
      </c>
      <c r="L327" t="s">
        <v>2115</v>
      </c>
      <c r="R327">
        <v>1</v>
      </c>
      <c r="AD327" t="s">
        <v>2244</v>
      </c>
      <c r="AE327">
        <v>2</v>
      </c>
      <c r="AF327" t="s">
        <v>2117</v>
      </c>
      <c r="AG327" t="s">
        <v>2132</v>
      </c>
      <c r="AH327">
        <v>255</v>
      </c>
      <c r="AK327">
        <v>1</v>
      </c>
      <c r="AM327" t="str">
        <f t="shared" si="5"/>
        <v>{dwID=856,nLevel=1,szNote="健骨",col={255,204,0,},[1]={bScreenHead=true,},[2]={},aCataclysmBuff={{szReminder="锻 技能锻骨内功无敌",nPriority=2,col="#FFCC00FF",colScreenHead="#FFCC00",nColAlpha=255,bScreenHead=true,},},},</v>
      </c>
    </row>
    <row r="328" spans="3:39" x14ac:dyDescent="0.15">
      <c r="C328">
        <v>6213</v>
      </c>
      <c r="D328">
        <v>1</v>
      </c>
      <c r="K328" t="s">
        <v>46</v>
      </c>
      <c r="L328" t="s">
        <v>2115</v>
      </c>
      <c r="R328">
        <v>1</v>
      </c>
      <c r="AD328" t="s">
        <v>2245</v>
      </c>
      <c r="AE328">
        <v>2</v>
      </c>
      <c r="AF328" t="s">
        <v>2117</v>
      </c>
      <c r="AG328" t="s">
        <v>2132</v>
      </c>
      <c r="AH328">
        <v>255</v>
      </c>
      <c r="AK328">
        <v>1</v>
      </c>
      <c r="AM328" t="str">
        <f t="shared" si="5"/>
        <v>{dwID=6213,nLevel=1,szNote="不动",col={255,204,0,},[1]={bScreenHead=true,},[2]={},aCataclysmBuff={{szReminder="不 洗髓奇穴不动无敌",nPriority=2,col="#FFCC00FF",colScreenHead="#FFCC00",nColAlpha=255,bScreenHead=true,},},},</v>
      </c>
    </row>
    <row r="329" spans="3:39" x14ac:dyDescent="0.15">
      <c r="C329">
        <v>7119</v>
      </c>
      <c r="D329">
        <v>1</v>
      </c>
      <c r="K329" t="s">
        <v>47</v>
      </c>
      <c r="L329" t="s">
        <v>2120</v>
      </c>
      <c r="R329">
        <v>1</v>
      </c>
      <c r="AD329" t="s">
        <v>2246</v>
      </c>
      <c r="AE329">
        <v>11</v>
      </c>
      <c r="AF329" t="s">
        <v>2123</v>
      </c>
      <c r="AG329" t="s">
        <v>2130</v>
      </c>
      <c r="AH329">
        <v>255</v>
      </c>
      <c r="AI329">
        <v>1</v>
      </c>
      <c r="AK329">
        <v>1</v>
      </c>
      <c r="AM329" t="str">
        <f t="shared" si="5"/>
        <v>{dwID=7119,nLevel=1,szNote="轮回",col={179,238,58,},[1]={bScreenHead=true,},[2]={},aCataclysmBuff={{szReminder="减 奇穴轮回减伤",nPriority=11,col="#B3EE3AFF",colScreenHead="#B3EE3A",nColAlpha=255,bAttention=true,bScreenHead=true,},},},</v>
      </c>
    </row>
    <row r="330" spans="3:39" x14ac:dyDescent="0.15">
      <c r="C330">
        <v>10208</v>
      </c>
      <c r="D330">
        <v>1</v>
      </c>
      <c r="K330" t="s">
        <v>48</v>
      </c>
      <c r="L330" t="s">
        <v>2115</v>
      </c>
      <c r="R330">
        <v>1</v>
      </c>
      <c r="AD330" t="s">
        <v>2247</v>
      </c>
      <c r="AE330">
        <v>2</v>
      </c>
      <c r="AF330" t="s">
        <v>2117</v>
      </c>
      <c r="AG330" t="s">
        <v>2132</v>
      </c>
      <c r="AH330">
        <v>255</v>
      </c>
      <c r="AK330">
        <v>1</v>
      </c>
      <c r="AM330" t="str">
        <f t="shared" si="5"/>
        <v>{dwID=10208,nLevel=1,szNote="弘法",col={255,204,0,},[1]={bScreenHead=true,},[2]={},aCataclysmBuff={{szReminder="弘 洗髓奇穴受到弘法",nPriority=2,col="#FFCC00FF",colScreenHead="#FFCC00",nColAlpha=255,bScreenHead=true,},},},</v>
      </c>
    </row>
    <row r="331" spans="3:39" x14ac:dyDescent="0.15">
      <c r="C331">
        <v>9830</v>
      </c>
      <c r="D331">
        <v>1</v>
      </c>
      <c r="K331" t="s">
        <v>49</v>
      </c>
      <c r="L331" t="s">
        <v>2115</v>
      </c>
      <c r="R331">
        <v>1</v>
      </c>
      <c r="AD331" t="s">
        <v>2248</v>
      </c>
      <c r="AE331">
        <v>2</v>
      </c>
      <c r="AF331" t="s">
        <v>2117</v>
      </c>
      <c r="AG331" t="s">
        <v>2132</v>
      </c>
      <c r="AH331">
        <v>255</v>
      </c>
      <c r="AK331">
        <v>1</v>
      </c>
      <c r="AM331" t="str">
        <f t="shared" si="5"/>
        <v>{dwID=9830,nLevel=1,szNote="舍生",col={255,204,0,},[1]={bScreenHead=true,},[2]={},aCataclysmBuff={{szReminder="狮 奇穴受到狮啸",nPriority=2,col="#FFCC00FF",colScreenHead="#FFCC00",nColAlpha=255,bScreenHead=true,},},},</v>
      </c>
    </row>
    <row r="332" spans="3:39" x14ac:dyDescent="0.15">
      <c r="C332">
        <v>399</v>
      </c>
      <c r="D332">
        <v>1</v>
      </c>
      <c r="K332" t="s">
        <v>139</v>
      </c>
      <c r="L332" t="s">
        <v>2120</v>
      </c>
      <c r="AD332" t="s">
        <v>2389</v>
      </c>
      <c r="AE332">
        <v>11</v>
      </c>
      <c r="AF332" t="s">
        <v>2123</v>
      </c>
      <c r="AH332">
        <v>255</v>
      </c>
      <c r="AM332" t="str">
        <f t="shared" si="5"/>
        <v>{dwID=399,nLevel=1,szNote="无相诀",col={179,238,58,},[1]={},[2]={},aCataclysmBuff={{szReminder="相 技能无相减伤或反弹",nPriority=11,col="#B3EE3AFF",nColAlpha=255,},},},</v>
      </c>
    </row>
    <row r="333" spans="3:39" x14ac:dyDescent="0.15">
      <c r="C333">
        <v>9803</v>
      </c>
      <c r="D333">
        <v>1</v>
      </c>
      <c r="K333" t="s">
        <v>139</v>
      </c>
      <c r="L333" t="s">
        <v>2120</v>
      </c>
      <c r="AD333" t="s">
        <v>2390</v>
      </c>
      <c r="AE333">
        <v>11</v>
      </c>
      <c r="AF333" t="s">
        <v>2123</v>
      </c>
      <c r="AH333">
        <v>255</v>
      </c>
      <c r="AM333" t="str">
        <f t="shared" si="5"/>
        <v>{dwID=9803,nLevel=1,szNote="无相诀",col={179,238,58,},[1]={},[2]={},aCataclysmBuff={{szReminder="相 技能无相减伤加强",nPriority=11,col="#B3EE3AFF",nColAlpha=255,},},},</v>
      </c>
    </row>
    <row r="334" spans="3:39" x14ac:dyDescent="0.15">
      <c r="C334">
        <v>10486</v>
      </c>
      <c r="D334">
        <v>1</v>
      </c>
      <c r="K334" t="s">
        <v>139</v>
      </c>
      <c r="L334" t="s">
        <v>2120</v>
      </c>
      <c r="AD334" t="s">
        <v>2391</v>
      </c>
      <c r="AE334">
        <v>11</v>
      </c>
      <c r="AF334" t="s">
        <v>2123</v>
      </c>
      <c r="AH334">
        <v>255</v>
      </c>
      <c r="AM334" t="str">
        <f t="shared" si="5"/>
        <v>{dwID=10486,nLevel=1,szNote="无相诀",col={179,238,58,},[1]={},[2]={},aCataclysmBuff={{szReminder="相 技能无相反弹",nPriority=11,col="#B3EE3AFF",nColAlpha=255,},},},</v>
      </c>
    </row>
    <row r="335" spans="3:39" x14ac:dyDescent="0.15">
      <c r="C335">
        <v>10493</v>
      </c>
      <c r="D335">
        <v>1</v>
      </c>
      <c r="K335" t="s">
        <v>139</v>
      </c>
      <c r="L335" t="s">
        <v>2120</v>
      </c>
      <c r="AD335" t="s">
        <v>2392</v>
      </c>
      <c r="AE335">
        <v>11</v>
      </c>
      <c r="AF335" t="s">
        <v>2123</v>
      </c>
      <c r="AH335">
        <v>255</v>
      </c>
      <c r="AM335" t="str">
        <f t="shared" si="5"/>
        <v>{dwID=10493,nLevel=1,szNote="无相诀",col={179,238,58,},[1]={},[2]={},aCataclysmBuff={{szReminder="相 技能带秘籍无相减伤或反弹",nPriority=11,col="#B3EE3AFF",nColAlpha=255,},},},</v>
      </c>
    </row>
    <row r="336" spans="3:39" x14ac:dyDescent="0.15">
      <c r="C336">
        <v>13044</v>
      </c>
      <c r="D336">
        <v>1</v>
      </c>
      <c r="K336" t="s">
        <v>139</v>
      </c>
      <c r="L336" t="s">
        <v>2120</v>
      </c>
      <c r="AD336" t="s">
        <v>2390</v>
      </c>
      <c r="AE336">
        <v>11</v>
      </c>
      <c r="AF336" t="s">
        <v>2123</v>
      </c>
      <c r="AH336">
        <v>255</v>
      </c>
      <c r="AM336" t="str">
        <f t="shared" si="5"/>
        <v>{dwID=13044,nLevel=1,szNote="无相诀",col={179,238,58,},[1]={},[2]={},aCataclysmBuff={{szReminder="相 技能无相减伤加强",nPriority=11,col="#B3EE3AFF",nColAlpha=255,},},},</v>
      </c>
    </row>
    <row r="337" spans="3:39" x14ac:dyDescent="0.15">
      <c r="C337">
        <v>15919</v>
      </c>
      <c r="D337">
        <v>1</v>
      </c>
      <c r="K337" t="s">
        <v>139</v>
      </c>
      <c r="L337" t="s">
        <v>2120</v>
      </c>
      <c r="AD337" t="s">
        <v>2393</v>
      </c>
      <c r="AE337">
        <v>11</v>
      </c>
      <c r="AF337" t="s">
        <v>2123</v>
      </c>
      <c r="AH337">
        <v>255</v>
      </c>
      <c r="AM337" t="str">
        <f t="shared" si="5"/>
        <v>{dwID=15919,nLevel=1,szNote="无相诀",col={179,238,58,},[1]={},[2]={},aCataclysmBuff={{szReminder="相 奇穴加强无相减伤",nPriority=11,col="#B3EE3AFF",nColAlpha=255,},},},</v>
      </c>
    </row>
    <row r="338" spans="3:39" x14ac:dyDescent="0.15">
      <c r="C338">
        <v>12488</v>
      </c>
      <c r="D338">
        <v>1</v>
      </c>
      <c r="K338" t="s">
        <v>50</v>
      </c>
      <c r="L338" t="s">
        <v>2133</v>
      </c>
      <c r="R338">
        <v>1</v>
      </c>
      <c r="AD338" t="s">
        <v>2249</v>
      </c>
      <c r="AE338">
        <v>11</v>
      </c>
      <c r="AF338" t="s">
        <v>2123</v>
      </c>
      <c r="AG338" t="s">
        <v>2136</v>
      </c>
      <c r="AH338">
        <v>255</v>
      </c>
      <c r="AK338">
        <v>1</v>
      </c>
      <c r="AM338" t="str">
        <f t="shared" si="5"/>
        <v>{dwID=12488,nLevel=1,szNote="狮啸",col={165,96,232,},[1]={bScreenHead=true,},[2]={},aCataclysmBuff={{szReminder="狮 奇穴狮啸血上限",nPriority=11,col="#B3EE3AFF",colScreenHead="#A560E8",nColAlpha=255,bScreenHead=true,},},},</v>
      </c>
    </row>
    <row r="339" spans="3:39" x14ac:dyDescent="0.15">
      <c r="C339">
        <v>14273</v>
      </c>
      <c r="D339">
        <v>1</v>
      </c>
      <c r="K339" t="s">
        <v>51</v>
      </c>
      <c r="L339" t="s">
        <v>2120</v>
      </c>
      <c r="R339">
        <v>1</v>
      </c>
      <c r="AD339" t="s">
        <v>2250</v>
      </c>
      <c r="AE339">
        <v>11</v>
      </c>
      <c r="AF339" t="s">
        <v>2123</v>
      </c>
      <c r="AG339" t="s">
        <v>2130</v>
      </c>
      <c r="AH339">
        <v>255</v>
      </c>
      <c r="AK339">
        <v>1</v>
      </c>
      <c r="AM339" t="str">
        <f t="shared" si="5"/>
        <v>{dwID=14273,nLevel=1,szNote="妙法",col={179,238,58,},[1]={bScreenHead=true,},[2]={},aCataclysmBuff={{szReminder="免 千斤坠免控击退和被拉除外",nPriority=11,col="#B3EE3AFF",colScreenHead="#B3EE3A",nColAlpha=255,bScreenHead=true,},},},</v>
      </c>
    </row>
    <row r="340" spans="3:39" x14ac:dyDescent="0.15">
      <c r="C340">
        <v>1186</v>
      </c>
      <c r="D340">
        <v>1</v>
      </c>
      <c r="K340" t="s">
        <v>15</v>
      </c>
      <c r="L340" t="s">
        <v>2120</v>
      </c>
      <c r="R340">
        <v>1</v>
      </c>
      <c r="AD340" t="s">
        <v>2251</v>
      </c>
      <c r="AE340">
        <v>2</v>
      </c>
      <c r="AF340" t="s">
        <v>2123</v>
      </c>
      <c r="AG340" t="s">
        <v>2130</v>
      </c>
      <c r="AH340">
        <v>255</v>
      </c>
      <c r="AK340">
        <v>1</v>
      </c>
      <c r="AM340" t="str">
        <f t="shared" si="5"/>
        <v>{dwID=1186,nLevel=1,szNote="折骨",col={179,238,58,},[1]={bScreenHead=true,},[2]={},aCataclysmBuff={{szReminder="免 锻骨决_易筋经不受控制及沉默",nPriority=2,col="#B3EE3AFF",colScreenHead="#B3EE3A",nColAlpha=255,bScreenHead=true,},},},</v>
      </c>
    </row>
    <row r="341" spans="3:39" x14ac:dyDescent="0.15">
      <c r="C341">
        <v>195</v>
      </c>
      <c r="D341">
        <v>1</v>
      </c>
      <c r="K341" t="s">
        <v>52</v>
      </c>
      <c r="L341" t="s">
        <v>2120</v>
      </c>
      <c r="R341">
        <v>1</v>
      </c>
      <c r="AD341" t="s">
        <v>2252</v>
      </c>
      <c r="AE341">
        <v>2</v>
      </c>
      <c r="AF341" t="s">
        <v>2123</v>
      </c>
      <c r="AG341" t="s">
        <v>2130</v>
      </c>
      <c r="AH341">
        <v>255</v>
      </c>
      <c r="AK341">
        <v>1</v>
      </c>
      <c r="AM341" t="str">
        <f t="shared" si="5"/>
        <v>{dwID=195,nLevel=1,szNote="千斤坠",col={179,238,58,},[1]={bScreenHead=true,},[2]={},aCataclysmBuff={{szReminder="蓄 千斤坠蓄力中落地时造成伤害",nPriority=2,col="#B3EE3AFF",colScreenHead="#B3EE3A",nColAlpha=255,bScreenHead=true,},},},</v>
      </c>
    </row>
    <row r="342" spans="3:39" x14ac:dyDescent="0.15">
      <c r="C342">
        <v>377</v>
      </c>
      <c r="D342">
        <v>1</v>
      </c>
      <c r="K342" t="s">
        <v>53</v>
      </c>
      <c r="L342" t="s">
        <v>2115</v>
      </c>
      <c r="R342">
        <v>1</v>
      </c>
      <c r="AD342" t="s">
        <v>2253</v>
      </c>
      <c r="AE342">
        <v>1</v>
      </c>
      <c r="AF342" t="s">
        <v>2117</v>
      </c>
      <c r="AG342" t="s">
        <v>2132</v>
      </c>
      <c r="AH342">
        <v>255</v>
      </c>
      <c r="AK342">
        <v>1</v>
      </c>
      <c r="AM342" t="str">
        <f t="shared" si="5"/>
        <v>{dwID=377,nLevel=1,szNote="镇山河",col={255,204,0,},[1]={bScreenHead=true,},[2]={},aCataclysmBuff={{szReminder="镇 气纯技能山河无敌",nPriority=1,col="#FFCC00FF",colScreenHead="#FFCC00",nColAlpha=255,bScreenHead=true,},},},</v>
      </c>
    </row>
    <row r="343" spans="3:39" x14ac:dyDescent="0.15">
      <c r="C343">
        <v>12372</v>
      </c>
      <c r="D343">
        <v>1</v>
      </c>
      <c r="K343" t="s">
        <v>54</v>
      </c>
      <c r="L343" t="s">
        <v>2115</v>
      </c>
      <c r="R343">
        <v>1</v>
      </c>
      <c r="AD343" t="s">
        <v>2254</v>
      </c>
      <c r="AE343">
        <v>2</v>
      </c>
      <c r="AF343" t="s">
        <v>2117</v>
      </c>
      <c r="AG343" t="s">
        <v>2132</v>
      </c>
      <c r="AH343">
        <v>255</v>
      </c>
      <c r="AK343">
        <v>1</v>
      </c>
      <c r="AM343" t="str">
        <f t="shared" si="5"/>
        <v>{dwID=12372,nLevel=1,szNote="行天道",col={255,204,0,},[1]={bScreenHead=true,},[2]={},aCataclysmBuff={{szReminder="行 行天道免控可击退和被拉",nPriority=2,col="#FFCC00FF",colScreenHead="#FFCC00",nColAlpha=255,bScreenHead=true,},},},</v>
      </c>
    </row>
    <row r="344" spans="3:39" x14ac:dyDescent="0.15">
      <c r="C344">
        <v>27404</v>
      </c>
      <c r="D344">
        <v>1</v>
      </c>
      <c r="K344" t="s">
        <v>54</v>
      </c>
      <c r="L344" t="s">
        <v>2115</v>
      </c>
      <c r="R344">
        <v>1</v>
      </c>
      <c r="AD344" t="s">
        <v>2255</v>
      </c>
      <c r="AE344">
        <v>2</v>
      </c>
      <c r="AF344" t="s">
        <v>2117</v>
      </c>
      <c r="AG344" t="s">
        <v>2132</v>
      </c>
      <c r="AH344">
        <v>255</v>
      </c>
      <c r="AK344">
        <v>1</v>
      </c>
      <c r="AM344" t="str">
        <f t="shared" si="5"/>
        <v>{dwID=27404,nLevel=1,szNote="行天道",col={255,204,0,},[1]={bScreenHead=true,},[2]={},aCataclysmBuff={{szReminder="行 剑纯奇穴行天道无敌闪避100%",nPriority=2,col="#FFCC00FF",colScreenHead="#FFCC00",nColAlpha=255,bScreenHead=true,},},},</v>
      </c>
    </row>
    <row r="345" spans="3:39" x14ac:dyDescent="0.15">
      <c r="C345">
        <v>384</v>
      </c>
      <c r="D345">
        <v>1</v>
      </c>
      <c r="K345" t="s">
        <v>140</v>
      </c>
      <c r="L345" t="s">
        <v>2120</v>
      </c>
      <c r="AD345" t="s">
        <v>2394</v>
      </c>
      <c r="AE345">
        <v>11</v>
      </c>
      <c r="AF345" t="s">
        <v>2123</v>
      </c>
      <c r="AH345">
        <v>255</v>
      </c>
      <c r="AM345" t="str">
        <f t="shared" si="5"/>
        <v>{dwID=384,nLevel=1,szNote="转乾坤",col={179,238,58,},[1]={},[2]={},aCataclysmBuff={{szReminder="转 剑纯技能转乾坤减伤",nPriority=11,col="#B3EE3AFF",nColAlpha=255,},},},</v>
      </c>
    </row>
    <row r="346" spans="3:39" x14ac:dyDescent="0.15">
      <c r="C346">
        <v>2983</v>
      </c>
      <c r="D346">
        <v>1</v>
      </c>
      <c r="K346" t="s">
        <v>141</v>
      </c>
      <c r="L346" t="s">
        <v>2120</v>
      </c>
      <c r="AD346" t="s">
        <v>2395</v>
      </c>
      <c r="AE346">
        <v>11</v>
      </c>
      <c r="AF346" t="s">
        <v>2123</v>
      </c>
      <c r="AH346">
        <v>255</v>
      </c>
      <c r="AM346" t="str">
        <f t="shared" si="5"/>
        <v>{dwID=2983,nLevel=1,szNote="无我",col={179,238,58,},[1]={},[2]={},aCataclysmBuff={{szReminder="减 技能坐忘减伤",nPriority=11,col="#B3EE3AFF",nColAlpha=255,},},},</v>
      </c>
    </row>
    <row r="347" spans="3:39" x14ac:dyDescent="0.15">
      <c r="C347">
        <v>9171</v>
      </c>
      <c r="D347">
        <v>1</v>
      </c>
      <c r="K347" t="s">
        <v>142</v>
      </c>
      <c r="L347" t="s">
        <v>2120</v>
      </c>
      <c r="AD347" t="s">
        <v>2396</v>
      </c>
      <c r="AE347">
        <v>11</v>
      </c>
      <c r="AF347" t="s">
        <v>2123</v>
      </c>
      <c r="AH347">
        <v>255</v>
      </c>
      <c r="AM347" t="str">
        <f t="shared" si="5"/>
        <v>{dwID=9171,nLevel=1,szNote="玄德",col={179,238,58,},[1]={},[2]={},aCataclysmBuff={{szReminder="减 气纯奇穴玄德内功减伤",nPriority=11,col="#B3EE3AFF",nColAlpha=255,},},},</v>
      </c>
    </row>
    <row r="348" spans="3:39" x14ac:dyDescent="0.15">
      <c r="C348">
        <v>134</v>
      </c>
      <c r="D348">
        <v>1</v>
      </c>
      <c r="K348" t="s">
        <v>144</v>
      </c>
      <c r="L348" t="s">
        <v>2120</v>
      </c>
      <c r="AD348" t="s">
        <v>2397</v>
      </c>
      <c r="AE348">
        <v>16</v>
      </c>
      <c r="AF348" t="s">
        <v>2123</v>
      </c>
      <c r="AH348">
        <v>255</v>
      </c>
      <c r="AM348" t="str">
        <f t="shared" si="5"/>
        <v>{dwID=134,nLevel=1,szNote="坐忘无我",col={179,238,58,},[1]={},[2]={},aCataclysmBuff={{szReminder="盾 化解自身收到的伤害",nPriority=16,col="#B3EE3AFF",nColAlpha=255,},},},</v>
      </c>
    </row>
    <row r="349" spans="3:39" x14ac:dyDescent="0.15">
      <c r="C349">
        <v>6090</v>
      </c>
      <c r="D349">
        <v>1</v>
      </c>
      <c r="K349" t="s">
        <v>144</v>
      </c>
      <c r="L349" t="s">
        <v>2120</v>
      </c>
      <c r="AD349" t="s">
        <v>2398</v>
      </c>
      <c r="AE349">
        <v>16</v>
      </c>
      <c r="AF349" t="s">
        <v>2123</v>
      </c>
      <c r="AH349">
        <v>255</v>
      </c>
      <c r="AM349" t="str">
        <f t="shared" si="5"/>
        <v>{dwID=6090,nLevel=1,szNote="坐忘无我",col={179,238,58,},[1]={},[2]={},aCataclysmBuff={{szReminder="盾 根据根骨属性化解自身收到的伤害",nPriority=16,col="#B3EE3AFF",nColAlpha=255,},},},</v>
      </c>
    </row>
    <row r="350" spans="3:39" x14ac:dyDescent="0.15">
      <c r="C350">
        <v>6298</v>
      </c>
      <c r="D350">
        <v>1</v>
      </c>
      <c r="K350" t="s">
        <v>55</v>
      </c>
      <c r="L350" t="s">
        <v>2120</v>
      </c>
      <c r="AD350" t="s">
        <v>2399</v>
      </c>
      <c r="AE350">
        <v>18</v>
      </c>
      <c r="AF350" t="s">
        <v>2123</v>
      </c>
      <c r="AH350">
        <v>255</v>
      </c>
      <c r="AM350" t="str">
        <f t="shared" si="5"/>
        <v>{dwID=6298,nLevel=1,szNote="御风而行",col={179,238,58,},[1]={},[2]={},aCataclysmBuff={{szReminder="速 移动速度提高30%",nPriority=18,col="#B3EE3AFF",nColAlpha=255,},},},</v>
      </c>
    </row>
    <row r="351" spans="3:39" x14ac:dyDescent="0.15">
      <c r="C351">
        <v>6299</v>
      </c>
      <c r="D351">
        <v>1</v>
      </c>
      <c r="K351" t="s">
        <v>55</v>
      </c>
      <c r="L351" t="s">
        <v>2120</v>
      </c>
      <c r="R351">
        <v>1</v>
      </c>
      <c r="AD351" t="s">
        <v>2256</v>
      </c>
      <c r="AE351">
        <v>11</v>
      </c>
      <c r="AF351" t="s">
        <v>2123</v>
      </c>
      <c r="AG351" t="s">
        <v>2130</v>
      </c>
      <c r="AH351">
        <v>255</v>
      </c>
      <c r="AK351">
        <v>1</v>
      </c>
      <c r="AM351" t="str">
        <f t="shared" si="5"/>
        <v>{dwID=6299,nLevel=1,szNote="御风而行",col={179,238,58,},[1]={bScreenHead=true,},[2]={},aCataclysmBuff={{szReminder="闪 技能凭虚闪避几率提高50%",nPriority=11,col="#B3EE3AFF",colScreenHead="#B3EE3A",nColAlpha=255,bScreenHead=true,},},},</v>
      </c>
    </row>
    <row r="352" spans="3:39" x14ac:dyDescent="0.15">
      <c r="C352">
        <v>203</v>
      </c>
      <c r="D352">
        <v>1</v>
      </c>
      <c r="K352" t="s">
        <v>56</v>
      </c>
      <c r="L352" t="s">
        <v>2115</v>
      </c>
      <c r="R352">
        <v>1</v>
      </c>
      <c r="AD352" t="s">
        <v>2257</v>
      </c>
      <c r="AE352">
        <v>2</v>
      </c>
      <c r="AF352" t="s">
        <v>2117</v>
      </c>
      <c r="AG352" t="s">
        <v>2132</v>
      </c>
      <c r="AH352">
        <v>255</v>
      </c>
      <c r="AI352">
        <v>1</v>
      </c>
      <c r="AK352">
        <v>1</v>
      </c>
      <c r="AM352" t="str">
        <f t="shared" si="5"/>
        <v>{dwID=203,nLevel=1,szNote="啸如虎",col={255,204,0,},[1]={bScreenHead=true,},[2]={},aCataclysmBuff={{szReminder="虎 技能啸如虎免死",nPriority=2,col="#FFCC00FF",colScreenHead="#FFCC00",nColAlpha=255,bAttention=true,bScreenHead=true,},},},</v>
      </c>
    </row>
    <row r="353" spans="3:39" x14ac:dyDescent="0.15">
      <c r="C353">
        <v>367</v>
      </c>
      <c r="D353">
        <v>1</v>
      </c>
      <c r="K353" t="s">
        <v>57</v>
      </c>
      <c r="L353" t="s">
        <v>2120</v>
      </c>
      <c r="R353">
        <v>1</v>
      </c>
      <c r="AD353" t="s">
        <v>2258</v>
      </c>
      <c r="AE353">
        <v>11</v>
      </c>
      <c r="AF353" t="s">
        <v>2123</v>
      </c>
      <c r="AG353" t="s">
        <v>2130</v>
      </c>
      <c r="AH353">
        <v>255</v>
      </c>
      <c r="AI353">
        <v>1</v>
      </c>
      <c r="AK353">
        <v>1</v>
      </c>
      <c r="AM353" t="str">
        <f t="shared" si="5"/>
        <v>{dwID=367,nLevel=1,szNote="守如山",col={179,238,58,},[1]={bScreenHead=true,},[2]={},aCataclysmBuff={{szReminder="山 技能守如山减伤",nPriority=11,col="#B3EE3AFF",colScreenHead="#B3EE3A",nColAlpha=255,bAttention=true,bScreenHead=true,},},},</v>
      </c>
    </row>
    <row r="354" spans="3:39" x14ac:dyDescent="0.15">
      <c r="C354">
        <v>2778</v>
      </c>
      <c r="D354">
        <v>1</v>
      </c>
      <c r="K354" t="s">
        <v>146</v>
      </c>
      <c r="L354" t="s">
        <v>2120</v>
      </c>
      <c r="AD354" t="s">
        <v>2400</v>
      </c>
      <c r="AE354">
        <v>11</v>
      </c>
      <c r="AF354" t="s">
        <v>2123</v>
      </c>
      <c r="AH354">
        <v>255</v>
      </c>
      <c r="AM354" t="str">
        <f t="shared" si="5"/>
        <v>{dwID=2778,nLevel=1,szNote="渊",col={179,238,58,},[1]={},[2]={},aCataclysmBuff={{szReminder="渊 奇穴受到渊减伤",nPriority=11,col="#B3EE3AFF",nColAlpha=255,},},},</v>
      </c>
    </row>
    <row r="355" spans="3:39" x14ac:dyDescent="0.15">
      <c r="C355">
        <v>5641</v>
      </c>
      <c r="D355">
        <v>1</v>
      </c>
      <c r="K355" t="s">
        <v>147</v>
      </c>
      <c r="L355" t="s">
        <v>2120</v>
      </c>
      <c r="AD355" t="s">
        <v>2401</v>
      </c>
      <c r="AE355">
        <v>11</v>
      </c>
      <c r="AF355" t="s">
        <v>2123</v>
      </c>
      <c r="AH355">
        <v>255</v>
      </c>
      <c r="AM355" t="str">
        <f t="shared" si="5"/>
        <v>{dwID=5641,nLevel=1,szNote="金甲",col={179,238,58,},[1]={},[2]={},aCataclysmBuff={{szReminder="减 奇穴金甲减伤",nPriority=11,col="#B3EE3AFF",nColAlpha=255,},},},</v>
      </c>
    </row>
    <row r="356" spans="3:39" x14ac:dyDescent="0.15">
      <c r="C356">
        <v>10245</v>
      </c>
      <c r="D356">
        <v>1</v>
      </c>
      <c r="K356" t="s">
        <v>148</v>
      </c>
      <c r="L356" t="s">
        <v>2120</v>
      </c>
      <c r="AD356" t="s">
        <v>2402</v>
      </c>
      <c r="AE356">
        <v>11</v>
      </c>
      <c r="AF356" t="s">
        <v>2123</v>
      </c>
      <c r="AH356">
        <v>255</v>
      </c>
      <c r="AM356" t="str">
        <f t="shared" si="5"/>
        <v>{dwID=10245,nLevel=1,szNote="破重围",col={179,238,58,},[1]={},[2]={},aCataclysmBuff={{szReminder="减 傲血奇穴破重围减伤",nPriority=11,col="#B3EE3AFF",nColAlpha=255,},},},</v>
      </c>
    </row>
    <row r="357" spans="3:39" x14ac:dyDescent="0.15">
      <c r="C357">
        <v>6120</v>
      </c>
      <c r="D357">
        <v>1</v>
      </c>
      <c r="K357" t="s">
        <v>149</v>
      </c>
      <c r="L357" t="s">
        <v>2120</v>
      </c>
      <c r="AD357" t="s">
        <v>2403</v>
      </c>
      <c r="AE357">
        <v>11</v>
      </c>
      <c r="AF357" t="s">
        <v>2123</v>
      </c>
      <c r="AH357">
        <v>255</v>
      </c>
      <c r="AM357" t="str">
        <f t="shared" si="5"/>
        <v>{dwID=6120,nLevel=1,szNote="盘蛇",col={179,238,58,},[1]={},[2]={},aCataclysmBuff={{szReminder="减 技能御减伤",nPriority=11,col="#B3EE3AFF",nColAlpha=255,},},},</v>
      </c>
    </row>
    <row r="358" spans="3:39" x14ac:dyDescent="0.15">
      <c r="C358">
        <v>24275</v>
      </c>
      <c r="D358">
        <v>1</v>
      </c>
      <c r="K358" t="s">
        <v>150</v>
      </c>
      <c r="L358" t="s">
        <v>2120</v>
      </c>
      <c r="AD358" t="s">
        <v>2404</v>
      </c>
      <c r="AE358">
        <v>11</v>
      </c>
      <c r="AF358" t="s">
        <v>2123</v>
      </c>
      <c r="AH358">
        <v>255</v>
      </c>
      <c r="AM358" t="str">
        <f t="shared" si="5"/>
        <v>{dwID=24275,nLevel=1,szNote="铁骑",col={179,238,58,},[1]={},[2]={},aCataclysmBuff={{szReminder="盾 傲血奇穴铁骑化解",nPriority=11,col="#B3EE3AFF",nColAlpha=255,},},},</v>
      </c>
    </row>
    <row r="359" spans="3:39" x14ac:dyDescent="0.15">
      <c r="C359">
        <v>6131</v>
      </c>
      <c r="D359">
        <v>1</v>
      </c>
      <c r="K359" t="s">
        <v>153</v>
      </c>
      <c r="L359" t="s">
        <v>2120</v>
      </c>
      <c r="AD359" t="s">
        <v>2405</v>
      </c>
      <c r="AE359">
        <v>10</v>
      </c>
      <c r="AF359" t="s">
        <v>2123</v>
      </c>
      <c r="AH359">
        <v>255</v>
      </c>
      <c r="AM359" t="str">
        <f t="shared" si="5"/>
        <v>{dwID=6131,nLevel=1,szNote="青阳",col={179,238,58,},[1]={},[2]={},aCataclysmBuff={{szReminder="免 免疫控制（击退和被拉除外）",nPriority=10,col="#B3EE3AFF",nColAlpha=255,},},},</v>
      </c>
    </row>
    <row r="360" spans="3:39" x14ac:dyDescent="0.15">
      <c r="C360">
        <v>855</v>
      </c>
      <c r="D360">
        <v>1</v>
      </c>
      <c r="K360" t="s">
        <v>151</v>
      </c>
      <c r="L360" t="s">
        <v>2120</v>
      </c>
      <c r="AD360" t="s">
        <v>2222</v>
      </c>
      <c r="AE360">
        <v>11</v>
      </c>
      <c r="AF360" t="s">
        <v>2123</v>
      </c>
      <c r="AH360">
        <v>255</v>
      </c>
      <c r="AM360" t="str">
        <f t="shared" si="5"/>
        <v>{dwID=855,nLevel=1,szNote="力拔",col={179,238,58,},[1]={},[2]={},aCataclysmBuff={{szReminder="免 免控（击退和被拉除外）",nPriority=11,col="#B3EE3AFF",nColAlpha=255,},},},</v>
      </c>
    </row>
    <row r="361" spans="3:39" x14ac:dyDescent="0.15">
      <c r="C361">
        <v>2756</v>
      </c>
      <c r="D361">
        <v>1</v>
      </c>
      <c r="K361" t="s">
        <v>152</v>
      </c>
      <c r="L361" t="s">
        <v>2120</v>
      </c>
      <c r="AD361" t="s">
        <v>2406</v>
      </c>
      <c r="AE361">
        <v>11</v>
      </c>
      <c r="AF361" t="s">
        <v>2123</v>
      </c>
      <c r="AH361">
        <v>255</v>
      </c>
      <c r="AM361" t="str">
        <f t="shared" si="5"/>
        <v>{dwID=2756,nLevel=1,szNote="纵轻骑",col={179,238,58,},[1]={},[2]={},aCataclysmBuff={{szReminder="免 免控（被拉除外）",nPriority=11,col="#B3EE3AFF",nColAlpha=255,},},},</v>
      </c>
    </row>
    <row r="362" spans="3:39" x14ac:dyDescent="0.15">
      <c r="C362">
        <v>207</v>
      </c>
      <c r="D362">
        <v>1</v>
      </c>
      <c r="K362" t="s">
        <v>154</v>
      </c>
      <c r="L362" t="s">
        <v>2120</v>
      </c>
      <c r="AD362" t="s">
        <v>2407</v>
      </c>
      <c r="AE362">
        <v>11</v>
      </c>
      <c r="AF362" t="s">
        <v>2123</v>
      </c>
      <c r="AH362">
        <v>255</v>
      </c>
      <c r="AM362" t="str">
        <f t="shared" si="5"/>
        <v>{dwID=207,nLevel=1,szNote="突",col={179,238,58,},[1]={},[2]={},aCataclysmBuff={{szReminder="突 施放",nPriority=11,col="#B3EE3AFF",nColAlpha=255,},},},</v>
      </c>
    </row>
    <row r="363" spans="3:39" x14ac:dyDescent="0.15">
      <c r="C363">
        <v>6361</v>
      </c>
      <c r="D363">
        <v>1</v>
      </c>
      <c r="K363" t="s">
        <v>154</v>
      </c>
      <c r="L363" t="s">
        <v>2120</v>
      </c>
      <c r="AD363" t="s">
        <v>2408</v>
      </c>
      <c r="AE363">
        <v>11</v>
      </c>
      <c r="AF363" t="s">
        <v>2123</v>
      </c>
      <c r="AH363">
        <v>255</v>
      </c>
      <c r="AM363" t="str">
        <f t="shared" si="5"/>
        <v>{dwID=6361,nLevel=1,szNote="突",col={179,238,58,},[1]={},[2]={},aCataclysmBuff={{szReminder="突 免控（击退和被拉除外）",nPriority=11,col="#B3EE3AFF",nColAlpha=255,},},},</v>
      </c>
    </row>
    <row r="364" spans="3:39" x14ac:dyDescent="0.15">
      <c r="C364">
        <v>360</v>
      </c>
      <c r="D364">
        <v>1</v>
      </c>
      <c r="K364" t="s">
        <v>58</v>
      </c>
      <c r="L364" t="s">
        <v>2115</v>
      </c>
      <c r="R364">
        <v>1</v>
      </c>
      <c r="AD364" t="s">
        <v>2259</v>
      </c>
      <c r="AE364">
        <v>2</v>
      </c>
      <c r="AF364" t="s">
        <v>2117</v>
      </c>
      <c r="AG364" t="s">
        <v>2132</v>
      </c>
      <c r="AH364">
        <v>255</v>
      </c>
      <c r="AI364">
        <v>1</v>
      </c>
      <c r="AK364">
        <v>1</v>
      </c>
      <c r="AM364" t="str">
        <f t="shared" si="5"/>
        <v>{dwID=360,nLevel=1,szNote="御",col={255,204,0,},[1]={bScreenHead=true,},[2]={},aCataclysmBuff={{szReminder="御 每层化解一次伤害",nPriority=2,col="#FFCC00FF",colScreenHead="#FFCC00",nColAlpha=255,bAttention=true,bScreenHead=true,},},},</v>
      </c>
    </row>
    <row r="365" spans="3:39" x14ac:dyDescent="0.15">
      <c r="C365">
        <v>3025</v>
      </c>
      <c r="D365">
        <v>1</v>
      </c>
      <c r="K365" t="s">
        <v>24</v>
      </c>
      <c r="L365" t="s">
        <v>2115</v>
      </c>
      <c r="R365">
        <v>1</v>
      </c>
      <c r="AD365" t="s">
        <v>2260</v>
      </c>
      <c r="AE365">
        <v>2</v>
      </c>
      <c r="AF365" t="s">
        <v>2117</v>
      </c>
      <c r="AG365" t="s">
        <v>2132</v>
      </c>
      <c r="AH365">
        <v>255</v>
      </c>
      <c r="AI365">
        <v>1</v>
      </c>
      <c r="AK365">
        <v>1</v>
      </c>
      <c r="AM365" t="str">
        <f t="shared" si="5"/>
        <v>{dwID=3025,nLevel=1,szNote="霸体",col={255,204,0,},[1]={bScreenHead=true,},[2]={},aCataclysmBuff={{szReminder="霸 PVE套装_铁牢6件套效果",nPriority=2,col="#FFCC00FF",colScreenHead="#FFCC00",nColAlpha=255,bAttention=true,bScreenHead=true,},},},</v>
      </c>
    </row>
    <row r="366" spans="3:39" x14ac:dyDescent="0.15">
      <c r="C366">
        <v>9699</v>
      </c>
      <c r="D366">
        <v>1</v>
      </c>
      <c r="K366" t="s">
        <v>59</v>
      </c>
      <c r="L366" t="s">
        <v>2115</v>
      </c>
      <c r="R366">
        <v>1</v>
      </c>
      <c r="AD366" t="s">
        <v>2261</v>
      </c>
      <c r="AE366">
        <v>2</v>
      </c>
      <c r="AF366" t="s">
        <v>2117</v>
      </c>
      <c r="AG366" t="s">
        <v>2132</v>
      </c>
      <c r="AH366">
        <v>255</v>
      </c>
      <c r="AK366">
        <v>1</v>
      </c>
      <c r="AM366" t="str">
        <f t="shared" si="5"/>
        <v>{dwID=9699,nLevel=1,szNote="长致",col={255,204,0,},[1]={bScreenHead=true,},[2]={},aCataclysmBuff={{szReminder="长 奇穴长致无敌",nPriority=2,col="#FFCC00FF",colScreenHead="#FFCC00",nColAlpha=255,bScreenHead=true,},},},</v>
      </c>
    </row>
    <row r="367" spans="3:39" x14ac:dyDescent="0.15">
      <c r="C367">
        <v>5735</v>
      </c>
      <c r="D367">
        <v>1</v>
      </c>
      <c r="K367" t="s">
        <v>60</v>
      </c>
      <c r="L367" t="s">
        <v>2120</v>
      </c>
      <c r="R367">
        <v>1</v>
      </c>
      <c r="AD367" t="s">
        <v>2262</v>
      </c>
      <c r="AE367">
        <v>11</v>
      </c>
      <c r="AF367" t="s">
        <v>2123</v>
      </c>
      <c r="AG367" t="s">
        <v>2130</v>
      </c>
      <c r="AH367">
        <v>255</v>
      </c>
      <c r="AK367">
        <v>1</v>
      </c>
      <c r="AM367" t="str">
        <f t="shared" si="5"/>
        <v>{dwID=5735,nLevel=1,szNote="泉凝月",col={179,238,58,},[1]={bScreenHead=true,},[2]={},aCataclysmBuff={{szReminder="泉 技能泉凝月化解",nPriority=11,col="#B3EE3AFF",colScreenHead="#B3EE3A",nColAlpha=255,bScreenHead=true,},},},</v>
      </c>
    </row>
    <row r="368" spans="3:39" x14ac:dyDescent="0.15">
      <c r="C368">
        <v>6143</v>
      </c>
      <c r="D368">
        <v>1</v>
      </c>
      <c r="K368" t="s">
        <v>60</v>
      </c>
      <c r="L368" t="s">
        <v>2120</v>
      </c>
      <c r="R368">
        <v>1</v>
      </c>
      <c r="AD368" t="s">
        <v>2263</v>
      </c>
      <c r="AE368">
        <v>11</v>
      </c>
      <c r="AF368" t="s">
        <v>2123</v>
      </c>
      <c r="AG368" t="s">
        <v>2130</v>
      </c>
      <c r="AH368">
        <v>255</v>
      </c>
      <c r="AK368">
        <v>1</v>
      </c>
      <c r="AM368" t="str">
        <f t="shared" si="5"/>
        <v>{dwID=6143,nLevel=1,szNote="泉凝月",col={179,238,58,},[1]={bScreenHead=true,},[2]={},aCataclysmBuff={{szReminder="泉 技能泉凝月化解增强",nPriority=11,col="#B3EE3AFF",colScreenHead="#B3EE3A",nColAlpha=255,bScreenHead=true,},},},</v>
      </c>
    </row>
    <row r="369" spans="3:39" x14ac:dyDescent="0.15">
      <c r="C369">
        <v>1802</v>
      </c>
      <c r="D369">
        <v>1</v>
      </c>
      <c r="K369" t="s">
        <v>155</v>
      </c>
      <c r="L369" t="s">
        <v>2120</v>
      </c>
      <c r="AD369" t="s">
        <v>2409</v>
      </c>
      <c r="AE369">
        <v>11</v>
      </c>
      <c r="AF369" t="s">
        <v>2123</v>
      </c>
      <c r="AH369">
        <v>255</v>
      </c>
      <c r="AM369" t="str">
        <f t="shared" si="5"/>
        <v>{dwID=1802,nLevel=1,szNote="御天",col={179,238,58,},[1]={},[2]={},aCataclysmBuff={{szReminder="减 技能虎跑减伤",nPriority=11,col="#B3EE3AFF",nColAlpha=255,},},},</v>
      </c>
    </row>
    <row r="370" spans="3:39" x14ac:dyDescent="0.15">
      <c r="C370">
        <v>9848</v>
      </c>
      <c r="D370">
        <v>1</v>
      </c>
      <c r="K370" t="s">
        <v>156</v>
      </c>
      <c r="L370" t="s">
        <v>2120</v>
      </c>
      <c r="AD370" t="s">
        <v>2410</v>
      </c>
      <c r="AE370">
        <v>11</v>
      </c>
      <c r="AF370" t="s">
        <v>2123</v>
      </c>
      <c r="AH370">
        <v>255</v>
      </c>
      <c r="AM370" t="str">
        <f t="shared" si="5"/>
        <v>{dwID=9848,nLevel=1,szNote="探梅",col={179,238,58,},[1]={},[2]={},aCataclysmBuff={{szReminder="探 奇穴探梅化解",nPriority=11,col="#B3EE3AFF",nColAlpha=255,},},},</v>
      </c>
    </row>
    <row r="371" spans="3:39" x14ac:dyDescent="0.15">
      <c r="C371">
        <v>2065</v>
      </c>
      <c r="D371">
        <v>1</v>
      </c>
      <c r="K371" t="s">
        <v>61</v>
      </c>
      <c r="L371" t="s">
        <v>2120</v>
      </c>
      <c r="R371">
        <v>1</v>
      </c>
      <c r="AD371" t="s">
        <v>2264</v>
      </c>
      <c r="AE371">
        <v>11</v>
      </c>
      <c r="AF371" t="s">
        <v>2123</v>
      </c>
      <c r="AG371" t="s">
        <v>2130</v>
      </c>
      <c r="AH371">
        <v>255</v>
      </c>
      <c r="AI371">
        <v>1</v>
      </c>
      <c r="AK371">
        <v>1</v>
      </c>
      <c r="AM371" t="str">
        <f t="shared" si="5"/>
        <v>{dwID=2065,nLevel=1,szNote="云栖松",col={179,238,58,},[1]={bScreenHead=true,},[2]={},aCataclysmBuff={{szReminder="云 技能云栖松闪避",nPriority=11,col="#B3EE3AFF",colScreenHead="#B3EE3A",nColAlpha=255,bAttention=true,bScreenHead=true,},},},</v>
      </c>
    </row>
    <row r="372" spans="3:39" x14ac:dyDescent="0.15">
      <c r="C372">
        <v>20162</v>
      </c>
      <c r="D372">
        <v>1</v>
      </c>
      <c r="K372" t="s">
        <v>61</v>
      </c>
      <c r="L372" t="s">
        <v>2120</v>
      </c>
      <c r="R372">
        <v>1</v>
      </c>
      <c r="AD372" t="s">
        <v>2264</v>
      </c>
      <c r="AE372">
        <v>11</v>
      </c>
      <c r="AF372" t="s">
        <v>2123</v>
      </c>
      <c r="AG372" t="s">
        <v>2130</v>
      </c>
      <c r="AH372">
        <v>255</v>
      </c>
      <c r="AI372">
        <v>1</v>
      </c>
      <c r="AK372">
        <v>1</v>
      </c>
      <c r="AM372" t="str">
        <f t="shared" si="5"/>
        <v>{dwID=20162,nLevel=1,szNote="云栖松",col={179,238,58,},[1]={bScreenHead=true,},[2]={},aCataclysmBuff={{szReminder="云 技能云栖松闪避",nPriority=11,col="#B3EE3AFF",colScreenHead="#B3EE3A",nColAlpha=255,bAttention=true,bScreenHead=true,},},},</v>
      </c>
    </row>
    <row r="373" spans="3:39" x14ac:dyDescent="0.15">
      <c r="C373">
        <v>22894</v>
      </c>
      <c r="D373">
        <v>1</v>
      </c>
      <c r="K373" t="s">
        <v>157</v>
      </c>
      <c r="L373" t="s">
        <v>2120</v>
      </c>
      <c r="AD373" t="s">
        <v>2411</v>
      </c>
      <c r="AE373">
        <v>11</v>
      </c>
      <c r="AF373" t="s">
        <v>2123</v>
      </c>
      <c r="AH373">
        <v>255</v>
      </c>
      <c r="AM373" t="str">
        <f t="shared" si="5"/>
        <v>{dwID=22894,nLevel=1,szNote="云台",col={179,238,58,},[1]={},[2]={},aCataclysmBuff={{szReminder="盾 奇穴云台化解",nPriority=11,col="#B3EE3AFF",nColAlpha=255,},},},</v>
      </c>
    </row>
    <row r="374" spans="3:39" x14ac:dyDescent="0.15">
      <c r="C374">
        <v>27197</v>
      </c>
      <c r="D374">
        <v>1</v>
      </c>
      <c r="K374" t="s">
        <v>158</v>
      </c>
      <c r="L374" t="s">
        <v>2120</v>
      </c>
      <c r="AD374" t="s">
        <v>2412</v>
      </c>
      <c r="AE374">
        <v>11</v>
      </c>
      <c r="AF374" t="s">
        <v>2123</v>
      </c>
      <c r="AH374">
        <v>255</v>
      </c>
      <c r="AM374" t="str">
        <f t="shared" si="5"/>
        <v>{dwID=27197,nLevel=1,szNote="乘风",col={179,238,58,},[1]={},[2]={},aCataclysmBuff={{szReminder="减 奇穴山岳乘风减伤",nPriority=11,col="#B3EE3AFF",nColAlpha=255,},},},</v>
      </c>
    </row>
    <row r="375" spans="3:39" x14ac:dyDescent="0.15">
      <c r="C375">
        <v>1904</v>
      </c>
      <c r="D375">
        <v>1</v>
      </c>
      <c r="K375" t="s">
        <v>62</v>
      </c>
      <c r="L375" t="s">
        <v>2228</v>
      </c>
      <c r="R375">
        <v>1</v>
      </c>
      <c r="AD375" t="s">
        <v>2265</v>
      </c>
      <c r="AE375">
        <v>12</v>
      </c>
      <c r="AF375" t="s">
        <v>2230</v>
      </c>
      <c r="AG375" t="s">
        <v>2231</v>
      </c>
      <c r="AH375">
        <v>255</v>
      </c>
      <c r="AK375">
        <v>1</v>
      </c>
      <c r="AM375" t="str">
        <f t="shared" si="5"/>
        <v>{dwID=1904,nLevel=1,szNote="鹤归孤山",col={31,63,255,},[1]={bScreenHead=true,},[2]={},aCataclysmBuff={{szReminder="晕 技能鹤归眩晕",nPriority=12,col="#1F3FFFFF",colScreenHead="#1F3FFF",nColAlpha=255,bScreenHead=true,},},},</v>
      </c>
    </row>
    <row r="376" spans="3:39" x14ac:dyDescent="0.15">
      <c r="C376">
        <v>1686</v>
      </c>
      <c r="D376">
        <v>1</v>
      </c>
      <c r="K376" t="s">
        <v>159</v>
      </c>
      <c r="L376" t="s">
        <v>2120</v>
      </c>
      <c r="AD376" t="s">
        <v>2413</v>
      </c>
      <c r="AE376">
        <v>14</v>
      </c>
      <c r="AF376" t="s">
        <v>2123</v>
      </c>
      <c r="AH376">
        <v>255</v>
      </c>
      <c r="AM376" t="str">
        <f t="shared" si="5"/>
        <v>{dwID=1686,nLevel=1,szNote="梦泉虎跑",col={179,238,58,},[1]={},[2]={},aCataclysmBuff={{szReminder="梦 每秒发动一次攻击",nPriority=14,col="#B3EE3AFF",nColAlpha=255,},},},</v>
      </c>
    </row>
    <row r="377" spans="3:39" x14ac:dyDescent="0.15">
      <c r="C377">
        <v>5668</v>
      </c>
      <c r="D377">
        <v>1</v>
      </c>
      <c r="K377" t="s">
        <v>160</v>
      </c>
      <c r="L377" t="s">
        <v>2120</v>
      </c>
      <c r="AD377" t="s">
        <v>2414</v>
      </c>
      <c r="AE377">
        <v>11</v>
      </c>
      <c r="AF377" t="s">
        <v>2123</v>
      </c>
      <c r="AH377">
        <v>255</v>
      </c>
      <c r="AM377" t="str">
        <f t="shared" si="5"/>
        <v>{dwID=5668,nLevel=1,szNote="风吹荷",col={179,238,58,},[1]={},[2]={},aCataclysmBuff={{szReminder="闪 奇穴风吹荷闪避提高100%",nPriority=11,col="#B3EE3AFF",nColAlpha=255,},},},</v>
      </c>
    </row>
    <row r="378" spans="3:39" x14ac:dyDescent="0.15">
      <c r="C378">
        <v>1676</v>
      </c>
      <c r="D378">
        <v>1</v>
      </c>
      <c r="K378" t="s">
        <v>161</v>
      </c>
      <c r="L378" t="s">
        <v>2120</v>
      </c>
      <c r="AD378" t="s">
        <v>2415</v>
      </c>
      <c r="AE378">
        <v>11</v>
      </c>
      <c r="AF378" t="s">
        <v>2123</v>
      </c>
      <c r="AH378">
        <v>255</v>
      </c>
      <c r="AM378" t="str">
        <f t="shared" si="5"/>
        <v>{dwID=1676,nLevel=1,szNote="玉泉鱼跃",col={179,238,58,},[1]={},[2]={},aCataclysmBuff={{szReminder="免 不受控制（击退和被拉除外）",nPriority=11,col="#B3EE3AFF",nColAlpha=255,},},},</v>
      </c>
    </row>
    <row r="379" spans="3:39" x14ac:dyDescent="0.15">
      <c r="C379">
        <v>2313</v>
      </c>
      <c r="D379">
        <v>1</v>
      </c>
      <c r="K379" t="s">
        <v>162</v>
      </c>
      <c r="L379" t="s">
        <v>2115</v>
      </c>
      <c r="AD379" t="s">
        <v>2416</v>
      </c>
      <c r="AE379">
        <v>2</v>
      </c>
      <c r="AF379" t="s">
        <v>2117</v>
      </c>
      <c r="AH379">
        <v>255</v>
      </c>
      <c r="AM379" t="str">
        <f t="shared" si="5"/>
        <v>{dwID=2313,nLevel=1,szNote="凤凰蛊",col={255,204,0,},[1]={},[2]={},aCataclysmBuff={{szReminder="凤 奶毒技能凤凰蛊复活",nPriority=2,col="#FFCC00FF",nColAlpha=255,},},},</v>
      </c>
    </row>
    <row r="380" spans="3:39" x14ac:dyDescent="0.15">
      <c r="C380">
        <v>24439</v>
      </c>
      <c r="D380">
        <v>1</v>
      </c>
      <c r="K380" t="s">
        <v>63</v>
      </c>
      <c r="L380" t="s">
        <v>2120</v>
      </c>
      <c r="R380">
        <v>1</v>
      </c>
      <c r="AD380" t="s">
        <v>2266</v>
      </c>
      <c r="AE380">
        <v>10</v>
      </c>
      <c r="AF380" t="s">
        <v>2123</v>
      </c>
      <c r="AG380" t="s">
        <v>2130</v>
      </c>
      <c r="AH380">
        <v>255</v>
      </c>
      <c r="AI380">
        <v>1</v>
      </c>
      <c r="AK380">
        <v>1</v>
      </c>
      <c r="AM380" t="str">
        <f t="shared" si="5"/>
        <v>{dwID=24439,nLevel=1,szNote="庇佑",col={179,238,58,},[1]={bScreenHead=true,},[2]={},aCataclysmBuff={{szReminder="佑 奶毒奇穴孔雀引生效",nPriority=10,col="#B3EE3AFF",colScreenHead="#B3EE3A",nColAlpha=255,bAttention=true,bScreenHead=true,},},},</v>
      </c>
    </row>
    <row r="381" spans="3:39" x14ac:dyDescent="0.15">
      <c r="C381">
        <v>25710</v>
      </c>
      <c r="D381">
        <v>1</v>
      </c>
      <c r="K381" t="s">
        <v>163</v>
      </c>
      <c r="L381" t="s">
        <v>2120</v>
      </c>
      <c r="AD381" t="s">
        <v>2417</v>
      </c>
      <c r="AE381">
        <v>10</v>
      </c>
      <c r="AF381" t="s">
        <v>2123</v>
      </c>
      <c r="AH381">
        <v>255</v>
      </c>
      <c r="AM381" t="str">
        <f t="shared" si="5"/>
        <v>{dwID=25710,nLevel=1,szNote="女希",col={179,238,58,},[1]={},[2]={},aCataclysmBuff={{szReminder="皇 奶毒奇穴娲皇赐恩生效",nPriority=10,col="#B3EE3AFF",nColAlpha=255,},},},</v>
      </c>
    </row>
    <row r="382" spans="3:39" x14ac:dyDescent="0.15">
      <c r="C382">
        <v>8864</v>
      </c>
      <c r="D382">
        <v>1</v>
      </c>
      <c r="K382" t="s">
        <v>164</v>
      </c>
      <c r="L382" t="s">
        <v>2366</v>
      </c>
      <c r="AD382" t="s">
        <v>2418</v>
      </c>
      <c r="AE382">
        <v>5</v>
      </c>
      <c r="AF382" t="s">
        <v>2196</v>
      </c>
      <c r="AH382">
        <v>255</v>
      </c>
      <c r="AM382" t="str">
        <f t="shared" si="5"/>
        <v>{dwID=8864,nLevel=1,szNote="千蝶吐瑞",col={0,238,0,},[1]={},[2]={},aCataclysmBuff={{szReminder="千 奶毒技能千蝶治疗",nPriority=5,col="#00EE00FF",nColAlpha=255,},},},</v>
      </c>
    </row>
    <row r="383" spans="3:39" x14ac:dyDescent="0.15">
      <c r="C383">
        <v>17995</v>
      </c>
      <c r="D383">
        <v>1</v>
      </c>
      <c r="K383" t="s">
        <v>165</v>
      </c>
      <c r="L383" t="s">
        <v>2366</v>
      </c>
      <c r="AD383" t="s">
        <v>2419</v>
      </c>
      <c r="AE383">
        <v>5</v>
      </c>
      <c r="AF383" t="s">
        <v>2196</v>
      </c>
      <c r="AH383">
        <v>255</v>
      </c>
      <c r="AM383" t="str">
        <f t="shared" si="5"/>
        <v>{dwID=17995,nLevel=1,szNote="圣元",col={0,238,0,},[1]={},[2]={},aCataclysmBuff={{szReminder="阵 奶毒奇穴圣元阵治疗",nPriority=5,col="#00EE00FF",nColAlpha=255,},},},</v>
      </c>
    </row>
    <row r="384" spans="3:39" x14ac:dyDescent="0.15">
      <c r="C384">
        <v>2315</v>
      </c>
      <c r="D384">
        <v>1</v>
      </c>
      <c r="K384" t="s">
        <v>166</v>
      </c>
      <c r="L384" t="s">
        <v>2120</v>
      </c>
      <c r="AD384" t="s">
        <v>2420</v>
      </c>
      <c r="AE384">
        <v>11</v>
      </c>
      <c r="AF384" t="s">
        <v>2123</v>
      </c>
      <c r="AH384">
        <v>255</v>
      </c>
      <c r="AM384" t="str">
        <f t="shared" si="5"/>
        <v>{dwID=2315,nLevel=1,szNote="女娲补天",col={179,238,58,},[1]={},[2]={},aCataclysmBuff={{szReminder="娲 奶毒技能女娲减伤",nPriority=11,col="#B3EE3AFF",nColAlpha=255,},},},</v>
      </c>
    </row>
    <row r="385" spans="3:39" x14ac:dyDescent="0.15">
      <c r="C385">
        <v>2953</v>
      </c>
      <c r="D385">
        <v>1</v>
      </c>
      <c r="K385" t="s">
        <v>167</v>
      </c>
      <c r="L385" t="s">
        <v>2120</v>
      </c>
      <c r="AD385" t="s">
        <v>2421</v>
      </c>
      <c r="AE385">
        <v>11</v>
      </c>
      <c r="AF385" t="s">
        <v>2123</v>
      </c>
      <c r="AH385">
        <v>255</v>
      </c>
      <c r="AM385" t="str">
        <f t="shared" si="5"/>
        <v>{dwID=2953,nLevel=1,szNote="圣手织天",col={179,238,58,},[1]={},[2]={},aCataclysmBuff={{szReminder="圣 奶毒技能圣手减伤",nPriority=11,col="#B3EE3AFF",nColAlpha=255,},},},</v>
      </c>
    </row>
    <row r="386" spans="3:39" x14ac:dyDescent="0.15">
      <c r="C386">
        <v>5777</v>
      </c>
      <c r="D386">
        <v>1</v>
      </c>
      <c r="K386" t="s">
        <v>167</v>
      </c>
      <c r="L386" t="s">
        <v>2120</v>
      </c>
      <c r="AD386" t="s">
        <v>2422</v>
      </c>
      <c r="AE386">
        <v>11</v>
      </c>
      <c r="AF386" t="s">
        <v>2123</v>
      </c>
      <c r="AH386">
        <v>255</v>
      </c>
      <c r="AM386" t="str">
        <f t="shared" ref="AM386:AM449" si="6">IF(B386&lt;&gt;"",IF(IFERROR(VALUE(C385),0)&lt;=0,"["&amp;B386&amp;"]={","},["&amp;B386&amp;"]={"),IF(C386&gt;0,"{dwID="&amp;C386&amp;","&amp;"nLevel="&amp;D386&amp;","&amp;IF(E386&gt;0,"nCount="&amp;E386&amp;",","")&amp;IF(F386&gt;0,"nIcon="&amp;F386&amp;",","")&amp;IF(G386&lt;&gt;"","szName="""&amp;G386&amp;""",","")&amp;IF(H386&gt;0,"bCheckLevel=true,","")&amp;IF(I386&gt;0,"nScrutinyType="&amp;I386&amp;",","")&amp;IF(J386&lt;&gt;"","tKungFu={"&amp;J386&amp;"},","")&amp;IF(K386&lt;&gt;"","szNote="""&amp;K386&amp;""",","")&amp;IF(L386&lt;&gt;"","col={"&amp;L386&amp;"},","")&amp;"[1]={"&amp;IF(M386&lt;&gt;"","tMark={"&amp;M386&amp;"},","")&amp;IF(N386&lt;&gt;"","szVoice="""&amp;N386&amp;""",","")&amp;IF(O386&gt;0,"bCheckLevel=true,","")&amp;IF(P386&gt;0,"bWhisperChannel=true,","")&amp;IF(Q386&gt;0,"bCenterAlarm=true,","")&amp;IF(R386&gt;0,"bScreenHead=true,","")&amp;IF(S386&gt;0,"bPartyBuffList=true,","")&amp;IF(T386&gt;0,"bBuffList=true,","")&amp;IF(U386&gt;0,"bTeamPanel=true,","")&amp;IF(V386&gt;0,"bOnlySelfSrc=true,","")&amp;"},"&amp;"[2]={"&amp;IF(W386&gt;0,"bCheckLevel=true,","")&amp;IF(X386&gt;0,"bWhisperChannel=true,","")&amp;IF(Y386&gt;0,"bCenterAlarm=true,","")&amp;"},"&amp;IF(OR(Z386&gt;0,AD386&lt;&gt;"",AE386&gt;0,AF386&lt;&gt;"",AG386&lt;&gt;"",AH386&gt;0,AI386&gt;0,AJ386&gt;0,AK386&gt;0),"aCataclysmBuff={{"&amp;IF(Z386&gt;0,"nStackNum="&amp;Z386&amp;",","")&amp;IF(AA386&lt;&gt;"","szStackOp="""&amp;AA386&amp;""",","")&amp;IF(AB386&gt;0,"bOnlyMine=true,","")&amp;IF(AC386&gt;0,"bOnlyMe=true,","")&amp;IF(AD386&lt;&gt;"","szReminder="""&amp;AD386&amp;""",","")&amp;IF(AE386&gt;0,"nPriority="&amp;AE386&amp;",","")&amp;IF(AF386&lt;&gt;"","col="""&amp;AF386&amp;""",","")&amp;IF(AG386&lt;&gt;"","colScreenHead="""&amp;AG386&amp;""",","")&amp;IF(AH386&gt;0,"nColAlpha="&amp;AH386&amp;",","")&amp;IF(AI386&gt;0,"bAttention=true,","")&amp;IF(AJ386&gt;0,"bCaution=true,","")&amp;IF(AK386&gt;0,"bScreenHead=true,","")&amp;"},"&amp;AL386&amp;"},","")&amp;IF(AN386&lt;&gt;"","tCountdown={"&amp;_xlfn.TEXTJOIN("",TRUE,AN386:ZY386)&amp;"},","")&amp;"},",IF(C385&gt;0,"},","")&amp;IF(AND(B386="",C386="",OR(B385&lt;&gt;"",C385&lt;&gt;"")),"},}","")))</f>
        <v>{dwID=5777,nLevel=1,szNote="圣手织天",col={179,238,58,},[1]={},[2]={},aCataclysmBuff={{szReminder="圣 免疫打断运功、缴械和无法运功",nPriority=11,col="#B3EE3AFF",nColAlpha=255,},},},</v>
      </c>
    </row>
    <row r="387" spans="3:39" x14ac:dyDescent="0.15">
      <c r="C387">
        <v>6636</v>
      </c>
      <c r="D387">
        <v>1</v>
      </c>
      <c r="K387" t="s">
        <v>167</v>
      </c>
      <c r="L387" t="s">
        <v>2120</v>
      </c>
      <c r="AD387" t="s">
        <v>2421</v>
      </c>
      <c r="AE387">
        <v>11</v>
      </c>
      <c r="AF387" t="s">
        <v>2123</v>
      </c>
      <c r="AH387">
        <v>255</v>
      </c>
      <c r="AM387" t="str">
        <f t="shared" si="6"/>
        <v>{dwID=6636,nLevel=1,szNote="圣手织天",col={179,238,58,},[1]={},[2]={},aCataclysmBuff={{szReminder="圣 奶毒技能圣手减伤",nPriority=11,col="#B3EE3AFF",nColAlpha=255,},},},</v>
      </c>
    </row>
    <row r="388" spans="3:39" x14ac:dyDescent="0.15">
      <c r="C388">
        <v>6637</v>
      </c>
      <c r="D388">
        <v>1</v>
      </c>
      <c r="K388" t="s">
        <v>167</v>
      </c>
      <c r="L388" t="s">
        <v>2120</v>
      </c>
      <c r="AD388" t="s">
        <v>2421</v>
      </c>
      <c r="AE388">
        <v>11</v>
      </c>
      <c r="AF388" t="s">
        <v>2123</v>
      </c>
      <c r="AH388">
        <v>255</v>
      </c>
      <c r="AM388" t="str">
        <f t="shared" si="6"/>
        <v>{dwID=6637,nLevel=1,szNote="圣手织天",col={179,238,58,},[1]={},[2]={},aCataclysmBuff={{szReminder="圣 奶毒技能圣手减伤",nPriority=11,col="#B3EE3AFF",nColAlpha=255,},},},</v>
      </c>
    </row>
    <row r="389" spans="3:39" x14ac:dyDescent="0.15">
      <c r="C389">
        <v>8839</v>
      </c>
      <c r="D389">
        <v>1</v>
      </c>
      <c r="K389" t="s">
        <v>167</v>
      </c>
      <c r="L389" t="s">
        <v>2120</v>
      </c>
      <c r="AD389" t="s">
        <v>2421</v>
      </c>
      <c r="AE389">
        <v>11</v>
      </c>
      <c r="AF389" t="s">
        <v>2123</v>
      </c>
      <c r="AH389">
        <v>255</v>
      </c>
      <c r="AM389" t="str">
        <f t="shared" si="6"/>
        <v>{dwID=8839,nLevel=1,szNote="圣手织天",col={179,238,58,},[1]={},[2]={},aCataclysmBuff={{szReminder="圣 奶毒技能圣手减伤",nPriority=11,col="#B3EE3AFF",nColAlpha=255,},},},</v>
      </c>
    </row>
    <row r="390" spans="3:39" x14ac:dyDescent="0.15">
      <c r="C390">
        <v>3447</v>
      </c>
      <c r="D390">
        <v>1</v>
      </c>
      <c r="K390" t="s">
        <v>168</v>
      </c>
      <c r="L390" t="s">
        <v>2120</v>
      </c>
      <c r="AD390" t="s">
        <v>2423</v>
      </c>
      <c r="AE390">
        <v>11</v>
      </c>
      <c r="AF390" t="s">
        <v>2123</v>
      </c>
      <c r="AH390">
        <v>255</v>
      </c>
      <c r="AM390" t="str">
        <f t="shared" si="6"/>
        <v>{dwID=3447,nLevel=1,szNote="玄水蛊",col={179,238,58,},[1]={},[2]={},aCataclysmBuff={{szReminder="玄 技能玄水减伤",nPriority=11,col="#B3EE3AFF",nColAlpha=255,},},},</v>
      </c>
    </row>
    <row r="391" spans="3:39" x14ac:dyDescent="0.15">
      <c r="C391">
        <v>6240</v>
      </c>
      <c r="D391">
        <v>1</v>
      </c>
      <c r="K391" t="s">
        <v>168</v>
      </c>
      <c r="L391" t="s">
        <v>2120</v>
      </c>
      <c r="AD391" t="s">
        <v>2423</v>
      </c>
      <c r="AE391">
        <v>11</v>
      </c>
      <c r="AF391" t="s">
        <v>2123</v>
      </c>
      <c r="AH391">
        <v>255</v>
      </c>
      <c r="AM391" t="str">
        <f t="shared" si="6"/>
        <v>{dwID=6240,nLevel=1,szNote="玄水蛊",col={179,238,58,},[1]={},[2]={},aCataclysmBuff={{szReminder="玄 技能玄水减伤",nPriority=11,col="#B3EE3AFF",nColAlpha=255,},},},</v>
      </c>
    </row>
    <row r="392" spans="3:39" x14ac:dyDescent="0.15">
      <c r="C392">
        <v>14637</v>
      </c>
      <c r="D392">
        <v>1</v>
      </c>
      <c r="K392" t="s">
        <v>168</v>
      </c>
      <c r="L392" t="s">
        <v>2120</v>
      </c>
      <c r="AD392" t="s">
        <v>2423</v>
      </c>
      <c r="AE392">
        <v>11</v>
      </c>
      <c r="AF392" t="s">
        <v>2123</v>
      </c>
      <c r="AH392">
        <v>255</v>
      </c>
      <c r="AM392" t="str">
        <f t="shared" si="6"/>
        <v>{dwID=14637,nLevel=1,szNote="玄水蛊",col={179,238,58,},[1]={},[2]={},aCataclysmBuff={{szReminder="玄 技能玄水减伤",nPriority=11,col="#B3EE3AFF",nColAlpha=255,},},},</v>
      </c>
    </row>
    <row r="393" spans="3:39" x14ac:dyDescent="0.15">
      <c r="C393">
        <v>2849</v>
      </c>
      <c r="D393">
        <v>1</v>
      </c>
      <c r="K393" t="s">
        <v>169</v>
      </c>
      <c r="L393" t="s">
        <v>2120</v>
      </c>
      <c r="AD393" t="s">
        <v>2424</v>
      </c>
      <c r="AE393">
        <v>11</v>
      </c>
      <c r="AF393" t="s">
        <v>2123</v>
      </c>
      <c r="AH393">
        <v>255</v>
      </c>
      <c r="AM393" t="str">
        <f t="shared" si="6"/>
        <v>{dwID=2849,nLevel=1,szNote="蝶戏水",col={179,238,58,},[1]={},[2]={},aCataclysmBuff={{szReminder="减 奶毒奇穴蝶戏水减伤",nPriority=11,col="#B3EE3AFF",nColAlpha=255,},},},</v>
      </c>
    </row>
    <row r="394" spans="3:39" x14ac:dyDescent="0.15">
      <c r="C394">
        <v>9874</v>
      </c>
      <c r="D394">
        <v>1</v>
      </c>
      <c r="K394" t="s">
        <v>170</v>
      </c>
      <c r="L394" t="s">
        <v>2120</v>
      </c>
      <c r="AD394" t="s">
        <v>2425</v>
      </c>
      <c r="AE394">
        <v>11</v>
      </c>
      <c r="AF394" t="s">
        <v>2123</v>
      </c>
      <c r="AH394">
        <v>255</v>
      </c>
      <c r="AM394" t="str">
        <f t="shared" si="6"/>
        <v>{dwID=9874,nLevel=1,szNote="散影",col={179,238,58,},[1]={},[2]={},aCataclysmBuff={{szReminder="减 奇穴散影减伤",nPriority=11,col="#B3EE3AFF",nColAlpha=255,},},},</v>
      </c>
    </row>
    <row r="395" spans="3:39" x14ac:dyDescent="0.15">
      <c r="C395">
        <v>6247</v>
      </c>
      <c r="D395">
        <v>1</v>
      </c>
      <c r="K395" t="s">
        <v>171</v>
      </c>
      <c r="L395" t="s">
        <v>2120</v>
      </c>
      <c r="AD395" t="s">
        <v>2426</v>
      </c>
      <c r="AE395">
        <v>11</v>
      </c>
      <c r="AF395" t="s">
        <v>2123</v>
      </c>
      <c r="AH395">
        <v>255</v>
      </c>
      <c r="AM395" t="str">
        <f t="shared" si="6"/>
        <v>{dwID=6247,nLevel=1,szNote="蛊影",col={179,238,58,},[1]={},[2]={},aCataclysmBuff={{szReminder="减 毒经技能灵蛊减伤",nPriority=11,col="#B3EE3AFF",nColAlpha=255,},},},</v>
      </c>
    </row>
    <row r="396" spans="3:39" x14ac:dyDescent="0.15">
      <c r="C396">
        <v>20802</v>
      </c>
      <c r="D396">
        <v>1</v>
      </c>
      <c r="K396" t="s">
        <v>172</v>
      </c>
      <c r="L396" t="s">
        <v>2120</v>
      </c>
      <c r="AD396" t="s">
        <v>2427</v>
      </c>
      <c r="AE396">
        <v>11</v>
      </c>
      <c r="AF396" t="s">
        <v>2123</v>
      </c>
      <c r="AH396">
        <v>255</v>
      </c>
      <c r="AM396" t="str">
        <f t="shared" si="6"/>
        <v>{dwID=20802,nLevel=1,szNote="求凰",col={179,238,58,},[1]={},[2]={},aCataclysmBuff={{szReminder="减 奶毒奇穴求凰减伤",nPriority=11,col="#B3EE3AFF",nColAlpha=255,},},},</v>
      </c>
    </row>
    <row r="397" spans="3:39" x14ac:dyDescent="0.15">
      <c r="C397">
        <v>22698</v>
      </c>
      <c r="D397">
        <v>1</v>
      </c>
      <c r="K397" t="s">
        <v>173</v>
      </c>
      <c r="L397" t="s">
        <v>2120</v>
      </c>
      <c r="AD397" t="s">
        <v>2428</v>
      </c>
      <c r="AE397">
        <v>11</v>
      </c>
      <c r="AF397" t="s">
        <v>2123</v>
      </c>
      <c r="AH397">
        <v>255</v>
      </c>
      <c r="AM397" t="str">
        <f t="shared" si="6"/>
        <v>{dwID=22698,nLevel=1,szNote="忘攸蛊",col={179,238,58,},[1]={},[2]={},aCataclysmBuff={{szReminder="减 毒经奇穴忘攸蛊减伤",nPriority=11,col="#B3EE3AFF",nColAlpha=255,},},},</v>
      </c>
    </row>
    <row r="398" spans="3:39" x14ac:dyDescent="0.15">
      <c r="C398">
        <v>17990</v>
      </c>
      <c r="D398">
        <v>1</v>
      </c>
      <c r="K398" t="s">
        <v>174</v>
      </c>
      <c r="L398" t="s">
        <v>2120</v>
      </c>
      <c r="AD398" t="s">
        <v>2429</v>
      </c>
      <c r="AE398">
        <v>11</v>
      </c>
      <c r="AF398" t="s">
        <v>2123</v>
      </c>
      <c r="AH398">
        <v>255</v>
      </c>
      <c r="AM398" t="str">
        <f t="shared" si="6"/>
        <v>{dwID=17990,nLevel=1,szNote="茧灵",col={179,238,58,},[1]={},[2]={},aCataclysmBuff={{szReminder="盾 奶毒奇穴茧灵化解",nPriority=11,col="#B3EE3AFF",nColAlpha=255,},},},</v>
      </c>
    </row>
    <row r="399" spans="3:39" x14ac:dyDescent="0.15">
      <c r="C399">
        <v>24473</v>
      </c>
      <c r="D399">
        <v>1</v>
      </c>
      <c r="K399" t="s">
        <v>175</v>
      </c>
      <c r="L399" t="s">
        <v>2120</v>
      </c>
      <c r="AD399" t="s">
        <v>2430</v>
      </c>
      <c r="AE399">
        <v>11</v>
      </c>
      <c r="AF399" t="s">
        <v>2123</v>
      </c>
      <c r="AH399">
        <v>255</v>
      </c>
      <c r="AM399" t="str">
        <f t="shared" si="6"/>
        <v>{dwID=24473,nLevel=1,szNote="展屏",col={179,238,58,},[1]={},[2]={},aCataclysmBuff={{szReminder="盾 奶毒奇穴孔雀引减伤化解",nPriority=11,col="#B3EE3AFF",nColAlpha=255,},},},</v>
      </c>
    </row>
    <row r="400" spans="3:39" x14ac:dyDescent="0.15">
      <c r="C400">
        <v>12559</v>
      </c>
      <c r="D400">
        <v>1</v>
      </c>
      <c r="K400" t="s">
        <v>64</v>
      </c>
      <c r="L400" t="s">
        <v>2120</v>
      </c>
      <c r="AB400">
        <v>1</v>
      </c>
      <c r="AD400" t="s">
        <v>2431</v>
      </c>
      <c r="AE400">
        <v>11</v>
      </c>
      <c r="AF400" t="s">
        <v>2123</v>
      </c>
      <c r="AH400">
        <v>255</v>
      </c>
      <c r="AM400" t="str">
        <f t="shared" si="6"/>
        <v>{dwID=12559,nLevel=1,szNote="噬蛊",col={179,238,58,},[1]={},[2]={},aCataclysmBuff={{bOnlyMine=true,szReminder="灵 奶毒技能灵蛊免控",nPriority=11,col="#B3EE3AFF",nColAlpha=255,},},},</v>
      </c>
    </row>
    <row r="401" spans="3:39" x14ac:dyDescent="0.15">
      <c r="C401">
        <v>5950</v>
      </c>
      <c r="D401">
        <v>1</v>
      </c>
      <c r="K401" t="s">
        <v>65</v>
      </c>
      <c r="L401" t="s">
        <v>2120</v>
      </c>
      <c r="R401">
        <v>1</v>
      </c>
      <c r="AD401" t="s">
        <v>2267</v>
      </c>
      <c r="AE401">
        <v>11</v>
      </c>
      <c r="AF401" t="s">
        <v>2123</v>
      </c>
      <c r="AG401" t="s">
        <v>2130</v>
      </c>
      <c r="AH401">
        <v>255</v>
      </c>
      <c r="AK401">
        <v>1</v>
      </c>
      <c r="AM401" t="str">
        <f t="shared" si="6"/>
        <v>{dwID=5950,nLevel=1,szNote="蛊虫献祭",col={179,238,58,},[1]={bScreenHead=true,},[2]={},aCataclysmBuff={{szReminder="祭 蛊虫献祭通用免控（击退和被拉除外）",nPriority=11,col="#B3EE3AFF",colScreenHead="#B3EE3A",nColAlpha=255,bScreenHead=true,},},},</v>
      </c>
    </row>
    <row r="402" spans="3:39" x14ac:dyDescent="0.15">
      <c r="C402">
        <v>24329</v>
      </c>
      <c r="D402">
        <v>1</v>
      </c>
      <c r="K402" t="s">
        <v>66</v>
      </c>
      <c r="L402" t="s">
        <v>2120</v>
      </c>
      <c r="R402">
        <v>1</v>
      </c>
      <c r="AD402" t="s">
        <v>2268</v>
      </c>
      <c r="AE402">
        <v>11</v>
      </c>
      <c r="AF402" t="s">
        <v>2123</v>
      </c>
      <c r="AG402" t="s">
        <v>2130</v>
      </c>
      <c r="AH402">
        <v>255</v>
      </c>
      <c r="AK402">
        <v>1</v>
      </c>
      <c r="AM402" t="str">
        <f t="shared" si="6"/>
        <v>{dwID=24329,nLevel=1,szNote="驭虫",col={179,238,58,},[1]={bScreenHead=true,},[2]={},aCataclysmBuff={{szReminder="免 驭虫免控（击退和被拉除外）",nPriority=11,col="#B3EE3AFF",colScreenHead="#B3EE3A",nColAlpha=255,bScreenHead=true,},},},</v>
      </c>
    </row>
    <row r="403" spans="3:39" x14ac:dyDescent="0.15">
      <c r="C403">
        <v>3425</v>
      </c>
      <c r="D403">
        <v>1</v>
      </c>
      <c r="K403" t="s">
        <v>67</v>
      </c>
      <c r="L403" t="s">
        <v>2115</v>
      </c>
      <c r="R403">
        <v>1</v>
      </c>
      <c r="AD403" t="s">
        <v>2269</v>
      </c>
      <c r="AE403">
        <v>2</v>
      </c>
      <c r="AF403" t="s">
        <v>2117</v>
      </c>
      <c r="AG403" t="s">
        <v>2132</v>
      </c>
      <c r="AH403">
        <v>255</v>
      </c>
      <c r="AI403">
        <v>1</v>
      </c>
      <c r="AK403">
        <v>1</v>
      </c>
      <c r="AM403" t="str">
        <f t="shared" si="6"/>
        <v>{dwID=3425,nLevel=1,szNote="鬼斧神工",col={255,204,0,},[1]={bScreenHead=true,},[2]={},aCataclysmBuff={{szReminder="鬼 田螺技能鬼斧无敌",nPriority=2,col="#FFCC00FF",colScreenHead="#FFCC00",nColAlpha=255,bAttention=true,bScreenHead=true,},},},</v>
      </c>
    </row>
    <row r="404" spans="3:39" x14ac:dyDescent="0.15">
      <c r="C404">
        <v>3203</v>
      </c>
      <c r="D404">
        <v>1</v>
      </c>
      <c r="K404" t="s">
        <v>68</v>
      </c>
      <c r="L404" t="s">
        <v>2115</v>
      </c>
      <c r="R404">
        <v>1</v>
      </c>
      <c r="AD404" t="s">
        <v>2270</v>
      </c>
      <c r="AE404">
        <v>2</v>
      </c>
      <c r="AF404" t="s">
        <v>2117</v>
      </c>
      <c r="AG404" t="s">
        <v>2132</v>
      </c>
      <c r="AH404">
        <v>255</v>
      </c>
      <c r="AI404">
        <v>1</v>
      </c>
      <c r="AK404">
        <v>1</v>
      </c>
      <c r="AM404" t="str">
        <f t="shared" si="6"/>
        <v>{dwID=3203,nLevel=1,szNote="浮光掠影",col={255,204,0,},[1]={bScreenHead=true,},[2]={},aCataclysmBuff={{szReminder="隐 技能隐身",nPriority=2,col="#FFCC00FF",colScreenHead="#FFCC00",nColAlpha=255,bAttention=true,bScreenHead=true,},},},</v>
      </c>
    </row>
    <row r="405" spans="3:39" x14ac:dyDescent="0.15">
      <c r="C405">
        <v>9987</v>
      </c>
      <c r="D405">
        <v>1</v>
      </c>
      <c r="K405" t="s">
        <v>69</v>
      </c>
      <c r="L405" t="s">
        <v>2115</v>
      </c>
      <c r="R405">
        <v>1</v>
      </c>
      <c r="AD405" t="s">
        <v>2271</v>
      </c>
      <c r="AE405">
        <v>2</v>
      </c>
      <c r="AF405" t="s">
        <v>2117</v>
      </c>
      <c r="AG405" t="s">
        <v>2132</v>
      </c>
      <c r="AH405">
        <v>255</v>
      </c>
      <c r="AK405">
        <v>1</v>
      </c>
      <c r="AM405" t="str">
        <f t="shared" si="6"/>
        <v>{dwID=9987,nLevel=1,szNote="瑕草无霜",col={255,204,0,},[1]={bScreenHead=true,},[2]={},aCataclysmBuff={{szReminder="隐 奇穴群隐",nPriority=2,col="#FFCC00FF",colScreenHead="#FFCC00",nColAlpha=255,bScreenHead=true,},},},</v>
      </c>
    </row>
    <row r="406" spans="3:39" x14ac:dyDescent="0.15">
      <c r="C406">
        <v>3274</v>
      </c>
      <c r="D406">
        <v>1</v>
      </c>
      <c r="K406" t="s">
        <v>176</v>
      </c>
      <c r="L406" t="s">
        <v>2120</v>
      </c>
      <c r="AD406" t="s">
        <v>2432</v>
      </c>
      <c r="AE406">
        <v>11</v>
      </c>
      <c r="AF406" t="s">
        <v>2123</v>
      </c>
      <c r="AH406">
        <v>255</v>
      </c>
      <c r="AM406" t="str">
        <f t="shared" si="6"/>
        <v>{dwID=3274,nLevel=1,szNote="烟消云散",col={179,238,58,},[1]={},[2]={},aCataclysmBuff={{szReminder="减 技能浮光掠影隐身40减伤",nPriority=11,col="#B3EE3AFF",nColAlpha=255,},},},</v>
      </c>
    </row>
    <row r="407" spans="3:39" x14ac:dyDescent="0.15">
      <c r="C407">
        <v>9073</v>
      </c>
      <c r="D407">
        <v>1</v>
      </c>
      <c r="K407" t="s">
        <v>176</v>
      </c>
      <c r="L407" t="s">
        <v>2120</v>
      </c>
      <c r="AD407" t="s">
        <v>2433</v>
      </c>
      <c r="AE407">
        <v>11</v>
      </c>
      <c r="AF407" t="s">
        <v>2123</v>
      </c>
      <c r="AH407">
        <v>255</v>
      </c>
      <c r="AM407" t="str">
        <f t="shared" si="6"/>
        <v>{dwID=9073,nLevel=1,szNote="烟消云散",col={179,238,58,},[1]={},[2]={},aCataclysmBuff={{szReminder="减 技能隐身40减伤",nPriority=11,col="#B3EE3AFF",nColAlpha=255,},},},</v>
      </c>
    </row>
    <row r="408" spans="3:39" x14ac:dyDescent="0.15">
      <c r="C408">
        <v>3214</v>
      </c>
      <c r="D408">
        <v>1</v>
      </c>
      <c r="K408" t="s">
        <v>70</v>
      </c>
      <c r="L408" t="s">
        <v>2120</v>
      </c>
      <c r="R408">
        <v>1</v>
      </c>
      <c r="AD408" t="s">
        <v>2272</v>
      </c>
      <c r="AE408">
        <v>11</v>
      </c>
      <c r="AF408" t="s">
        <v>2123</v>
      </c>
      <c r="AG408" t="s">
        <v>2130</v>
      </c>
      <c r="AH408">
        <v>255</v>
      </c>
      <c r="AK408">
        <v>1</v>
      </c>
      <c r="AM408" t="str">
        <f t="shared" si="6"/>
        <v>{dwID=3214,nLevel=1,szNote="惊鸿游龙",col={179,238,58,},[1]={bScreenHead=true,},[2]={},aCataclysmBuff={{szReminder="惊 技能惊鸿闪避内减",nPriority=11,col="#B3EE3AFF",colScreenHead="#B3EE3A",nColAlpha=255,bScreenHead=true,},},},</v>
      </c>
    </row>
    <row r="409" spans="3:39" x14ac:dyDescent="0.15">
      <c r="C409">
        <v>3311</v>
      </c>
      <c r="D409">
        <v>1</v>
      </c>
      <c r="K409" t="s">
        <v>177</v>
      </c>
      <c r="L409" t="s">
        <v>2120</v>
      </c>
      <c r="AD409" t="s">
        <v>2434</v>
      </c>
      <c r="AE409">
        <v>11</v>
      </c>
      <c r="AF409" t="s">
        <v>2123</v>
      </c>
      <c r="AH409">
        <v>255</v>
      </c>
      <c r="AM409" t="str">
        <f t="shared" si="6"/>
        <v>{dwID=3311,nLevel=1,szNote="飞遁",col={179,238,58,},[1]={},[2]={},aCataclysmBuff={{szReminder="减 田螺阵50减伤",nPriority=11,col="#B3EE3AFF",nColAlpha=255,},},},</v>
      </c>
    </row>
    <row r="410" spans="3:39" x14ac:dyDescent="0.15">
      <c r="C410">
        <v>12481</v>
      </c>
      <c r="D410">
        <v>1</v>
      </c>
      <c r="K410" t="s">
        <v>71</v>
      </c>
      <c r="L410" t="s">
        <v>2120</v>
      </c>
      <c r="R410">
        <v>1</v>
      </c>
      <c r="AD410" t="s">
        <v>2273</v>
      </c>
      <c r="AE410">
        <v>11</v>
      </c>
      <c r="AF410" t="s">
        <v>2123</v>
      </c>
      <c r="AG410" t="s">
        <v>2130</v>
      </c>
      <c r="AH410">
        <v>255</v>
      </c>
      <c r="AK410">
        <v>1</v>
      </c>
      <c r="AM410" t="str">
        <f t="shared" si="6"/>
        <v>{dwID=12481,nLevel=1,szNote="浮空",col={179,238,58,},[1]={bScreenHead=true,},[2]={},aCataclysmBuff={{szReminder="鸟 鸟翔碧空不受招式控制",nPriority=11,col="#B3EE3AFF",colScreenHead="#B3EE3A",nColAlpha=255,bScreenHead=true,},},},</v>
      </c>
    </row>
    <row r="411" spans="3:39" x14ac:dyDescent="0.15">
      <c r="C411">
        <v>12857</v>
      </c>
      <c r="D411">
        <v>1</v>
      </c>
      <c r="K411" t="s">
        <v>72</v>
      </c>
      <c r="L411" t="s">
        <v>2120</v>
      </c>
      <c r="R411">
        <v>1</v>
      </c>
      <c r="AD411" t="s">
        <v>2274</v>
      </c>
      <c r="AE411">
        <v>11</v>
      </c>
      <c r="AF411" t="s">
        <v>2123</v>
      </c>
      <c r="AG411" t="s">
        <v>2130</v>
      </c>
      <c r="AH411">
        <v>255</v>
      </c>
      <c r="AK411">
        <v>1</v>
      </c>
      <c r="AM411" t="str">
        <f t="shared" si="6"/>
        <v>{dwID=12857,nLevel=1,szNote="飞鸢逐月",col={179,238,58,},[1]={bScreenHead=true,},[2]={},aCataclysmBuff={{szReminder="飞 不受招式控制（击退和被拉除外）",nPriority=11,col="#B3EE3AFF",colScreenHead="#B3EE3A",nColAlpha=255,bScreenHead=true,},},},</v>
      </c>
    </row>
    <row r="412" spans="3:39" x14ac:dyDescent="0.15">
      <c r="C412">
        <v>6087</v>
      </c>
      <c r="D412">
        <v>1</v>
      </c>
      <c r="K412" t="s">
        <v>73</v>
      </c>
      <c r="L412" t="s">
        <v>2120</v>
      </c>
      <c r="R412">
        <v>1</v>
      </c>
      <c r="AD412" t="s">
        <v>2275</v>
      </c>
      <c r="AE412">
        <v>11</v>
      </c>
      <c r="AF412" t="s">
        <v>2123</v>
      </c>
      <c r="AG412" t="s">
        <v>2130</v>
      </c>
      <c r="AH412">
        <v>255</v>
      </c>
      <c r="AK412">
        <v>1</v>
      </c>
      <c r="AM412" t="str">
        <f t="shared" si="6"/>
        <v>{dwID=6087,nLevel=1,szNote="流火飞星",col={179,238,58,},[1]={bScreenHead=true,},[2]={},aCataclysmBuff={{szReminder="免 飞星遁影免控（击退和被拉除外）",nPriority=11,col="#B3EE3AFF",colScreenHead="#B3EE3A",nColAlpha=255,bScreenHead=true,},},},</v>
      </c>
    </row>
    <row r="413" spans="3:39" x14ac:dyDescent="0.15">
      <c r="C413">
        <v>3279</v>
      </c>
      <c r="D413">
        <v>1</v>
      </c>
      <c r="K413" t="s">
        <v>74</v>
      </c>
      <c r="L413" t="s">
        <v>2120</v>
      </c>
      <c r="R413">
        <v>1</v>
      </c>
      <c r="AD413" t="s">
        <v>2222</v>
      </c>
      <c r="AE413">
        <v>11</v>
      </c>
      <c r="AF413" t="s">
        <v>2123</v>
      </c>
      <c r="AG413" t="s">
        <v>2130</v>
      </c>
      <c r="AH413">
        <v>255</v>
      </c>
      <c r="AK413">
        <v>1</v>
      </c>
      <c r="AM413" t="str">
        <f t="shared" si="6"/>
        <v>{dwID=3279,nLevel=1,szNote="生死之交",col={179,238,58,},[1]={bScreenHead=true,},[2]={},aCataclysmBuff={{szReminder="免 免控（击退和被拉除外）",nPriority=11,col="#B3EE3AFF",colScreenHead="#B3EE3A",nColAlpha=255,bScreenHead=true,},},},</v>
      </c>
    </row>
    <row r="414" spans="3:39" x14ac:dyDescent="0.15">
      <c r="C414">
        <v>27088</v>
      </c>
      <c r="D414">
        <v>1</v>
      </c>
      <c r="K414" t="s">
        <v>2276</v>
      </c>
      <c r="L414" t="s">
        <v>2115</v>
      </c>
      <c r="R414">
        <v>1</v>
      </c>
      <c r="AD414" t="s">
        <v>2277</v>
      </c>
      <c r="AE414">
        <v>2</v>
      </c>
      <c r="AF414" t="s">
        <v>2117</v>
      </c>
      <c r="AG414" t="s">
        <v>2132</v>
      </c>
      <c r="AH414">
        <v>255</v>
      </c>
      <c r="AK414">
        <v>1</v>
      </c>
      <c r="AM414" t="str">
        <f t="shared" si="6"/>
        <v>{dwID=27088,nLevel=1,szNote="净",col={255,204,0,},[1]={bScreenHead=true,},[2]={},aCataclysmBuff={{szReminder="净 焚影奇穴清净心无敌",nPriority=2,col="#FFCC00FF",colScreenHead="#FFCC00",nColAlpha=255,bScreenHead=true,},},},</v>
      </c>
    </row>
    <row r="415" spans="3:39" x14ac:dyDescent="0.15">
      <c r="C415">
        <v>4245</v>
      </c>
      <c r="D415">
        <v>1</v>
      </c>
      <c r="K415" t="s">
        <v>178</v>
      </c>
      <c r="L415" t="s">
        <v>2120</v>
      </c>
      <c r="AD415" t="s">
        <v>2435</v>
      </c>
      <c r="AE415">
        <v>11</v>
      </c>
      <c r="AF415" t="s">
        <v>2123</v>
      </c>
      <c r="AH415">
        <v>255</v>
      </c>
      <c r="AM415" t="str">
        <f t="shared" si="6"/>
        <v>{dwID=4245,nLevel=1,szNote="圣体",col={179,238,58,},[1]={},[2]={},aCataclysmBuff={{szReminder="朝 明尊技能朝圣言减伤",nPriority=11,col="#B3EE3AFF",nColAlpha=255,},},},</v>
      </c>
    </row>
    <row r="416" spans="3:39" x14ac:dyDescent="0.15">
      <c r="C416">
        <v>6289</v>
      </c>
      <c r="D416">
        <v>1</v>
      </c>
      <c r="K416" t="s">
        <v>367</v>
      </c>
      <c r="L416" t="s">
        <v>2120</v>
      </c>
      <c r="AD416" t="s">
        <v>2436</v>
      </c>
      <c r="AE416">
        <v>11</v>
      </c>
      <c r="AF416" t="s">
        <v>2123</v>
      </c>
      <c r="AH416">
        <v>255</v>
      </c>
      <c r="AM416" t="str">
        <f t="shared" si="6"/>
        <v>{dwID=6289,nLevel=1,szNote="慈悲",col={179,238,58,},[1]={},[2]={},aCataclysmBuff={{szReminder="闪 明尊技能慈悲愿闪避",nPriority=11,col="#B3EE3AFF",nColAlpha=255,},},},</v>
      </c>
    </row>
    <row r="417" spans="3:39" x14ac:dyDescent="0.15">
      <c r="C417">
        <v>9736</v>
      </c>
      <c r="D417">
        <v>1</v>
      </c>
      <c r="K417" t="s">
        <v>372</v>
      </c>
      <c r="L417" t="s">
        <v>2120</v>
      </c>
      <c r="AD417" t="s">
        <v>2436</v>
      </c>
      <c r="AE417">
        <v>11</v>
      </c>
      <c r="AF417" t="s">
        <v>2123</v>
      </c>
      <c r="AH417">
        <v>255</v>
      </c>
      <c r="AM417" t="str">
        <f t="shared" si="6"/>
        <v>{dwID=9736,nLevel=1,szNote="慈悲愿",col={179,238,58,},[1]={},[2]={},aCataclysmBuff={{szReminder="闪 明尊技能慈悲愿闪避",nPriority=11,col="#B3EE3AFF",nColAlpha=255,},},},</v>
      </c>
    </row>
    <row r="418" spans="3:39" x14ac:dyDescent="0.15">
      <c r="C418">
        <v>4244</v>
      </c>
      <c r="D418">
        <v>1</v>
      </c>
      <c r="K418" t="s">
        <v>179</v>
      </c>
      <c r="L418" t="s">
        <v>2120</v>
      </c>
      <c r="AD418" t="s">
        <v>2437</v>
      </c>
      <c r="AE418">
        <v>11</v>
      </c>
      <c r="AF418" t="s">
        <v>2123</v>
      </c>
      <c r="AH418">
        <v>255</v>
      </c>
      <c r="AM418" t="str">
        <f t="shared" si="6"/>
        <v>{dwID=4244,nLevel=1,szNote="渡厄",col={179,238,58,},[1]={},[2]={},aCataclysmBuff={{szReminder="盾 明尊奇穴渡厄力化解",nPriority=11,col="#B3EE3AFF",nColAlpha=255,},},},</v>
      </c>
    </row>
    <row r="419" spans="3:39" x14ac:dyDescent="0.15">
      <c r="C419">
        <v>18075</v>
      </c>
      <c r="D419">
        <v>1</v>
      </c>
      <c r="K419" t="s">
        <v>75</v>
      </c>
      <c r="L419" t="s">
        <v>2120</v>
      </c>
      <c r="R419">
        <v>1</v>
      </c>
      <c r="AD419" t="s">
        <v>2278</v>
      </c>
      <c r="AE419">
        <v>11</v>
      </c>
      <c r="AF419" t="s">
        <v>2123</v>
      </c>
      <c r="AG419" t="s">
        <v>2130</v>
      </c>
      <c r="AH419">
        <v>255</v>
      </c>
      <c r="AK419">
        <v>1</v>
      </c>
      <c r="AM419" t="str">
        <f t="shared" si="6"/>
        <v>{dwID=18075,nLevel=1,szNote="微妙风",col={179,238,58,},[1]={bScreenHead=true,},[2]={},aCataclysmBuff={{szReminder="减 奇穴微妙风降被命中",nPriority=11,col="#B3EE3AFF",colScreenHead="#B3EE3A",nColAlpha=255,bScreenHead=true,},},},</v>
      </c>
    </row>
    <row r="420" spans="3:39" x14ac:dyDescent="0.15">
      <c r="C420">
        <v>15234</v>
      </c>
      <c r="D420">
        <v>1</v>
      </c>
      <c r="K420" t="s">
        <v>180</v>
      </c>
      <c r="L420" t="s">
        <v>2120</v>
      </c>
      <c r="AD420" t="s">
        <v>2438</v>
      </c>
      <c r="AE420">
        <v>11</v>
      </c>
      <c r="AF420" t="s">
        <v>2123</v>
      </c>
      <c r="AH420">
        <v>255</v>
      </c>
      <c r="AM420" t="str">
        <f t="shared" si="6"/>
        <v>{dwID=15234,nLevel=1,szNote="羁影",col={179,238,58,},[1]={},[2]={},aCataclysmBuff={{szReminder="闪 焚影奇穴明齐日月降被命中降低35%",nPriority=11,col="#B3EE3AFF",nColAlpha=255,},},},</v>
      </c>
    </row>
    <row r="421" spans="3:39" x14ac:dyDescent="0.15">
      <c r="C421">
        <v>9745</v>
      </c>
      <c r="D421">
        <v>1</v>
      </c>
      <c r="K421" t="s">
        <v>181</v>
      </c>
      <c r="L421" t="s">
        <v>2120</v>
      </c>
      <c r="AD421" t="s">
        <v>2439</v>
      </c>
      <c r="AE421">
        <v>11</v>
      </c>
      <c r="AF421" t="s">
        <v>2123</v>
      </c>
      <c r="AH421">
        <v>255</v>
      </c>
      <c r="AM421" t="str">
        <f t="shared" si="6"/>
        <v>{dwID=9745,nLevel=1,szNote="朝圣",col={179,238,58,},[1]={},[2]={},aCataclysmBuff={{szReminder="减 明尊奇穴耀火生瑞减伤",nPriority=11,col="#B3EE3AFF",nColAlpha=255,},},},</v>
      </c>
    </row>
    <row r="422" spans="3:39" x14ac:dyDescent="0.15">
      <c r="C422">
        <v>4200</v>
      </c>
      <c r="D422">
        <v>1</v>
      </c>
      <c r="K422" t="s">
        <v>182</v>
      </c>
      <c r="L422" t="s">
        <v>2120</v>
      </c>
      <c r="AD422" t="s">
        <v>2440</v>
      </c>
      <c r="AE422">
        <v>11</v>
      </c>
      <c r="AF422" t="s">
        <v>2123</v>
      </c>
      <c r="AH422">
        <v>255</v>
      </c>
      <c r="AM422" t="str">
        <f t="shared" si="6"/>
        <v>{dwID=4200,nLevel=1,szNote="性命海",col={179,238,58,},[1]={},[2]={},aCataclysmBuff={{szReminder="血 明尊奇穴性命海血上限疗效",nPriority=11,col="#B3EE3AFF",nColAlpha=255,},},},</v>
      </c>
    </row>
    <row r="423" spans="3:39" x14ac:dyDescent="0.15">
      <c r="C423">
        <v>4052</v>
      </c>
      <c r="D423">
        <v>1</v>
      </c>
      <c r="K423" t="s">
        <v>18</v>
      </c>
      <c r="L423" t="s">
        <v>2120</v>
      </c>
      <c r="R423">
        <v>1</v>
      </c>
      <c r="AD423" t="s">
        <v>2279</v>
      </c>
      <c r="AE423">
        <v>2</v>
      </c>
      <c r="AF423" t="s">
        <v>2123</v>
      </c>
      <c r="AG423" t="s">
        <v>2130</v>
      </c>
      <c r="AH423">
        <v>255</v>
      </c>
      <c r="AI423">
        <v>1</v>
      </c>
      <c r="AK423">
        <v>1</v>
      </c>
      <c r="AM423" t="str">
        <f t="shared" si="6"/>
        <v>{dwID=4052,nLevel=1,szNote="暗尘弥散",col={179,238,58,},[1]={bScreenHead=true,},[2]={},aCataclysmBuff={{szReminder="隐 施展伤害招式或受到伤害后伪装失效",nPriority=2,col="#B3EE3AFF",colScreenHead="#B3EE3A",nColAlpha=255,bAttention=true,bScreenHead=true,},},},</v>
      </c>
    </row>
    <row r="424" spans="3:39" x14ac:dyDescent="0.15">
      <c r="C424">
        <v>5744</v>
      </c>
      <c r="D424">
        <v>1</v>
      </c>
      <c r="K424" t="s">
        <v>76</v>
      </c>
      <c r="L424" t="s">
        <v>2120</v>
      </c>
      <c r="R424">
        <v>1</v>
      </c>
      <c r="AD424" t="s">
        <v>2280</v>
      </c>
      <c r="AE424">
        <v>11</v>
      </c>
      <c r="AF424" t="s">
        <v>2123</v>
      </c>
      <c r="AG424" t="s">
        <v>2130</v>
      </c>
      <c r="AH424">
        <v>255</v>
      </c>
      <c r="AI424">
        <v>1</v>
      </c>
      <c r="AK424">
        <v>1</v>
      </c>
      <c r="AM424" t="str">
        <f t="shared" si="6"/>
        <v>{dwID=5744,nLevel=1,szNote="贪魔体",col={179,238,58,},[1]={bScreenHead=true,},[2]={},aCataclysmBuff={{szReminder="贪 贪魔体",nPriority=11,col="#B3EE3AFF",colScreenHead="#B3EE3A",nColAlpha=255,bAttention=true,bScreenHead=true,},},},</v>
      </c>
    </row>
    <row r="425" spans="3:39" x14ac:dyDescent="0.15">
      <c r="C425">
        <v>6279</v>
      </c>
      <c r="D425">
        <v>1</v>
      </c>
      <c r="K425" t="s">
        <v>76</v>
      </c>
      <c r="L425" t="s">
        <v>2120</v>
      </c>
      <c r="R425">
        <v>1</v>
      </c>
      <c r="AD425" t="s">
        <v>2280</v>
      </c>
      <c r="AE425">
        <v>11</v>
      </c>
      <c r="AF425" t="s">
        <v>2123</v>
      </c>
      <c r="AG425" t="s">
        <v>2130</v>
      </c>
      <c r="AH425">
        <v>255</v>
      </c>
      <c r="AI425">
        <v>1</v>
      </c>
      <c r="AK425">
        <v>1</v>
      </c>
      <c r="AM425" t="str">
        <f t="shared" si="6"/>
        <v>{dwID=6279,nLevel=1,szNote="贪魔体",col={179,238,58,},[1]={bScreenHead=true,},[2]={},aCataclysmBuff={{szReminder="贪 贪魔体",nPriority=11,col="#B3EE3AFF",colScreenHead="#B3EE3A",nColAlpha=255,bAttention=true,bScreenHead=true,},},},</v>
      </c>
    </row>
    <row r="426" spans="3:39" x14ac:dyDescent="0.15">
      <c r="C426">
        <v>4439</v>
      </c>
      <c r="D426">
        <v>1</v>
      </c>
      <c r="K426" t="s">
        <v>76</v>
      </c>
      <c r="L426" t="s">
        <v>2120</v>
      </c>
      <c r="R426">
        <v>1</v>
      </c>
      <c r="AD426" t="s">
        <v>2281</v>
      </c>
      <c r="AE426">
        <v>11</v>
      </c>
      <c r="AF426" t="s">
        <v>2123</v>
      </c>
      <c r="AG426" t="s">
        <v>2130</v>
      </c>
      <c r="AH426">
        <v>255</v>
      </c>
      <c r="AI426">
        <v>1</v>
      </c>
      <c r="AK426">
        <v>1</v>
      </c>
      <c r="AM426" t="str">
        <f t="shared" si="6"/>
        <v>{dwID=4439,nLevel=1,szNote="贪魔体",col={179,238,58,},[1]={bScreenHead=true,},[2]={},aCataclysmBuff={{szReminder="贪 技能贪魔体减伤",nPriority=11,col="#B3EE3AFF",colScreenHead="#B3EE3A",nColAlpha=255,bAttention=true,bScreenHead=true,},},},</v>
      </c>
    </row>
    <row r="427" spans="3:39" x14ac:dyDescent="0.15">
      <c r="C427">
        <v>12665</v>
      </c>
      <c r="D427">
        <v>1</v>
      </c>
      <c r="K427" t="s">
        <v>77</v>
      </c>
      <c r="L427" t="s">
        <v>2120</v>
      </c>
      <c r="R427">
        <v>1</v>
      </c>
      <c r="AD427" t="s">
        <v>2282</v>
      </c>
      <c r="AE427">
        <v>11</v>
      </c>
      <c r="AF427" t="s">
        <v>2123</v>
      </c>
      <c r="AG427" t="s">
        <v>2130</v>
      </c>
      <c r="AH427">
        <v>255</v>
      </c>
      <c r="AK427">
        <v>1</v>
      </c>
      <c r="AM427" t="str">
        <f t="shared" si="6"/>
        <v>{dwID=12665,nLevel=1,szNote="秘影",col={179,238,58,},[1]={bScreenHead=true,},[2]={},aCataclysmBuff={{szReminder="免 不受招式控制（击退和被拉除外）",nPriority=11,col="#B3EE3AFF",colScreenHead="#B3EE3A",nColAlpha=255,bScreenHead=true,},},},</v>
      </c>
    </row>
    <row r="428" spans="3:39" x14ac:dyDescent="0.15">
      <c r="C428">
        <v>4468</v>
      </c>
      <c r="D428">
        <v>1</v>
      </c>
      <c r="K428" t="s">
        <v>19</v>
      </c>
      <c r="L428" t="s">
        <v>2120</v>
      </c>
      <c r="R428">
        <v>1</v>
      </c>
      <c r="AD428" t="s">
        <v>2282</v>
      </c>
      <c r="AE428">
        <v>11</v>
      </c>
      <c r="AF428" t="s">
        <v>2123</v>
      </c>
      <c r="AG428" t="s">
        <v>2130</v>
      </c>
      <c r="AH428">
        <v>255</v>
      </c>
      <c r="AK428">
        <v>1</v>
      </c>
      <c r="AM428" t="str">
        <f t="shared" si="6"/>
        <v>{dwID=4468,nLevel=1,szNote="超然",col={179,238,58,},[1]={bScreenHead=true,},[2]={},aCataclysmBuff={{szReminder="免 不受招式控制（击退和被拉除外）",nPriority=11,col="#B3EE3AFF",colScreenHead="#B3EE3A",nColAlpha=255,bScreenHead=true,},},},</v>
      </c>
    </row>
    <row r="429" spans="3:39" x14ac:dyDescent="0.15">
      <c r="C429">
        <v>12491</v>
      </c>
      <c r="D429">
        <v>1</v>
      </c>
      <c r="K429" t="s">
        <v>78</v>
      </c>
      <c r="L429" t="s">
        <v>2120</v>
      </c>
      <c r="R429">
        <v>1</v>
      </c>
      <c r="AD429" t="s">
        <v>2283</v>
      </c>
      <c r="AE429">
        <v>11</v>
      </c>
      <c r="AF429" t="s">
        <v>2123</v>
      </c>
      <c r="AG429" t="s">
        <v>2130</v>
      </c>
      <c r="AH429">
        <v>255</v>
      </c>
      <c r="AK429">
        <v>1</v>
      </c>
      <c r="AM429" t="str">
        <f t="shared" si="6"/>
        <v>{dwID=12491,nLevel=1,szNote="冥月渡心",col={179,238,58,},[1]={bScreenHead=true,},[2]={},aCataclysmBuff={{szReminder="免 免疫控制效果（被推被拉除外）",nPriority=11,col="#B3EE3AFF",colScreenHead="#B3EE3A",nColAlpha=255,bScreenHead=true,},},},</v>
      </c>
    </row>
    <row r="430" spans="3:39" x14ac:dyDescent="0.15">
      <c r="C430">
        <v>27034</v>
      </c>
      <c r="D430">
        <v>1</v>
      </c>
      <c r="K430" t="s">
        <v>78</v>
      </c>
      <c r="L430" t="s">
        <v>2120</v>
      </c>
      <c r="R430">
        <v>1</v>
      </c>
      <c r="AD430" t="s">
        <v>2283</v>
      </c>
      <c r="AE430">
        <v>11</v>
      </c>
      <c r="AF430" t="s">
        <v>2123</v>
      </c>
      <c r="AG430" t="s">
        <v>2130</v>
      </c>
      <c r="AH430">
        <v>255</v>
      </c>
      <c r="AK430">
        <v>1</v>
      </c>
      <c r="AM430" t="str">
        <f t="shared" si="6"/>
        <v>{dwID=27034,nLevel=1,szNote="冥月渡心",col={179,238,58,},[1]={bScreenHead=true,},[2]={},aCataclysmBuff={{szReminder="免 免疫控制效果（被推被拉除外）",nPriority=11,col="#B3EE3AFF",colScreenHead="#B3EE3A",nColAlpha=255,bScreenHead=true,},},},</v>
      </c>
    </row>
    <row r="431" spans="3:39" x14ac:dyDescent="0.15">
      <c r="C431">
        <v>18071</v>
      </c>
      <c r="D431">
        <v>1</v>
      </c>
      <c r="K431" t="s">
        <v>183</v>
      </c>
      <c r="L431" t="s">
        <v>2120</v>
      </c>
      <c r="AD431" t="s">
        <v>2441</v>
      </c>
      <c r="AE431">
        <v>11</v>
      </c>
      <c r="AF431" t="s">
        <v>2123</v>
      </c>
      <c r="AH431">
        <v>255</v>
      </c>
      <c r="AM431" t="str">
        <f t="shared" si="6"/>
        <v>{dwID=18071,nLevel=1,szNote="具智",col={179,238,58,},[1]={},[2]={},aCataclysmBuff={{szReminder="闪 被命中几率降低10%",nPriority=11,col="#B3EE3AFF",nColAlpha=255,},},},</v>
      </c>
    </row>
    <row r="432" spans="3:39" x14ac:dyDescent="0.15">
      <c r="C432">
        <v>24369</v>
      </c>
      <c r="D432">
        <v>1</v>
      </c>
      <c r="K432" t="s">
        <v>2442</v>
      </c>
      <c r="L432" t="s">
        <v>2120</v>
      </c>
      <c r="AD432" t="s">
        <v>2443</v>
      </c>
      <c r="AE432">
        <v>10</v>
      </c>
      <c r="AF432" t="s">
        <v>2123</v>
      </c>
      <c r="AH432">
        <v>255</v>
      </c>
      <c r="AM432" t="str">
        <f t="shared" si="6"/>
        <v>{dwID=24369,nLevel=1,szNote="清静心",col={179,238,58,},[1]={},[2]={},aCataclysmBuff={{szReminder="解 受到控制效果则解除",nPriority=10,col="#B3EE3AFF",nColAlpha=255,},},},</v>
      </c>
    </row>
    <row r="433" spans="3:39" x14ac:dyDescent="0.15">
      <c r="C433">
        <v>19222</v>
      </c>
      <c r="D433">
        <v>1</v>
      </c>
      <c r="K433" t="s">
        <v>79</v>
      </c>
      <c r="L433" t="s">
        <v>2120</v>
      </c>
      <c r="R433">
        <v>1</v>
      </c>
      <c r="AD433" t="s">
        <v>2284</v>
      </c>
      <c r="AE433">
        <v>11</v>
      </c>
      <c r="AF433" t="s">
        <v>2123</v>
      </c>
      <c r="AG433" t="s">
        <v>2130</v>
      </c>
      <c r="AH433">
        <v>255</v>
      </c>
      <c r="AK433">
        <v>1</v>
      </c>
      <c r="AM433" t="str">
        <f t="shared" si="6"/>
        <v>{dwID=19222,nLevel=1,szNote="无间影狱",col={179,238,58,},[1]={bScreenHead=true,},[2]={},aCataclysmBuff={{szReminder="盾 化解自身最大气血值20%的伤害",nPriority=11,col="#B3EE3AFF",colScreenHead="#B3EE3A",nColAlpha=255,bScreenHead=true,},},},</v>
      </c>
    </row>
    <row r="434" spans="3:39" x14ac:dyDescent="0.15">
      <c r="C434">
        <v>23180</v>
      </c>
      <c r="D434">
        <v>1</v>
      </c>
      <c r="K434" t="s">
        <v>80</v>
      </c>
      <c r="L434" t="s">
        <v>2115</v>
      </c>
      <c r="R434">
        <v>1</v>
      </c>
      <c r="AD434" t="s">
        <v>2285</v>
      </c>
      <c r="AE434">
        <v>2</v>
      </c>
      <c r="AF434" t="s">
        <v>2117</v>
      </c>
      <c r="AG434" t="s">
        <v>2132</v>
      </c>
      <c r="AH434">
        <v>255</v>
      </c>
      <c r="AK434">
        <v>1</v>
      </c>
      <c r="AM434" t="str">
        <f t="shared" si="6"/>
        <v>{dwID=23180,nLevel=1,szNote="仁德",col={255,204,0,},[1]={bScreenHead=true,},[2]={},aCataclysmBuff={{szReminder="仁 奇穴仁德无敌",nPriority=2,col="#FFCC00FF",colScreenHead="#FFCC00",nColAlpha=255,bScreenHead=true,},},},</v>
      </c>
    </row>
    <row r="435" spans="3:39" x14ac:dyDescent="0.15">
      <c r="C435">
        <v>6200</v>
      </c>
      <c r="D435">
        <v>1</v>
      </c>
      <c r="K435" t="s">
        <v>81</v>
      </c>
      <c r="L435" t="s">
        <v>2120</v>
      </c>
      <c r="R435">
        <v>1</v>
      </c>
      <c r="AD435" t="s">
        <v>2286</v>
      </c>
      <c r="AE435">
        <v>11</v>
      </c>
      <c r="AF435" t="s">
        <v>2123</v>
      </c>
      <c r="AG435" t="s">
        <v>2130</v>
      </c>
      <c r="AH435">
        <v>255</v>
      </c>
      <c r="AK435">
        <v>1</v>
      </c>
      <c r="AM435" t="str">
        <f t="shared" si="6"/>
        <v>{dwID=6200,nLevel=1,szNote="龙啸九天",col={179,238,58,},[1]={bScreenHead=true,},[2]={},aCataclysmBuff={{szReminder="啸 技能龙啸减伤",nPriority=11,col="#B3EE3AFF",colScreenHead="#B3EE3A",nColAlpha=255,bScreenHead=true,},},},</v>
      </c>
    </row>
    <row r="436" spans="3:39" x14ac:dyDescent="0.15">
      <c r="C436">
        <v>12411</v>
      </c>
      <c r="D436">
        <v>1</v>
      </c>
      <c r="K436" t="s">
        <v>82</v>
      </c>
      <c r="L436" t="s">
        <v>2120</v>
      </c>
      <c r="AD436" t="s">
        <v>2444</v>
      </c>
      <c r="AE436">
        <v>11</v>
      </c>
      <c r="AF436" t="s">
        <v>2123</v>
      </c>
      <c r="AH436">
        <v>255</v>
      </c>
      <c r="AM436" t="str">
        <f t="shared" si="6"/>
        <v>{dwID=12411,nLevel=1,szNote="乘龙戏水",col={179,238,58,},[1]={},[2]={},aCataclysmBuff={{szReminder="乘 技能乘龙减伤10%",nPriority=11,col="#B3EE3AFF",nColAlpha=255,},},},</v>
      </c>
    </row>
    <row r="437" spans="3:39" x14ac:dyDescent="0.15">
      <c r="C437">
        <v>12530</v>
      </c>
      <c r="D437">
        <v>1</v>
      </c>
      <c r="K437" t="s">
        <v>82</v>
      </c>
      <c r="L437" t="s">
        <v>2120</v>
      </c>
      <c r="R437">
        <v>1</v>
      </c>
      <c r="AD437" t="s">
        <v>2287</v>
      </c>
      <c r="AE437">
        <v>11</v>
      </c>
      <c r="AF437" t="s">
        <v>2123</v>
      </c>
      <c r="AG437" t="s">
        <v>2130</v>
      </c>
      <c r="AH437">
        <v>255</v>
      </c>
      <c r="AK437">
        <v>1</v>
      </c>
      <c r="AM437" t="str">
        <f t="shared" si="6"/>
        <v>{dwID=12530,nLevel=1,szNote="乘龙戏水",col={179,238,58,},[1]={bScreenHead=true,},[2]={},aCataclysmBuff={{szReminder="乘 技能乘龙奇穴加强减伤60%",nPriority=11,col="#B3EE3AFF",colScreenHead="#B3EE3A",nColAlpha=255,bScreenHead=true,},},},</v>
      </c>
    </row>
    <row r="438" spans="3:39" x14ac:dyDescent="0.15">
      <c r="C438">
        <v>18084</v>
      </c>
      <c r="D438">
        <v>1</v>
      </c>
      <c r="K438" t="s">
        <v>82</v>
      </c>
      <c r="L438" t="s">
        <v>2120</v>
      </c>
      <c r="R438">
        <v>1</v>
      </c>
      <c r="AD438" t="s">
        <v>2288</v>
      </c>
      <c r="AE438">
        <v>11</v>
      </c>
      <c r="AF438" t="s">
        <v>2123</v>
      </c>
      <c r="AG438" t="s">
        <v>2130</v>
      </c>
      <c r="AH438">
        <v>255</v>
      </c>
      <c r="AK438">
        <v>1</v>
      </c>
      <c r="AM438" t="str">
        <f t="shared" si="6"/>
        <v>{dwID=18084,nLevel=1,szNote="乘龙戏水",col={179,238,58,},[1]={bScreenHead=true,},[2]={},aCataclysmBuff={{szReminder="乘 免疫下次伤害",nPriority=11,col="#B3EE3AFF",colScreenHead="#B3EE3A",nColAlpha=255,bScreenHead=true,},},},</v>
      </c>
    </row>
    <row r="439" spans="3:39" x14ac:dyDescent="0.15">
      <c r="C439">
        <v>6154</v>
      </c>
      <c r="D439">
        <v>1</v>
      </c>
      <c r="K439" t="s">
        <v>184</v>
      </c>
      <c r="L439" t="s">
        <v>2120</v>
      </c>
      <c r="AD439" t="s">
        <v>2445</v>
      </c>
      <c r="AE439">
        <v>11</v>
      </c>
      <c r="AF439" t="s">
        <v>2123</v>
      </c>
      <c r="AH439">
        <v>255</v>
      </c>
      <c r="AM439" t="str">
        <f t="shared" si="6"/>
        <v>{dwID=6154,nLevel=1,szNote="落水打狗",col={179,238,58,},[1]={},[2]={},aCataclysmBuff={{szReminder="减 奇穴落水打狗减伤",nPriority=11,col="#B3EE3AFF",nColAlpha=255,},},},</v>
      </c>
    </row>
    <row r="440" spans="3:39" x14ac:dyDescent="0.15">
      <c r="C440">
        <v>6434</v>
      </c>
      <c r="D440">
        <v>1</v>
      </c>
      <c r="K440" t="s">
        <v>396</v>
      </c>
      <c r="L440" t="s">
        <v>2120</v>
      </c>
      <c r="R440">
        <v>1</v>
      </c>
      <c r="AD440" t="s">
        <v>2289</v>
      </c>
      <c r="AE440">
        <v>11</v>
      </c>
      <c r="AF440" t="s">
        <v>2123</v>
      </c>
      <c r="AG440" t="s">
        <v>2130</v>
      </c>
      <c r="AH440">
        <v>255</v>
      </c>
      <c r="AK440">
        <v>1</v>
      </c>
      <c r="AM440" t="str">
        <f t="shared" si="6"/>
        <v>{dwID=6434,nLevel=1,szNote="醉逍遥",col={179,238,58,},[1]={bScreenHead=true,},[2]={},aCataclysmBuff={{szReminder="闪 奇穴醉逍遥闪避",nPriority=11,col="#B3EE3AFF",colScreenHead="#B3EE3A",nColAlpha=255,bScreenHead=true,},},},</v>
      </c>
    </row>
    <row r="441" spans="3:39" x14ac:dyDescent="0.15">
      <c r="C441">
        <v>5995</v>
      </c>
      <c r="D441">
        <v>1</v>
      </c>
      <c r="K441" t="s">
        <v>20</v>
      </c>
      <c r="L441" t="s">
        <v>2120</v>
      </c>
      <c r="R441">
        <v>1</v>
      </c>
      <c r="AD441" t="s">
        <v>2290</v>
      </c>
      <c r="AE441">
        <v>11</v>
      </c>
      <c r="AF441" t="s">
        <v>2123</v>
      </c>
      <c r="AG441" t="s">
        <v>2130</v>
      </c>
      <c r="AH441">
        <v>255</v>
      </c>
      <c r="AI441">
        <v>1</v>
      </c>
      <c r="AK441">
        <v>1</v>
      </c>
      <c r="AM441" t="str">
        <f t="shared" si="6"/>
        <v>{dwID=5995,nLevel=1,szNote="笑醉狂",col={179,238,58,},[1]={bScreenHead=true,},[2]={},aCataclysmBuff={{szReminder="免 笑醉狂_免控",nPriority=11,col="#B3EE3AFF",colScreenHead="#B3EE3A",nColAlpha=255,bAttention=true,bScreenHead=true,},},},</v>
      </c>
    </row>
    <row r="442" spans="3:39" x14ac:dyDescent="0.15">
      <c r="C442">
        <v>5996</v>
      </c>
      <c r="D442">
        <v>1</v>
      </c>
      <c r="K442" t="s">
        <v>20</v>
      </c>
      <c r="L442" t="s">
        <v>2120</v>
      </c>
      <c r="R442">
        <v>1</v>
      </c>
      <c r="AD442" t="s">
        <v>2291</v>
      </c>
      <c r="AE442">
        <v>11</v>
      </c>
      <c r="AF442" t="s">
        <v>2123</v>
      </c>
      <c r="AG442" t="s">
        <v>2130</v>
      </c>
      <c r="AH442">
        <v>255</v>
      </c>
      <c r="AI442">
        <v>1</v>
      </c>
      <c r="AK442">
        <v>1</v>
      </c>
      <c r="AM442" t="str">
        <f t="shared" si="6"/>
        <v>{dwID=5996,nLevel=1,szNote="笑醉狂",col={179,238,58,},[1]={bScreenHead=true,},[2]={},aCataclysmBuff={{szReminder="减 笑醉狂",nPriority=11,col="#B3EE3AFF",colScreenHead="#B3EE3A",nColAlpha=255,bAttention=true,bScreenHead=true,},},},</v>
      </c>
    </row>
    <row r="443" spans="3:39" x14ac:dyDescent="0.15">
      <c r="C443">
        <v>6015</v>
      </c>
      <c r="D443">
        <v>1</v>
      </c>
      <c r="K443" t="s">
        <v>83</v>
      </c>
      <c r="L443" t="s">
        <v>2120</v>
      </c>
      <c r="R443">
        <v>1</v>
      </c>
      <c r="AD443" t="s">
        <v>2222</v>
      </c>
      <c r="AE443">
        <v>11</v>
      </c>
      <c r="AF443" t="s">
        <v>2123</v>
      </c>
      <c r="AG443" t="s">
        <v>2130</v>
      </c>
      <c r="AH443">
        <v>255</v>
      </c>
      <c r="AK443">
        <v>1</v>
      </c>
      <c r="AM443" t="str">
        <f t="shared" si="6"/>
        <v>{dwID=6015,nLevel=1,szNote="龙跃于渊",col={179,238,58,},[1]={bScreenHead=true,},[2]={},aCataclysmBuff={{szReminder="免 免控（击退和被拉除外）",nPriority=11,col="#B3EE3AFF",colScreenHead="#B3EE3A",nColAlpha=255,bScreenHead=true,},},},</v>
      </c>
    </row>
    <row r="444" spans="3:39" x14ac:dyDescent="0.15">
      <c r="C444">
        <v>21742</v>
      </c>
      <c r="D444">
        <v>1</v>
      </c>
      <c r="K444" t="s">
        <v>185</v>
      </c>
      <c r="L444" t="s">
        <v>2120</v>
      </c>
      <c r="AD444" t="s">
        <v>2446</v>
      </c>
      <c r="AE444">
        <v>11</v>
      </c>
      <c r="AF444" t="s">
        <v>2123</v>
      </c>
      <c r="AH444">
        <v>255</v>
      </c>
      <c r="AM444" t="str">
        <f t="shared" si="6"/>
        <v>{dwID=21742,nLevel=1,szNote="城复于隍",col={179,238,58,},[1]={},[2]={},aCataclysmBuff={{szReminder="免 免疫打断效果",nPriority=11,col="#B3EE3AFF",nColAlpha=255,},},},</v>
      </c>
    </row>
    <row r="445" spans="3:39" x14ac:dyDescent="0.15">
      <c r="C445">
        <v>21745</v>
      </c>
      <c r="D445">
        <v>1</v>
      </c>
      <c r="K445" t="s">
        <v>185</v>
      </c>
      <c r="L445" t="s">
        <v>2120</v>
      </c>
      <c r="AD445" t="s">
        <v>2447</v>
      </c>
      <c r="AE445">
        <v>11</v>
      </c>
      <c r="AF445" t="s">
        <v>2123</v>
      </c>
      <c r="AH445">
        <v>255</v>
      </c>
      <c r="AM445" t="str">
        <f t="shared" si="6"/>
        <v>{dwID=21745,nLevel=1,szNote="城复于隍",col={179,238,58,},[1]={},[2]={},aCataclysmBuff={{szReminder="免 不受招式控制且不受位移招式影响",nPriority=11,col="#B3EE3AFF",nColAlpha=255,},},},</v>
      </c>
    </row>
    <row r="446" spans="3:39" x14ac:dyDescent="0.15">
      <c r="C446">
        <v>5754</v>
      </c>
      <c r="D446">
        <v>1</v>
      </c>
      <c r="K446" t="s">
        <v>186</v>
      </c>
      <c r="L446" t="s">
        <v>2120</v>
      </c>
      <c r="AD446" t="s">
        <v>2448</v>
      </c>
      <c r="AE446">
        <v>11</v>
      </c>
      <c r="AF446" t="s">
        <v>2123</v>
      </c>
      <c r="AH446">
        <v>255</v>
      </c>
      <c r="AM446" t="str">
        <f t="shared" si="6"/>
        <v>{dwID=5754,nLevel=1,szNote="龙威",col={179,238,58,},[1]={},[2]={},aCataclysmBuff={{szReminder="免 不受招式控制效果影响（被拉除外）",nPriority=11,col="#B3EE3AFF",nColAlpha=255,},},},</v>
      </c>
    </row>
    <row r="447" spans="3:39" x14ac:dyDescent="0.15">
      <c r="C447">
        <v>10258</v>
      </c>
      <c r="D447">
        <v>1</v>
      </c>
      <c r="K447" t="s">
        <v>187</v>
      </c>
      <c r="L447" t="s">
        <v>2120</v>
      </c>
      <c r="AD447" t="s">
        <v>2449</v>
      </c>
      <c r="AE447">
        <v>11</v>
      </c>
      <c r="AF447" t="s">
        <v>2123</v>
      </c>
      <c r="AH447">
        <v>255</v>
      </c>
      <c r="AM447" t="str">
        <f t="shared" si="6"/>
        <v>{dwID=10258,nLevel=1,szNote="宽野",col={179,238,58,},[1]={},[2]={},aCataclysmBuff={{szReminder="免 不受招式控制且不受打断招式影响",nPriority=11,col="#B3EE3AFF",nColAlpha=255,},},},</v>
      </c>
    </row>
    <row r="448" spans="3:39" x14ac:dyDescent="0.15">
      <c r="C448">
        <v>6489</v>
      </c>
      <c r="D448">
        <v>1</v>
      </c>
      <c r="K448" t="s">
        <v>24</v>
      </c>
      <c r="L448" t="s">
        <v>2120</v>
      </c>
      <c r="AD448" t="s">
        <v>2450</v>
      </c>
      <c r="AE448">
        <v>11</v>
      </c>
      <c r="AF448" t="s">
        <v>2123</v>
      </c>
      <c r="AH448">
        <v>255</v>
      </c>
      <c r="AM448" t="str">
        <f t="shared" si="6"/>
        <v>{dwID=6489,nLevel=1,szNote="霸体",col={179,238,58,},[1]={},[2]={},aCataclysmBuff={{szReminder="免 小橙武不受招式控制效果影响",nPriority=11,col="#B3EE3AFF",nColAlpha=255,},},},</v>
      </c>
    </row>
    <row r="449" spans="3:39" x14ac:dyDescent="0.15">
      <c r="C449">
        <v>12754</v>
      </c>
      <c r="D449">
        <v>1</v>
      </c>
      <c r="K449" t="s">
        <v>24</v>
      </c>
      <c r="L449" t="s">
        <v>2120</v>
      </c>
      <c r="AD449" t="s">
        <v>2451</v>
      </c>
      <c r="AE449">
        <v>11</v>
      </c>
      <c r="AF449" t="s">
        <v>2123</v>
      </c>
      <c r="AH449">
        <v>255</v>
      </c>
      <c r="AM449" t="str">
        <f t="shared" si="6"/>
        <v>{dwID=12754,nLevel=1,szNote="霸体",col={179,238,58,},[1]={},[2]={},aCataclysmBuff={{szReminder="免 远程亢龙免控",nPriority=11,col="#B3EE3AFF",nColAlpha=255,},},},</v>
      </c>
    </row>
    <row r="450" spans="3:39" x14ac:dyDescent="0.15">
      <c r="C450">
        <v>13927</v>
      </c>
      <c r="D450">
        <v>1</v>
      </c>
      <c r="K450" t="s">
        <v>84</v>
      </c>
      <c r="L450" t="s">
        <v>2115</v>
      </c>
      <c r="R450">
        <v>1</v>
      </c>
      <c r="AD450" t="s">
        <v>2292</v>
      </c>
      <c r="AE450">
        <v>1</v>
      </c>
      <c r="AF450" t="s">
        <v>2117</v>
      </c>
      <c r="AG450" t="s">
        <v>2132</v>
      </c>
      <c r="AH450">
        <v>255</v>
      </c>
      <c r="AI450">
        <v>1</v>
      </c>
      <c r="AK450">
        <v>1</v>
      </c>
      <c r="AM450" t="str">
        <f t="shared" ref="AM450:AM513" si="7">IF(B450&lt;&gt;"",IF(IFERROR(VALUE(C449),0)&lt;=0,"["&amp;B450&amp;"]={","},["&amp;B450&amp;"]={"),IF(C450&gt;0,"{dwID="&amp;C450&amp;","&amp;"nLevel="&amp;D450&amp;","&amp;IF(E450&gt;0,"nCount="&amp;E450&amp;",","")&amp;IF(F450&gt;0,"nIcon="&amp;F450&amp;",","")&amp;IF(G450&lt;&gt;"","szName="""&amp;G450&amp;""",","")&amp;IF(H450&gt;0,"bCheckLevel=true,","")&amp;IF(I450&gt;0,"nScrutinyType="&amp;I450&amp;",","")&amp;IF(J450&lt;&gt;"","tKungFu={"&amp;J450&amp;"},","")&amp;IF(K450&lt;&gt;"","szNote="""&amp;K450&amp;""",","")&amp;IF(L450&lt;&gt;"","col={"&amp;L450&amp;"},","")&amp;"[1]={"&amp;IF(M450&lt;&gt;"","tMark={"&amp;M450&amp;"},","")&amp;IF(N450&lt;&gt;"","szVoice="""&amp;N450&amp;""",","")&amp;IF(O450&gt;0,"bCheckLevel=true,","")&amp;IF(P450&gt;0,"bWhisperChannel=true,","")&amp;IF(Q450&gt;0,"bCenterAlarm=true,","")&amp;IF(R450&gt;0,"bScreenHead=true,","")&amp;IF(S450&gt;0,"bPartyBuffList=true,","")&amp;IF(T450&gt;0,"bBuffList=true,","")&amp;IF(U450&gt;0,"bTeamPanel=true,","")&amp;IF(V450&gt;0,"bOnlySelfSrc=true,","")&amp;"},"&amp;"[2]={"&amp;IF(W450&gt;0,"bCheckLevel=true,","")&amp;IF(X450&gt;0,"bWhisperChannel=true,","")&amp;IF(Y450&gt;0,"bCenterAlarm=true,","")&amp;"},"&amp;IF(OR(Z450&gt;0,AD450&lt;&gt;"",AE450&gt;0,AF450&lt;&gt;"",AG450&lt;&gt;"",AH450&gt;0,AI450&gt;0,AJ450&gt;0,AK450&gt;0),"aCataclysmBuff={{"&amp;IF(Z450&gt;0,"nStackNum="&amp;Z450&amp;",","")&amp;IF(AA450&lt;&gt;"","szStackOp="""&amp;AA450&amp;""",","")&amp;IF(AB450&gt;0,"bOnlyMine=true,","")&amp;IF(AC450&gt;0,"bOnlyMe=true,","")&amp;IF(AD450&lt;&gt;"","szReminder="""&amp;AD450&amp;""",","")&amp;IF(AE450&gt;0,"nPriority="&amp;AE450&amp;",","")&amp;IF(AF450&lt;&gt;"","col="""&amp;AF450&amp;""",","")&amp;IF(AG450&lt;&gt;"","colScreenHead="""&amp;AG450&amp;""",","")&amp;IF(AH450&gt;0,"nColAlpha="&amp;AH450&amp;",","")&amp;IF(AI450&gt;0,"bAttention=true,","")&amp;IF(AJ450&gt;0,"bCaution=true,","")&amp;IF(AK450&gt;0,"bScreenHead=true,","")&amp;"},"&amp;AL450&amp;"},","")&amp;IF(AN450&lt;&gt;"","tCountdown={"&amp;_xlfn.TEXTJOIN("",TRUE,AN450:ZY450)&amp;"},","")&amp;"},",IF(C449&gt;0,"},","")&amp;IF(AND(B450="",C450="",OR(B449&lt;&gt;"",C449&lt;&gt;"")),"},}","")))</f>
        <v>{dwID=13927,nLevel=1,szNote="隐",col={255,204,0,},[1]={bScreenHead=true,},[2]={},aCataclysmBuff={{szReminder="隐 分山奇穴隐刀无敌",nPriority=1,col="#FFCC00FF",colScreenHead="#FFCC00",nColAlpha=255,bAttention=true,bScreenHead=true,},},},</v>
      </c>
    </row>
    <row r="451" spans="3:39" x14ac:dyDescent="0.15">
      <c r="C451">
        <v>8303</v>
      </c>
      <c r="D451">
        <v>1</v>
      </c>
      <c r="K451" t="s">
        <v>85</v>
      </c>
      <c r="L451" t="s">
        <v>2115</v>
      </c>
      <c r="R451">
        <v>1</v>
      </c>
      <c r="AD451" t="s">
        <v>2293</v>
      </c>
      <c r="AE451">
        <v>1</v>
      </c>
      <c r="AF451" t="s">
        <v>2117</v>
      </c>
      <c r="AG451" t="s">
        <v>2132</v>
      </c>
      <c r="AH451">
        <v>255</v>
      </c>
      <c r="AI451">
        <v>1</v>
      </c>
      <c r="AK451">
        <v>1</v>
      </c>
      <c r="AM451" t="str">
        <f t="shared" si="7"/>
        <v>{dwID=8303,nLevel=1,szNote="盾立",col={255,204,0,},[1]={bScreenHead=true,},[2]={},aCataclysmBuff={{szReminder="立 分山技能盾立无敌",nPriority=1,col="#FFCC00FF",colScreenHead="#FFCC00",nColAlpha=255,bAttention=true,bScreenHead=true,},},},</v>
      </c>
    </row>
    <row r="452" spans="3:39" x14ac:dyDescent="0.15">
      <c r="C452">
        <v>14319</v>
      </c>
      <c r="D452">
        <v>1</v>
      </c>
      <c r="K452" t="s">
        <v>86</v>
      </c>
      <c r="L452" t="s">
        <v>2115</v>
      </c>
      <c r="R452">
        <v>1</v>
      </c>
      <c r="AD452" t="s">
        <v>2294</v>
      </c>
      <c r="AE452">
        <v>2</v>
      </c>
      <c r="AF452" t="s">
        <v>2117</v>
      </c>
      <c r="AG452" t="s">
        <v>2132</v>
      </c>
      <c r="AH452">
        <v>255</v>
      </c>
      <c r="AK452">
        <v>1</v>
      </c>
      <c r="AM452" t="str">
        <f t="shared" si="7"/>
        <v>{dwID=14319,nLevel=1,szNote="激奋",col={255,204,0,},[1]={bScreenHead=true,},[2]={},aCataclysmBuff={{szReminder="激 分山奇穴激奋免死",nPriority=2,col="#FFCC00FF",colScreenHead="#FFCC00",nColAlpha=255,bScreenHead=true,},},},</v>
      </c>
    </row>
    <row r="453" spans="3:39" x14ac:dyDescent="0.15">
      <c r="C453">
        <v>8300</v>
      </c>
      <c r="D453">
        <v>1</v>
      </c>
      <c r="K453" t="s">
        <v>87</v>
      </c>
      <c r="L453" t="s">
        <v>2120</v>
      </c>
      <c r="R453">
        <v>1</v>
      </c>
      <c r="AD453" t="s">
        <v>2295</v>
      </c>
      <c r="AE453">
        <v>11</v>
      </c>
      <c r="AF453" t="s">
        <v>2123</v>
      </c>
      <c r="AG453" t="s">
        <v>2130</v>
      </c>
      <c r="AH453">
        <v>255</v>
      </c>
      <c r="AK453">
        <v>1</v>
      </c>
      <c r="AM453" t="str">
        <f t="shared" si="7"/>
        <v>{dwID=8300,nLevel=1,szNote="盾墙",col={179,238,58,},[1]={bScreenHead=true,},[2]={},aCataclysmBuff={{szReminder="墙 技能盾墙减伤",nPriority=11,col="#B3EE3AFF",colScreenHead="#B3EE3A",nColAlpha=255,bScreenHead=true,},},},</v>
      </c>
    </row>
    <row r="454" spans="3:39" x14ac:dyDescent="0.15">
      <c r="C454">
        <v>8650</v>
      </c>
      <c r="D454">
        <v>1</v>
      </c>
      <c r="K454" t="s">
        <v>87</v>
      </c>
      <c r="L454" t="s">
        <v>2120</v>
      </c>
      <c r="R454">
        <v>1</v>
      </c>
      <c r="AD454" t="s">
        <v>2296</v>
      </c>
      <c r="AE454">
        <v>11</v>
      </c>
      <c r="AF454" t="s">
        <v>2123</v>
      </c>
      <c r="AG454" t="s">
        <v>2130</v>
      </c>
      <c r="AH454">
        <v>255</v>
      </c>
      <c r="AK454">
        <v>1</v>
      </c>
      <c r="AM454" t="str">
        <f t="shared" si="7"/>
        <v>{dwID=8650,nLevel=1,szNote="盾墙",col={179,238,58,},[1]={bScreenHead=true,},[2]={},aCataclysmBuff={{szReminder="墙 技能盾墙附魔后群减伤",nPriority=11,col="#B3EE3AFF",colScreenHead="#B3EE3A",nColAlpha=255,bScreenHead=true,},},},</v>
      </c>
    </row>
    <row r="455" spans="3:39" x14ac:dyDescent="0.15">
      <c r="C455">
        <v>8425</v>
      </c>
      <c r="D455">
        <v>1</v>
      </c>
      <c r="K455" t="s">
        <v>188</v>
      </c>
      <c r="L455" t="s">
        <v>2120</v>
      </c>
      <c r="AD455" t="s">
        <v>2452</v>
      </c>
      <c r="AE455">
        <v>11</v>
      </c>
      <c r="AF455" t="s">
        <v>2123</v>
      </c>
      <c r="AH455">
        <v>255</v>
      </c>
      <c r="AM455" t="str">
        <f t="shared" si="7"/>
        <v>{dwID=8425,nLevel=1,szNote="百炼",col={179,238,58,},[1]={},[2]={},aCataclysmBuff={{szReminder="壁 铁骨奇穴百炼化解",nPriority=11,col="#B3EE3AFF",nColAlpha=255,},},},</v>
      </c>
    </row>
    <row r="456" spans="3:39" x14ac:dyDescent="0.15">
      <c r="C456">
        <v>8279</v>
      </c>
      <c r="D456">
        <v>1</v>
      </c>
      <c r="K456" t="s">
        <v>88</v>
      </c>
      <c r="L456" t="s">
        <v>2120</v>
      </c>
      <c r="R456">
        <v>1</v>
      </c>
      <c r="AD456" t="s">
        <v>2297</v>
      </c>
      <c r="AE456">
        <v>11</v>
      </c>
      <c r="AF456" t="s">
        <v>2123</v>
      </c>
      <c r="AG456" t="s">
        <v>2130</v>
      </c>
      <c r="AH456">
        <v>255</v>
      </c>
      <c r="AK456">
        <v>1</v>
      </c>
      <c r="AM456" t="str">
        <f t="shared" si="7"/>
        <v>{dwID=8279,nLevel=1,szNote="盾壁",col={179,238,58,},[1]={bScreenHead=true,},[2]={},aCataclysmBuff={{szReminder="壁 技能盾壁化解",nPriority=11,col="#B3EE3AFF",colScreenHead="#B3EE3A",nColAlpha=255,bScreenHead=true,},},},</v>
      </c>
    </row>
    <row r="457" spans="3:39" x14ac:dyDescent="0.15">
      <c r="C457">
        <v>8292</v>
      </c>
      <c r="D457">
        <v>1</v>
      </c>
      <c r="K457" t="s">
        <v>88</v>
      </c>
      <c r="L457" t="s">
        <v>2120</v>
      </c>
      <c r="R457">
        <v>1</v>
      </c>
      <c r="AD457" t="s">
        <v>2298</v>
      </c>
      <c r="AE457">
        <v>11</v>
      </c>
      <c r="AF457" t="s">
        <v>2123</v>
      </c>
      <c r="AG457" t="s">
        <v>2130</v>
      </c>
      <c r="AH457">
        <v>255</v>
      </c>
      <c r="AK457">
        <v>1</v>
      </c>
      <c r="AM457" t="str">
        <f t="shared" si="7"/>
        <v>{dwID=8292,nLevel=1,szNote="盾壁",col={179,238,58,},[1]={bScreenHead=true,},[2]={},aCataclysmBuff={{szReminder="壁 技能盾壁加强版化解",nPriority=11,col="#B3EE3AFF",colScreenHead="#B3EE3A",nColAlpha=255,bScreenHead=true,},},},</v>
      </c>
    </row>
    <row r="458" spans="3:39" x14ac:dyDescent="0.15">
      <c r="C458">
        <v>17564</v>
      </c>
      <c r="D458">
        <v>1</v>
      </c>
      <c r="K458" t="s">
        <v>88</v>
      </c>
      <c r="L458" t="s">
        <v>2120</v>
      </c>
      <c r="R458">
        <v>1</v>
      </c>
      <c r="AD458" t="s">
        <v>2299</v>
      </c>
      <c r="AE458">
        <v>11</v>
      </c>
      <c r="AF458" t="s">
        <v>2123</v>
      </c>
      <c r="AG458" t="s">
        <v>2130</v>
      </c>
      <c r="AH458">
        <v>255</v>
      </c>
      <c r="AK458">
        <v>1</v>
      </c>
      <c r="AM458" t="str">
        <f t="shared" si="7"/>
        <v>{dwID=17564,nLevel=1,szNote="盾壁",col={179,238,58,},[1]={bScreenHead=true,},[2]={},aCataclysmBuff={{szReminder="壁 盾壁双倍血量盾",nPriority=11,col="#B3EE3AFF",colScreenHead="#B3EE3A",nColAlpha=255,bScreenHead=true,},},},</v>
      </c>
    </row>
    <row r="459" spans="3:39" x14ac:dyDescent="0.15">
      <c r="C459">
        <v>19236</v>
      </c>
      <c r="D459">
        <v>1</v>
      </c>
      <c r="K459" t="s">
        <v>88</v>
      </c>
      <c r="L459" t="s">
        <v>2120</v>
      </c>
      <c r="R459">
        <v>1</v>
      </c>
      <c r="AD459" t="s">
        <v>2300</v>
      </c>
      <c r="AE459">
        <v>11</v>
      </c>
      <c r="AF459" t="s">
        <v>2123</v>
      </c>
      <c r="AG459" t="s">
        <v>2130</v>
      </c>
      <c r="AH459">
        <v>255</v>
      </c>
      <c r="AK459">
        <v>1</v>
      </c>
      <c r="AM459" t="str">
        <f t="shared" si="7"/>
        <v>{dwID=19236,nLevel=1,szNote="盾壁",col={179,238,58,},[1]={bScreenHead=true,},[2]={},aCataclysmBuff={{szReminder="壁 盾壁新肃列盾壁效果",nPriority=11,col="#B3EE3AFF",colScreenHead="#B3EE3A",nColAlpha=255,bScreenHead=true,},},},</v>
      </c>
    </row>
    <row r="460" spans="3:39" x14ac:dyDescent="0.15">
      <c r="C460">
        <v>8495</v>
      </c>
      <c r="D460">
        <v>1</v>
      </c>
      <c r="K460" t="s">
        <v>189</v>
      </c>
      <c r="L460" t="s">
        <v>2120</v>
      </c>
      <c r="AD460" t="s">
        <v>2453</v>
      </c>
      <c r="AE460">
        <v>11</v>
      </c>
      <c r="AF460" t="s">
        <v>2123</v>
      </c>
      <c r="AH460">
        <v>255</v>
      </c>
      <c r="AM460" t="str">
        <f t="shared" si="7"/>
        <v>{dwID=8495,nLevel=1,szNote="捍卫",col={179,238,58,},[1]={},[2]={},aCataclysmBuff={{szReminder="捍 奇穴捍卫减伤",nPriority=11,col="#B3EE3AFF",nColAlpha=255,},},},</v>
      </c>
    </row>
    <row r="461" spans="3:39" x14ac:dyDescent="0.15">
      <c r="C461">
        <v>8253</v>
      </c>
      <c r="D461">
        <v>1</v>
      </c>
      <c r="K461" t="s">
        <v>190</v>
      </c>
      <c r="L461" t="s">
        <v>2120</v>
      </c>
      <c r="AD461" t="s">
        <v>2454</v>
      </c>
      <c r="AE461">
        <v>11</v>
      </c>
      <c r="AF461" t="s">
        <v>2123</v>
      </c>
      <c r="AH461">
        <v>255</v>
      </c>
      <c r="AM461" t="str">
        <f t="shared" si="7"/>
        <v>{dwID=8253,nLevel=1,szNote="雄峦",col={179,238,58,},[1]={},[2]={},aCataclysmBuff={{szReminder="盾 铁骨奇穴雄峦化解",nPriority=11,col="#B3EE3AFF",nColAlpha=255,},},},</v>
      </c>
    </row>
    <row r="462" spans="3:39" x14ac:dyDescent="0.15">
      <c r="C462">
        <v>24246</v>
      </c>
      <c r="D462">
        <v>1</v>
      </c>
      <c r="K462" t="s">
        <v>191</v>
      </c>
      <c r="L462" t="s">
        <v>2120</v>
      </c>
      <c r="AD462" t="s">
        <v>2455</v>
      </c>
      <c r="AE462">
        <v>11</v>
      </c>
      <c r="AF462" t="s">
        <v>2123</v>
      </c>
      <c r="AH462">
        <v>255</v>
      </c>
      <c r="AM462" t="str">
        <f t="shared" si="7"/>
        <v>{dwID=24246,nLevel=1,szNote="过涯",col={179,238,58,},[1]={},[2]={},aCataclysmBuff={{szReminder="血 分山奇穴过涯盾壁自然结束减伤",nPriority=11,col="#B3EE3AFF",nColAlpha=255,},},},</v>
      </c>
    </row>
    <row r="463" spans="3:39" x14ac:dyDescent="0.15">
      <c r="C463">
        <v>25439</v>
      </c>
      <c r="D463">
        <v>1</v>
      </c>
      <c r="K463" t="s">
        <v>89</v>
      </c>
      <c r="L463" t="s">
        <v>2120</v>
      </c>
      <c r="AD463" t="s">
        <v>2456</v>
      </c>
      <c r="AE463">
        <v>11</v>
      </c>
      <c r="AF463" t="s">
        <v>2123</v>
      </c>
      <c r="AH463">
        <v>255</v>
      </c>
      <c r="AM463" t="str">
        <f t="shared" si="7"/>
        <v>{dwID=25439,nLevel=1,szNote="无惧",col={179,238,58,},[1]={},[2]={},aCataclysmBuff={{szReminder="减 分山技能无惧减伤",nPriority=11,col="#B3EE3AFF",nColAlpha=255,},},},</v>
      </c>
    </row>
    <row r="464" spans="3:39" x14ac:dyDescent="0.15">
      <c r="C464">
        <v>25885</v>
      </c>
      <c r="D464">
        <v>1</v>
      </c>
      <c r="K464" t="s">
        <v>192</v>
      </c>
      <c r="L464" t="s">
        <v>2120</v>
      </c>
      <c r="AD464" t="s">
        <v>2457</v>
      </c>
      <c r="AE464">
        <v>11</v>
      </c>
      <c r="AF464" t="s">
        <v>2123</v>
      </c>
      <c r="AH464">
        <v>255</v>
      </c>
      <c r="AM464" t="str">
        <f t="shared" si="7"/>
        <v>{dwID=25885,nLevel=1,szNote="移山",col={179,238,58,},[1]={},[2]={},aCataclysmBuff={{szReminder="减 铁骨奇穴无惧减伤",nPriority=11,col="#B3EE3AFF",nColAlpha=255,},},},</v>
      </c>
    </row>
    <row r="465" spans="3:39" x14ac:dyDescent="0.15">
      <c r="C465">
        <v>4670</v>
      </c>
      <c r="D465">
        <v>1</v>
      </c>
      <c r="K465" t="s">
        <v>193</v>
      </c>
      <c r="L465" t="s">
        <v>2133</v>
      </c>
      <c r="AD465" t="s">
        <v>2458</v>
      </c>
      <c r="AE465">
        <v>13</v>
      </c>
      <c r="AF465" t="s">
        <v>2459</v>
      </c>
      <c r="AH465">
        <v>255</v>
      </c>
      <c r="AM465" t="str">
        <f t="shared" si="7"/>
        <v>{dwID=4670,nLevel=1,szNote="盾击",col={165,96,232,},[1]={},[2]={},aCataclysmBuff={{szReminder="疗 分山奇穴步临减疗",nPriority=13,col="#A560E8FF",nColAlpha=255,},},},</v>
      </c>
    </row>
    <row r="466" spans="3:39" x14ac:dyDescent="0.15">
      <c r="C466">
        <v>8247</v>
      </c>
      <c r="D466">
        <v>1</v>
      </c>
      <c r="K466" t="s">
        <v>89</v>
      </c>
      <c r="L466" t="s">
        <v>2120</v>
      </c>
      <c r="R466">
        <v>1</v>
      </c>
      <c r="AD466" t="s">
        <v>2301</v>
      </c>
      <c r="AE466">
        <v>11</v>
      </c>
      <c r="AF466" t="s">
        <v>2123</v>
      </c>
      <c r="AG466" t="s">
        <v>2130</v>
      </c>
      <c r="AH466">
        <v>255</v>
      </c>
      <c r="AK466">
        <v>1</v>
      </c>
      <c r="AM466" t="str">
        <f t="shared" si="7"/>
        <v>{dwID=8247,nLevel=1,szNote="无惧",col={179,238,58,},[1]={bScreenHead=true,},[2]={},aCataclysmBuff={{szReminder="免 免疫一切控制效果（被拉除外）",nPriority=11,col="#B3EE3AFF",colScreenHead="#B3EE3A",nColAlpha=255,bScreenHead=true,},},},</v>
      </c>
    </row>
    <row r="467" spans="3:39" x14ac:dyDescent="0.15">
      <c r="C467">
        <v>8449</v>
      </c>
      <c r="D467">
        <v>1</v>
      </c>
      <c r="K467" t="s">
        <v>194</v>
      </c>
      <c r="L467" t="s">
        <v>2120</v>
      </c>
      <c r="AD467" t="s">
        <v>2323</v>
      </c>
      <c r="AE467">
        <v>11</v>
      </c>
      <c r="AF467" t="s">
        <v>2123</v>
      </c>
      <c r="AH467">
        <v>255</v>
      </c>
      <c r="AM467" t="str">
        <f t="shared" si="7"/>
        <v>{dwID=8449,nLevel=1,szNote="劫化",col={179,238,58,},[1]={},[2]={},aCataclysmBuff={{szReminder="免 免疫控制效果（击退和被拉除外）",nPriority=11,col="#B3EE3AFF",nColAlpha=255,},},},</v>
      </c>
    </row>
    <row r="468" spans="3:39" x14ac:dyDescent="0.15">
      <c r="C468">
        <v>10173</v>
      </c>
      <c r="D468">
        <v>1</v>
      </c>
      <c r="K468" t="s">
        <v>17</v>
      </c>
      <c r="L468" t="s">
        <v>2133</v>
      </c>
      <c r="R468">
        <v>1</v>
      </c>
      <c r="AD468" t="s">
        <v>2302</v>
      </c>
      <c r="AE468">
        <v>1</v>
      </c>
      <c r="AF468" t="s">
        <v>2135</v>
      </c>
      <c r="AG468" t="s">
        <v>2136</v>
      </c>
      <c r="AH468">
        <v>255</v>
      </c>
      <c r="AI468">
        <v>1</v>
      </c>
      <c r="AK468">
        <v>1</v>
      </c>
      <c r="AM468" t="str">
        <f t="shared" si="7"/>
        <v>{dwID=10173,nLevel=1,szNote="平沙落雁",col={165,96,232,},[1]={bScreenHead=true,},[2]={},aCataclysmBuff={{szReminder="平 控制敌对玩家目标",nPriority=1,col="#FF0055FF",colScreenHead="#A560E8",nColAlpha=255,bAttention=true,bScreenHead=true,},},},</v>
      </c>
    </row>
    <row r="469" spans="3:39" x14ac:dyDescent="0.15">
      <c r="C469">
        <v>10051</v>
      </c>
      <c r="D469">
        <v>1</v>
      </c>
      <c r="K469" t="s">
        <v>195</v>
      </c>
      <c r="L469" t="s">
        <v>2120</v>
      </c>
      <c r="AD469" t="s">
        <v>2460</v>
      </c>
      <c r="AE469">
        <v>11</v>
      </c>
      <c r="AF469" t="s">
        <v>2123</v>
      </c>
      <c r="AH469">
        <v>255</v>
      </c>
      <c r="AM469" t="str">
        <f t="shared" si="7"/>
        <v>{dwID=10051,nLevel=1,szNote="杯水留影",col={179,238,58,},[1]={},[2]={},aCataclysmBuff={{szReminder="减 技能杯水减伤",nPriority=11,col="#B3EE3AFF",nColAlpha=255,},},},</v>
      </c>
    </row>
    <row r="470" spans="3:39" x14ac:dyDescent="0.15">
      <c r="C470">
        <v>9284</v>
      </c>
      <c r="D470">
        <v>1</v>
      </c>
      <c r="K470" t="s">
        <v>90</v>
      </c>
      <c r="L470" t="s">
        <v>2120</v>
      </c>
      <c r="R470">
        <v>1</v>
      </c>
      <c r="AD470" t="s">
        <v>2303</v>
      </c>
      <c r="AE470">
        <v>11</v>
      </c>
      <c r="AF470" t="s">
        <v>2123</v>
      </c>
      <c r="AG470" t="s">
        <v>2130</v>
      </c>
      <c r="AH470">
        <v>255</v>
      </c>
      <c r="AK470">
        <v>1</v>
      </c>
      <c r="AM470" t="str">
        <f t="shared" si="7"/>
        <v>{dwID=9284,nLevel=1,szNote="孤影化双",col={179,238,58,},[1]={bScreenHead=true,},[2]={},aCataclysmBuff={{szReminder="孤 技能孤影化双减伤",nPriority=11,col="#B3EE3AFF",colScreenHead="#B3EE3A",nColAlpha=255,bScreenHead=true,},},},</v>
      </c>
    </row>
    <row r="471" spans="3:39" x14ac:dyDescent="0.15">
      <c r="C471">
        <v>9693</v>
      </c>
      <c r="D471">
        <v>1</v>
      </c>
      <c r="K471" t="s">
        <v>91</v>
      </c>
      <c r="L471" t="s">
        <v>2120</v>
      </c>
      <c r="R471">
        <v>1</v>
      </c>
      <c r="AD471" t="s">
        <v>2304</v>
      </c>
      <c r="AE471">
        <v>11</v>
      </c>
      <c r="AF471" t="s">
        <v>2123</v>
      </c>
      <c r="AG471" t="s">
        <v>2130</v>
      </c>
      <c r="AH471">
        <v>255</v>
      </c>
      <c r="AK471">
        <v>1</v>
      </c>
      <c r="AM471" t="str">
        <f t="shared" si="7"/>
        <v>{dwID=9693,nLevel=1,szNote="清绝影歌",col={179,238,58,},[1]={bScreenHead=true,},[2]={},aCataclysmBuff={{szReminder="本 莫问奇穴浮影本体切剑减伤",nPriority=11,col="#B3EE3AFF",colScreenHead="#B3EE3A",nColAlpha=255,bScreenHead=true,},},},</v>
      </c>
    </row>
    <row r="472" spans="3:39" x14ac:dyDescent="0.15">
      <c r="C472">
        <v>9342</v>
      </c>
      <c r="D472">
        <v>1</v>
      </c>
      <c r="K472" t="s">
        <v>92</v>
      </c>
      <c r="L472" t="s">
        <v>2305</v>
      </c>
      <c r="R472">
        <v>1</v>
      </c>
      <c r="AD472" t="s">
        <v>2306</v>
      </c>
      <c r="AE472">
        <v>11</v>
      </c>
      <c r="AF472" t="s">
        <v>2123</v>
      </c>
      <c r="AG472" t="s">
        <v>2307</v>
      </c>
      <c r="AH472">
        <v>255</v>
      </c>
      <c r="AK472">
        <v>1</v>
      </c>
      <c r="AM472" t="str">
        <f t="shared" si="7"/>
        <v>{dwID=9342,nLevel=1,szNote="石间意",col={255,255,255,},[1]={bScreenHead=true,},[2]={},aCataclysmBuff={{szReminder="石 奶歌奇穴石间意免控免封",nPriority=11,col="#B3EE3AFF",colScreenHead="#FFFFFF",nColAlpha=255,bScreenHead=true,},},},</v>
      </c>
    </row>
    <row r="473" spans="3:39" x14ac:dyDescent="0.15">
      <c r="C473">
        <v>9266</v>
      </c>
      <c r="D473">
        <v>1</v>
      </c>
      <c r="K473" t="s">
        <v>420</v>
      </c>
      <c r="L473" t="s">
        <v>2120</v>
      </c>
      <c r="R473">
        <v>1</v>
      </c>
      <c r="AD473" t="s">
        <v>2308</v>
      </c>
      <c r="AE473">
        <v>11</v>
      </c>
      <c r="AF473" t="s">
        <v>2123</v>
      </c>
      <c r="AG473" t="s">
        <v>2130</v>
      </c>
      <c r="AH473">
        <v>255</v>
      </c>
      <c r="AI473">
        <v>1</v>
      </c>
      <c r="AK473">
        <v>1</v>
      </c>
      <c r="AM473" t="str">
        <f t="shared" si="7"/>
        <v>{dwID=9266,nLevel=1,szNote="云生结海",col={179,238,58,},[1]={bScreenHead=true,},[2]={},aCataclysmBuff={{szReminder="摊 技能云深平摊",nPriority=11,col="#B3EE3AFF",colScreenHead="#B3EE3A",nColAlpha=255,bAttention=true,bScreenHead=true,},},},</v>
      </c>
    </row>
    <row r="474" spans="3:39" x14ac:dyDescent="0.15">
      <c r="C474">
        <v>9544</v>
      </c>
      <c r="D474">
        <v>1</v>
      </c>
      <c r="K474" t="s">
        <v>196</v>
      </c>
      <c r="L474" t="s">
        <v>2120</v>
      </c>
      <c r="AD474" t="s">
        <v>2461</v>
      </c>
      <c r="AE474">
        <v>11</v>
      </c>
      <c r="AF474" t="s">
        <v>2123</v>
      </c>
      <c r="AH474">
        <v>255</v>
      </c>
      <c r="AM474" t="str">
        <f t="shared" si="7"/>
        <v>{dwID=9544,nLevel=1,szNote="笑傲光阴",col={179,238,58,},[1]={},[2]={},aCataclysmBuff={{szReminder="傲 技能笑傲减伤",nPriority=11,col="#B3EE3AFF",nColAlpha=255,},},},</v>
      </c>
    </row>
    <row r="475" spans="3:39" x14ac:dyDescent="0.15">
      <c r="C475">
        <v>9509</v>
      </c>
      <c r="D475">
        <v>1</v>
      </c>
      <c r="K475" t="s">
        <v>197</v>
      </c>
      <c r="L475" t="s">
        <v>2120</v>
      </c>
      <c r="AD475" t="s">
        <v>2462</v>
      </c>
      <c r="AE475">
        <v>13</v>
      </c>
      <c r="AF475" t="s">
        <v>2123</v>
      </c>
      <c r="AH475">
        <v>255</v>
      </c>
      <c r="AM475" t="str">
        <f t="shared" si="7"/>
        <v>{dwID=9509,nLevel=1,szNote="青霄飞羽",col={179,238,58,},[1]={},[2]={},aCataclysmBuff={{szReminder="空 使自身处于浮空状态",nPriority=13,col="#B3EE3AFF",nColAlpha=255,},},},</v>
      </c>
    </row>
    <row r="476" spans="3:39" x14ac:dyDescent="0.15">
      <c r="C476">
        <v>9510</v>
      </c>
      <c r="D476">
        <v>1</v>
      </c>
      <c r="K476" t="s">
        <v>197</v>
      </c>
      <c r="L476" t="s">
        <v>2120</v>
      </c>
      <c r="AD476" t="s">
        <v>2463</v>
      </c>
      <c r="AE476">
        <v>11</v>
      </c>
      <c r="AF476" t="s">
        <v>2123</v>
      </c>
      <c r="AH476">
        <v>255</v>
      </c>
      <c r="AM476" t="str">
        <f t="shared" si="7"/>
        <v>{dwID=9510,nLevel=1,szNote="青霄飞羽",col={179,238,58,},[1]={},[2]={},aCataclysmBuff={{szReminder="减 技能青霄奇穴减伤40%",nPriority=11,col="#B3EE3AFF",nColAlpha=255,},},},</v>
      </c>
    </row>
    <row r="477" spans="3:39" x14ac:dyDescent="0.15">
      <c r="C477">
        <v>9337</v>
      </c>
      <c r="D477">
        <v>1</v>
      </c>
      <c r="K477" t="s">
        <v>198</v>
      </c>
      <c r="L477" t="s">
        <v>2120</v>
      </c>
      <c r="AD477" t="s">
        <v>2464</v>
      </c>
      <c r="AE477">
        <v>11</v>
      </c>
      <c r="AF477" t="s">
        <v>2123</v>
      </c>
      <c r="AH477">
        <v>255</v>
      </c>
      <c r="AM477" t="str">
        <f t="shared" si="7"/>
        <v>{dwID=9337,nLevel=1,szNote="寒梅",col={179,238,58,},[1]={},[2]={},aCataclysmBuff={{szReminder="减 奶歌奇穴平吟减伤",nPriority=11,col="#B3EE3AFF",nColAlpha=255,},},},</v>
      </c>
    </row>
    <row r="478" spans="3:39" x14ac:dyDescent="0.15">
      <c r="C478">
        <v>10307</v>
      </c>
      <c r="D478">
        <v>1</v>
      </c>
      <c r="K478" t="s">
        <v>196</v>
      </c>
      <c r="L478" t="s">
        <v>2120</v>
      </c>
      <c r="AD478" t="s">
        <v>2465</v>
      </c>
      <c r="AE478">
        <v>12</v>
      </c>
      <c r="AF478" t="s">
        <v>2123</v>
      </c>
      <c r="AH478">
        <v>255</v>
      </c>
      <c r="AM478" t="str">
        <f t="shared" si="7"/>
        <v>{dwID=10307,nLevel=1,szNote="笑傲光阴",col={179,238,58,},[1]={},[2]={},aCataclysmBuff={{szReminder="减 笑傲光阴减伤效果",nPriority=12,col="#B3EE3AFF",nColAlpha=255,},},},</v>
      </c>
    </row>
    <row r="479" spans="3:39" x14ac:dyDescent="0.15">
      <c r="C479">
        <v>9999</v>
      </c>
      <c r="D479">
        <v>1</v>
      </c>
      <c r="K479" t="s">
        <v>199</v>
      </c>
      <c r="L479" t="s">
        <v>2120</v>
      </c>
      <c r="AD479" t="s">
        <v>2466</v>
      </c>
      <c r="AE479">
        <v>11</v>
      </c>
      <c r="AF479" t="s">
        <v>2123</v>
      </c>
      <c r="AH479">
        <v>255</v>
      </c>
      <c r="AM479" t="str">
        <f t="shared" si="7"/>
        <v>{dwID=9999,nLevel=1,szNote="捣衣",col={179,238,58,},[1]={},[2]={},aCataclysmBuff={{szReminder="免 免疫控制（被拉除外）",nPriority=11,col="#B3EE3AFF",nColAlpha=255,},},},</v>
      </c>
    </row>
    <row r="480" spans="3:39" x14ac:dyDescent="0.15">
      <c r="C480">
        <v>11151</v>
      </c>
      <c r="D480">
        <v>1</v>
      </c>
      <c r="K480" t="s">
        <v>21</v>
      </c>
      <c r="L480" t="s">
        <v>2115</v>
      </c>
      <c r="R480">
        <v>1</v>
      </c>
      <c r="AD480" t="s">
        <v>2309</v>
      </c>
      <c r="AE480">
        <v>1</v>
      </c>
      <c r="AF480" t="s">
        <v>2117</v>
      </c>
      <c r="AG480" t="s">
        <v>2132</v>
      </c>
      <c r="AH480">
        <v>255</v>
      </c>
      <c r="AI480">
        <v>1</v>
      </c>
      <c r="AK480">
        <v>1</v>
      </c>
      <c r="AM480" t="str">
        <f t="shared" si="7"/>
        <v>{dwID=11151,nLevel=1,szNote="散流霞",col={255,204,0,},[1]={bScreenHead=true,},[2]={},aCataclysmBuff={{szReminder="散 无法选中移速提高20%",nPriority=1,col="#FFCC00FF",colScreenHead="#FFCC00",nColAlpha=255,bAttention=true,bScreenHead=true,},},},</v>
      </c>
    </row>
    <row r="481" spans="3:39" x14ac:dyDescent="0.15">
      <c r="C481">
        <v>11201</v>
      </c>
      <c r="D481">
        <v>1</v>
      </c>
      <c r="K481" t="s">
        <v>200</v>
      </c>
      <c r="L481" t="s">
        <v>2120</v>
      </c>
      <c r="AD481" t="s">
        <v>2467</v>
      </c>
      <c r="AE481">
        <v>11</v>
      </c>
      <c r="AF481" t="s">
        <v>2123</v>
      </c>
      <c r="AH481">
        <v>255</v>
      </c>
      <c r="AM481" t="str">
        <f t="shared" si="7"/>
        <v>{dwID=11201,nLevel=1,szNote="流影",col={179,238,58,},[1]={},[2]={},aCataclysmBuff={{szReminder="闪 奇穴流影闪避",nPriority=11,col="#B3EE3AFF",nColAlpha=255,},},},</v>
      </c>
    </row>
    <row r="482" spans="3:39" x14ac:dyDescent="0.15">
      <c r="C482">
        <v>11319</v>
      </c>
      <c r="D482">
        <v>1</v>
      </c>
      <c r="K482" t="s">
        <v>201</v>
      </c>
      <c r="L482" t="s">
        <v>2120</v>
      </c>
      <c r="AD482" t="s">
        <v>2468</v>
      </c>
      <c r="AE482">
        <v>11</v>
      </c>
      <c r="AF482" t="s">
        <v>2123</v>
      </c>
      <c r="AH482">
        <v>255</v>
      </c>
      <c r="AM482" t="str">
        <f t="shared" si="7"/>
        <v>{dwID=11319,nLevel=1,szNote="临渊蹈河",col={179,238,58,},[1]={},[2]={},aCataclysmBuff={{szReminder="减 技能临渊蹈河减伤",nPriority=11,col="#B3EE3AFF",nColAlpha=255,},},},</v>
      </c>
    </row>
    <row r="483" spans="3:39" x14ac:dyDescent="0.15">
      <c r="C483">
        <v>11344</v>
      </c>
      <c r="D483">
        <v>1</v>
      </c>
      <c r="E483">
        <v>3</v>
      </c>
      <c r="K483" t="s">
        <v>202</v>
      </c>
      <c r="L483" t="s">
        <v>2120</v>
      </c>
      <c r="Z483">
        <v>3</v>
      </c>
      <c r="AA483" t="s">
        <v>2121</v>
      </c>
      <c r="AD483" t="s">
        <v>2469</v>
      </c>
      <c r="AE483">
        <v>11</v>
      </c>
      <c r="AF483" t="s">
        <v>2123</v>
      </c>
      <c r="AH483">
        <v>255</v>
      </c>
      <c r="AL483" t="s">
        <v>2470</v>
      </c>
      <c r="AM483" t="str">
        <f t="shared" si="7"/>
        <v>{dwID=11344,nLevel=1,nCount=3,szNote="上将军印",col={179,238,58,},[1]={},[2]={},aCataclysmBuff={{nStackNum=3,szStackOp="&gt;=",szReminder="减 技能上将减伤",nPriority=11,col="#B3EE3AFF",nColAlpha=255,},{szStackOp="&gt;=",nStackNum=1,szReminder="减 技能上将减伤",nPriority=12,nColAlpha=255,col="#B3EE3AFF",},},},</v>
      </c>
    </row>
    <row r="484" spans="3:39" x14ac:dyDescent="0.15">
      <c r="C484">
        <v>12506</v>
      </c>
      <c r="D484">
        <v>1</v>
      </c>
      <c r="K484" t="s">
        <v>203</v>
      </c>
      <c r="L484" t="s">
        <v>2120</v>
      </c>
      <c r="AD484" t="s">
        <v>2471</v>
      </c>
      <c r="AE484">
        <v>11</v>
      </c>
      <c r="AF484" t="s">
        <v>2123</v>
      </c>
      <c r="AH484">
        <v>255</v>
      </c>
      <c r="AM484" t="str">
        <f t="shared" si="7"/>
        <v>{dwID=12506,nLevel=1,szNote="风身",col={179,238,58,},[1]={},[2]={},aCataclysmBuff={{szReminder="减 奇穴寒衣减伤",nPriority=11,col="#B3EE3AFF",nColAlpha=255,},},},</v>
      </c>
    </row>
    <row r="485" spans="3:39" x14ac:dyDescent="0.15">
      <c r="C485">
        <v>13778</v>
      </c>
      <c r="D485">
        <v>1</v>
      </c>
      <c r="K485" t="s">
        <v>93</v>
      </c>
      <c r="L485" t="s">
        <v>2115</v>
      </c>
      <c r="R485">
        <v>1</v>
      </c>
      <c r="AD485" t="s">
        <v>2310</v>
      </c>
      <c r="AE485">
        <v>2</v>
      </c>
      <c r="AF485" t="s">
        <v>2117</v>
      </c>
      <c r="AG485" t="s">
        <v>2132</v>
      </c>
      <c r="AH485">
        <v>255</v>
      </c>
      <c r="AI485">
        <v>1</v>
      </c>
      <c r="AK485">
        <v>1</v>
      </c>
      <c r="AM485" t="str">
        <f t="shared" si="7"/>
        <v>{dwID=13778,nLevel=1,szNote="逸尘步虚",col={255,204,0,},[1]={bScreenHead=true,},[2]={},aCataclysmBuff={{szReminder="逸 技能逸尘步虚无敌",nPriority=2,col="#FFCC00FF",colScreenHead="#FFCC00",nColAlpha=255,bAttention=true,bScreenHead=true,},},},</v>
      </c>
    </row>
    <row r="486" spans="3:39" x14ac:dyDescent="0.15">
      <c r="C486">
        <v>13771</v>
      </c>
      <c r="D486">
        <v>1</v>
      </c>
      <c r="K486" t="s">
        <v>204</v>
      </c>
      <c r="L486" t="s">
        <v>2120</v>
      </c>
      <c r="AD486" t="s">
        <v>2472</v>
      </c>
      <c r="AE486">
        <v>11</v>
      </c>
      <c r="AF486" t="s">
        <v>2123</v>
      </c>
      <c r="AH486">
        <v>255</v>
      </c>
      <c r="AM486" t="str">
        <f t="shared" si="7"/>
        <v>{dwID=13771,nLevel=1,szNote="疾电叱羽",col={179,238,58,},[1]={},[2]={},aCataclysmBuff={{szReminder="盾 技能疾电叱羽化解",nPriority=11,col="#B3EE3AFF",nColAlpha=255,},},},</v>
      </c>
    </row>
    <row r="487" spans="3:39" x14ac:dyDescent="0.15">
      <c r="C487">
        <v>14355</v>
      </c>
      <c r="D487">
        <v>1</v>
      </c>
      <c r="K487" t="s">
        <v>205</v>
      </c>
      <c r="L487" t="s">
        <v>2120</v>
      </c>
      <c r="AD487" t="s">
        <v>2473</v>
      </c>
      <c r="AE487">
        <v>11</v>
      </c>
      <c r="AF487" t="s">
        <v>2123</v>
      </c>
      <c r="AH487">
        <v>255</v>
      </c>
      <c r="AM487" t="str">
        <f t="shared" si="7"/>
        <v>{dwID=14355,nLevel=1,szNote="骋风",col={179,238,58,},[1]={},[2]={},aCataclysmBuff={{szReminder="解 技能驭羽骋风减伤",nPriority=11,col="#B3EE3AFF",nColAlpha=255,},},},</v>
      </c>
    </row>
    <row r="488" spans="3:39" x14ac:dyDescent="0.15">
      <c r="C488">
        <v>13742</v>
      </c>
      <c r="D488">
        <v>1</v>
      </c>
      <c r="K488" t="s">
        <v>206</v>
      </c>
      <c r="L488" t="s">
        <v>2120</v>
      </c>
      <c r="AD488" t="s">
        <v>2474</v>
      </c>
      <c r="AE488">
        <v>11</v>
      </c>
      <c r="AF488" t="s">
        <v>2123</v>
      </c>
      <c r="AH488">
        <v>255</v>
      </c>
      <c r="AM488" t="str">
        <f t="shared" si="7"/>
        <v>{dwID=13742,nLevel=1,szNote="定波砥澜",col={179,238,58,},[1]={},[2]={},aCataclysmBuff={{szReminder="减 技能定波减伤",nPriority=11,col="#B3EE3AFF",nColAlpha=255,},},},</v>
      </c>
    </row>
    <row r="489" spans="3:39" x14ac:dyDescent="0.15">
      <c r="C489">
        <v>14067</v>
      </c>
      <c r="D489">
        <v>1</v>
      </c>
      <c r="E489">
        <v>3</v>
      </c>
      <c r="K489" t="s">
        <v>207</v>
      </c>
      <c r="L489" t="s">
        <v>2120</v>
      </c>
      <c r="Z489">
        <v>3</v>
      </c>
      <c r="AA489" t="s">
        <v>2121</v>
      </c>
      <c r="AD489" t="s">
        <v>2475</v>
      </c>
      <c r="AE489">
        <v>11</v>
      </c>
      <c r="AF489" t="s">
        <v>2123</v>
      </c>
      <c r="AH489">
        <v>255</v>
      </c>
      <c r="AL489" t="s">
        <v>2476</v>
      </c>
      <c r="AM489" t="str">
        <f t="shared" si="7"/>
        <v>{dwID=14067,nLevel=1,nCount=3,szNote="遨宇",col={179,238,58,},[1]={},[2]={},aCataclysmBuff={{nStackNum=3,szStackOp="&gt;=",szReminder="减 奇穴遨宇减伤",nPriority=11,col="#B3EE3AFF",nColAlpha=255,},{szStackOp="&gt;=",nStackNum=1,szReminder="减 奇穴遨宇减伤",nPriority=12,nColAlpha=255,col="#B3EE3AFF",},},},</v>
      </c>
    </row>
    <row r="490" spans="3:39" x14ac:dyDescent="0.15">
      <c r="C490">
        <v>14082</v>
      </c>
      <c r="D490">
        <v>1</v>
      </c>
      <c r="K490" t="s">
        <v>467</v>
      </c>
      <c r="L490" t="s">
        <v>2120</v>
      </c>
      <c r="AD490" t="s">
        <v>2477</v>
      </c>
      <c r="AE490">
        <v>11</v>
      </c>
      <c r="AF490" t="s">
        <v>2123</v>
      </c>
      <c r="AH490">
        <v>255</v>
      </c>
      <c r="AM490" t="str">
        <f t="shared" si="7"/>
        <v>{dwID=14082,nLevel=1,szNote="乘龙",col={179,238,58,},[1]={},[2]={},aCataclysmBuff={{szReminder="减 浮游天地落地奇穴乘龙减伤30%免控（击退和被拉除外）",nPriority=11,col="#B3EE3AFF",nColAlpha=255,},},},</v>
      </c>
    </row>
    <row r="491" spans="3:39" x14ac:dyDescent="0.15">
      <c r="C491">
        <v>13735</v>
      </c>
      <c r="D491">
        <v>1</v>
      </c>
      <c r="K491" t="s">
        <v>94</v>
      </c>
      <c r="L491" t="s">
        <v>2120</v>
      </c>
      <c r="R491">
        <v>1</v>
      </c>
      <c r="AD491" t="s">
        <v>2311</v>
      </c>
      <c r="AE491">
        <v>11</v>
      </c>
      <c r="AF491" t="s">
        <v>2123</v>
      </c>
      <c r="AG491" t="s">
        <v>2130</v>
      </c>
      <c r="AH491">
        <v>255</v>
      </c>
      <c r="AK491">
        <v>1</v>
      </c>
      <c r="AM491" t="str">
        <f t="shared" si="7"/>
        <v>{dwID=13735,nLevel=1,szNote="浮游天地",col={179,238,58,},[1]={bScreenHead=true,},[2]={},aCataclysmBuff={{szReminder="浮 浮游天地免控",nPriority=11,col="#B3EE3AFF",colScreenHead="#B3EE3A",nColAlpha=255,bScreenHead=true,},},},</v>
      </c>
    </row>
    <row r="492" spans="3:39" x14ac:dyDescent="0.15">
      <c r="C492">
        <v>15717</v>
      </c>
      <c r="D492">
        <v>1</v>
      </c>
      <c r="K492" t="s">
        <v>95</v>
      </c>
      <c r="L492" t="s">
        <v>2115</v>
      </c>
      <c r="R492">
        <v>1</v>
      </c>
      <c r="AD492" t="s">
        <v>2312</v>
      </c>
      <c r="AE492">
        <v>2</v>
      </c>
      <c r="AF492" t="s">
        <v>2117</v>
      </c>
      <c r="AG492" t="s">
        <v>2132</v>
      </c>
      <c r="AH492">
        <v>255</v>
      </c>
      <c r="AI492">
        <v>1</v>
      </c>
      <c r="AK492">
        <v>1</v>
      </c>
      <c r="AM492" t="str">
        <f t="shared" si="7"/>
        <v>{dwID=15717,nLevel=1,szNote="十方玄机",col={255,204,0,},[1]={bScreenHead=true,},[2]={},aCataclysmBuff={{szReminder="十 技能十方无敌",nPriority=2,col="#FFCC00FF",colScreenHead="#FFCC00",nColAlpha=255,bAttention=true,bScreenHead=true,},},},</v>
      </c>
    </row>
    <row r="493" spans="3:39" x14ac:dyDescent="0.15">
      <c r="C493">
        <v>15735</v>
      </c>
      <c r="D493">
        <v>1</v>
      </c>
      <c r="K493" t="s">
        <v>208</v>
      </c>
      <c r="L493" t="s">
        <v>2120</v>
      </c>
      <c r="AD493" t="s">
        <v>2478</v>
      </c>
      <c r="AE493">
        <v>11</v>
      </c>
      <c r="AF493" t="s">
        <v>2123</v>
      </c>
      <c r="AH493">
        <v>255</v>
      </c>
      <c r="AM493" t="str">
        <f t="shared" si="7"/>
        <v>{dwID=15735,nLevel=1,szNote="斩无常",col={179,238,58,},[1]={},[2]={},aCataclysmBuff={{szReminder="斩 技能斩无常减伤",nPriority=11,col="#B3EE3AFF",nColAlpha=255,},},},</v>
      </c>
    </row>
    <row r="494" spans="3:39" x14ac:dyDescent="0.15">
      <c r="C494">
        <v>15826</v>
      </c>
      <c r="D494">
        <v>1</v>
      </c>
      <c r="K494" t="s">
        <v>96</v>
      </c>
      <c r="L494" t="s">
        <v>2120</v>
      </c>
      <c r="R494">
        <v>1</v>
      </c>
      <c r="AD494" t="s">
        <v>2313</v>
      </c>
      <c r="AE494">
        <v>11</v>
      </c>
      <c r="AF494" t="s">
        <v>2123</v>
      </c>
      <c r="AG494" t="s">
        <v>2130</v>
      </c>
      <c r="AH494">
        <v>255</v>
      </c>
      <c r="AK494">
        <v>1</v>
      </c>
      <c r="AM494" t="str">
        <f t="shared" si="7"/>
        <v>{dwID=15826,nLevel=1,szNote="日月吴钩",col={179,238,58,},[1]={bScreenHead=true,},[2]={},aCataclysmBuff={{szReminder="闪 技能日月吴钩闪避",nPriority=11,col="#B3EE3AFF",colScreenHead="#B3EE3A",nColAlpha=255,bScreenHead=true,},},},</v>
      </c>
    </row>
    <row r="495" spans="3:39" x14ac:dyDescent="0.15">
      <c r="C495">
        <v>15621</v>
      </c>
      <c r="D495">
        <v>1</v>
      </c>
      <c r="H495">
        <v>1</v>
      </c>
      <c r="K495" t="s">
        <v>97</v>
      </c>
      <c r="L495" t="s">
        <v>2120</v>
      </c>
      <c r="AD495" t="s">
        <v>2479</v>
      </c>
      <c r="AE495">
        <v>12</v>
      </c>
      <c r="AF495" t="s">
        <v>2123</v>
      </c>
      <c r="AH495">
        <v>255</v>
      </c>
      <c r="AM495" t="str">
        <f t="shared" si="7"/>
        <v>{dwID=15621,nLevel=1,bCheckLevel=true,szNote="崔嵬鬼步",col={179,238,58,},[1]={},[2]={},aCataclysmBuff={{szReminder="鬼 免疫控制，追踪目标",nPriority=12,col="#B3EE3AFF",nColAlpha=255,},},},</v>
      </c>
    </row>
    <row r="496" spans="3:39" x14ac:dyDescent="0.15">
      <c r="C496">
        <v>15621</v>
      </c>
      <c r="D496">
        <v>2</v>
      </c>
      <c r="H496">
        <v>1</v>
      </c>
      <c r="K496" t="s">
        <v>97</v>
      </c>
      <c r="L496" t="s">
        <v>2120</v>
      </c>
      <c r="AD496" t="s">
        <v>2314</v>
      </c>
      <c r="AE496">
        <v>11</v>
      </c>
      <c r="AF496" t="s">
        <v>2123</v>
      </c>
      <c r="AH496">
        <v>255</v>
      </c>
      <c r="AM496" t="str">
        <f t="shared" si="7"/>
        <v>{dwID=15621,nLevel=2,bCheckLevel=true,szNote="崔嵬鬼步",col={179,238,58,},[1]={},[2]={},aCataclysmBuff={{szReminder="鬼 奇穴闻鹤降被命中",nPriority=11,col="#B3EE3AFF",nColAlpha=255,},},},</v>
      </c>
    </row>
    <row r="497" spans="3:39" x14ac:dyDescent="0.15">
      <c r="C497">
        <v>15621</v>
      </c>
      <c r="D497">
        <v>4</v>
      </c>
      <c r="H497">
        <v>1</v>
      </c>
      <c r="K497" t="s">
        <v>97</v>
      </c>
      <c r="L497" t="s">
        <v>2120</v>
      </c>
      <c r="R497">
        <v>1</v>
      </c>
      <c r="AD497" t="s">
        <v>2314</v>
      </c>
      <c r="AE497">
        <v>11</v>
      </c>
      <c r="AF497" t="s">
        <v>2123</v>
      </c>
      <c r="AG497" t="s">
        <v>2130</v>
      </c>
      <c r="AH497">
        <v>255</v>
      </c>
      <c r="AK497">
        <v>1</v>
      </c>
      <c r="AM497" t="str">
        <f t="shared" si="7"/>
        <v>{dwID=15621,nLevel=4,bCheckLevel=true,szNote="崔嵬鬼步",col={179,238,58,},[1]={bScreenHead=true,},[2]={},aCataclysmBuff={{szReminder="鬼 奇穴闻鹤降被命中",nPriority=11,col="#B3EE3AFF",colScreenHead="#B3EE3A",nColAlpha=255,bScreenHead=true,},},},</v>
      </c>
    </row>
    <row r="498" spans="3:39" x14ac:dyDescent="0.15">
      <c r="C498">
        <v>15845</v>
      </c>
      <c r="D498">
        <v>1</v>
      </c>
      <c r="K498" t="s">
        <v>209</v>
      </c>
      <c r="L498" t="s">
        <v>2120</v>
      </c>
      <c r="AD498" t="s">
        <v>2480</v>
      </c>
      <c r="AE498">
        <v>11</v>
      </c>
      <c r="AF498" t="s">
        <v>2123</v>
      </c>
      <c r="AH498">
        <v>255</v>
      </c>
      <c r="AM498" t="str">
        <f t="shared" si="7"/>
        <v>{dwID=15845,nLevel=1,szNote="天堑",col={179,238,58,},[1]={},[2]={},aCataclysmBuff={{szReminder="免 乱天狼免控（击退和被拉除外）",nPriority=11,col="#B3EE3AFF",nColAlpha=255,},},},</v>
      </c>
    </row>
    <row r="499" spans="3:39" x14ac:dyDescent="0.15">
      <c r="C499">
        <v>18049</v>
      </c>
      <c r="D499">
        <v>1</v>
      </c>
      <c r="K499" t="s">
        <v>98</v>
      </c>
      <c r="L499" t="s">
        <v>2115</v>
      </c>
      <c r="R499">
        <v>1</v>
      </c>
      <c r="AD499" t="s">
        <v>2315</v>
      </c>
      <c r="AE499">
        <v>2</v>
      </c>
      <c r="AF499" t="s">
        <v>2117</v>
      </c>
      <c r="AG499" t="s">
        <v>2132</v>
      </c>
      <c r="AH499">
        <v>255</v>
      </c>
      <c r="AI499">
        <v>1</v>
      </c>
      <c r="AK499">
        <v>1</v>
      </c>
      <c r="AM499" t="str">
        <f t="shared" si="7"/>
        <v>{dwID=18049,nLevel=1,szNote="巨门北落",col={255,204,0,},[1]={bScreenHead=true,},[2]={},aCataclysmBuff={{szReminder="巨 技能巨门无敌",nPriority=2,col="#FFCC00FF",colScreenHead="#FFCC00",nColAlpha=255,bAttention=true,bScreenHead=true,},},},</v>
      </c>
    </row>
    <row r="500" spans="3:39" x14ac:dyDescent="0.15">
      <c r="C500">
        <v>17596</v>
      </c>
      <c r="D500">
        <v>1</v>
      </c>
      <c r="K500" t="s">
        <v>99</v>
      </c>
      <c r="L500" t="s">
        <v>2115</v>
      </c>
      <c r="R500">
        <v>1</v>
      </c>
      <c r="AB500">
        <v>1</v>
      </c>
      <c r="AD500" t="s">
        <v>2316</v>
      </c>
      <c r="AE500">
        <v>2</v>
      </c>
      <c r="AF500" t="s">
        <v>2117</v>
      </c>
      <c r="AG500" t="s">
        <v>2132</v>
      </c>
      <c r="AH500">
        <v>255</v>
      </c>
      <c r="AK500">
        <v>1</v>
      </c>
      <c r="AM500" t="str">
        <f t="shared" si="7"/>
        <v>{dwID=17596,nLevel=1,szNote="祝由·水坎",col={255,204,0,},[1]={bScreenHead=true,},[2]={},aCataclysmBuff={{bOnlyMine=true,szReminder="水 奇穴神占水卦无敌",nPriority=2,col="#FFCC00FF",colScreenHead="#FFCC00",nColAlpha=255,bScreenHead=true,},},},</v>
      </c>
    </row>
    <row r="501" spans="3:39" x14ac:dyDescent="0.15">
      <c r="C501">
        <v>17961</v>
      </c>
      <c r="D501">
        <v>1</v>
      </c>
      <c r="K501" t="s">
        <v>210</v>
      </c>
      <c r="L501" t="s">
        <v>2120</v>
      </c>
      <c r="AD501" t="s">
        <v>2481</v>
      </c>
      <c r="AE501">
        <v>11</v>
      </c>
      <c r="AF501" t="s">
        <v>2123</v>
      </c>
      <c r="AH501">
        <v>255</v>
      </c>
      <c r="AM501" t="str">
        <f t="shared" si="7"/>
        <v>{dwID=17961,nLevel=1,szNote="司命",col={179,238,58,},[1]={},[2]={},aCataclysmBuff={{szReminder="减 奇穴天人合一司命减伤60%",nPriority=11,col="#B3EE3AFF",nColAlpha=255,},},},</v>
      </c>
    </row>
    <row r="502" spans="3:39" x14ac:dyDescent="0.15">
      <c r="C502">
        <v>18203</v>
      </c>
      <c r="D502">
        <v>1</v>
      </c>
      <c r="K502" t="s">
        <v>211</v>
      </c>
      <c r="L502" t="s">
        <v>2120</v>
      </c>
      <c r="AD502" t="s">
        <v>2482</v>
      </c>
      <c r="AE502">
        <v>11</v>
      </c>
      <c r="AF502" t="s">
        <v>2123</v>
      </c>
      <c r="AH502">
        <v>255</v>
      </c>
      <c r="AM502" t="str">
        <f t="shared" si="7"/>
        <v>{dwID=18203,nLevel=1,szNote="问吉",col={179,238,58,},[1]={},[2]={},aCataclysmBuff={{szReminder="减 技能起卦减伤",nPriority=11,col="#B3EE3AFF",nColAlpha=255,},},},</v>
      </c>
    </row>
    <row r="503" spans="3:39" x14ac:dyDescent="0.15">
      <c r="C503">
        <v>18039</v>
      </c>
      <c r="D503">
        <v>1</v>
      </c>
      <c r="K503" t="s">
        <v>212</v>
      </c>
      <c r="L503" t="s">
        <v>2120</v>
      </c>
      <c r="AD503" t="s">
        <v>2483</v>
      </c>
      <c r="AE503">
        <v>11</v>
      </c>
      <c r="AF503" t="s">
        <v>2123</v>
      </c>
      <c r="AH503">
        <v>255</v>
      </c>
      <c r="AM503" t="str">
        <f t="shared" si="7"/>
        <v>{dwID=18039,nLevel=1,szNote="龙马出河",col={179,238,58,},[1]={},[2]={},aCataclysmBuff={{szReminder="龙 奇穴龙马减伤",nPriority=11,col="#B3EE3AFF",nColAlpha=255,},},},</v>
      </c>
    </row>
    <row r="504" spans="3:39" x14ac:dyDescent="0.15">
      <c r="C504">
        <v>17997</v>
      </c>
      <c r="D504">
        <v>1</v>
      </c>
      <c r="K504" t="s">
        <v>213</v>
      </c>
      <c r="L504" t="s">
        <v>2120</v>
      </c>
      <c r="AD504" t="s">
        <v>2484</v>
      </c>
      <c r="AE504">
        <v>11</v>
      </c>
      <c r="AF504" t="s">
        <v>2123</v>
      </c>
      <c r="AH504">
        <v>255</v>
      </c>
      <c r="AM504" t="str">
        <f t="shared" si="7"/>
        <v>{dwID=17997,nLevel=1,szNote="延年",col={179,238,58,},[1]={},[2]={},aCataclysmBuff={{szReminder="盾 奇穴延年化解",nPriority=11,col="#B3EE3AFF",nColAlpha=255,},},},</v>
      </c>
    </row>
    <row r="505" spans="3:39" x14ac:dyDescent="0.15">
      <c r="C505">
        <v>21095</v>
      </c>
      <c r="D505">
        <v>1</v>
      </c>
      <c r="K505" t="s">
        <v>214</v>
      </c>
      <c r="L505" t="s">
        <v>2120</v>
      </c>
      <c r="AD505" t="s">
        <v>2485</v>
      </c>
      <c r="AE505">
        <v>11</v>
      </c>
      <c r="AF505" t="s">
        <v>2123</v>
      </c>
      <c r="AH505">
        <v>255</v>
      </c>
      <c r="AM505" t="str">
        <f t="shared" si="7"/>
        <v>{dwID=21095,nLevel=1,szNote="神占·水坎",col={179,238,58,},[1]={},[2]={},aCataclysmBuff={{szReminder="减 奇穴神占水卦减伤",nPriority=11,col="#B3EE3AFF",nColAlpha=255,},},},</v>
      </c>
    </row>
    <row r="506" spans="3:39" x14ac:dyDescent="0.15">
      <c r="C506">
        <v>18124</v>
      </c>
      <c r="D506">
        <v>1</v>
      </c>
      <c r="K506" t="s">
        <v>215</v>
      </c>
      <c r="L506" t="s">
        <v>2120</v>
      </c>
      <c r="AD506" t="s">
        <v>2486</v>
      </c>
      <c r="AE506">
        <v>11</v>
      </c>
      <c r="AF506" t="s">
        <v>2123</v>
      </c>
      <c r="AH506">
        <v>255</v>
      </c>
      <c r="AM506" t="str">
        <f t="shared" si="7"/>
        <v>{dwID=18124,nLevel=1,szNote="起卦",col={179,238,58,},[1]={},[2]={},aCataclysmBuff={{szReminder="免 自身免疫控制（击退和被拉除外）",nPriority=11,col="#B3EE3AFF",nColAlpha=255,},},},</v>
      </c>
    </row>
    <row r="507" spans="3:39" x14ac:dyDescent="0.15">
      <c r="C507">
        <v>18418</v>
      </c>
      <c r="D507">
        <v>1</v>
      </c>
      <c r="K507" t="s">
        <v>216</v>
      </c>
      <c r="L507" t="s">
        <v>2120</v>
      </c>
      <c r="AD507" t="s">
        <v>2487</v>
      </c>
      <c r="AE507">
        <v>11</v>
      </c>
      <c r="AF507" t="s">
        <v>2123</v>
      </c>
      <c r="AH507">
        <v>255</v>
      </c>
      <c r="AM507" t="str">
        <f t="shared" si="7"/>
        <v>{dwID=18418,nLevel=1,szNote="神遁",col={179,238,58,},[1]={},[2]={},aCataclysmBuff={{szReminder="免 神盾魂阵持续免控（击退和被拉除外）",nPriority=11,col="#B3EE3AFF",nColAlpha=255,},},},</v>
      </c>
    </row>
    <row r="508" spans="3:39" x14ac:dyDescent="0.15">
      <c r="C508">
        <v>18228</v>
      </c>
      <c r="D508">
        <v>1</v>
      </c>
      <c r="K508" t="s">
        <v>217</v>
      </c>
      <c r="L508" t="s">
        <v>2120</v>
      </c>
      <c r="AD508" t="s">
        <v>2486</v>
      </c>
      <c r="AE508">
        <v>11</v>
      </c>
      <c r="AF508" t="s">
        <v>2123</v>
      </c>
      <c r="AH508">
        <v>255</v>
      </c>
      <c r="AM508" t="str">
        <f t="shared" si="7"/>
        <v>{dwID=18228,nLevel=1,szNote="风遁",col={179,238,58,},[1]={},[2]={},aCataclysmBuff={{szReminder="免 自身免疫控制（击退和被拉除外）",nPriority=11,col="#B3EE3AFF",nColAlpha=255,},},},</v>
      </c>
    </row>
    <row r="509" spans="3:39" x14ac:dyDescent="0.15">
      <c r="C509">
        <v>17905</v>
      </c>
      <c r="D509">
        <v>1</v>
      </c>
      <c r="K509" t="s">
        <v>218</v>
      </c>
      <c r="L509" t="s">
        <v>2120</v>
      </c>
      <c r="AD509" t="s">
        <v>2301</v>
      </c>
      <c r="AE509">
        <v>11</v>
      </c>
      <c r="AF509" t="s">
        <v>2123</v>
      </c>
      <c r="AH509">
        <v>255</v>
      </c>
      <c r="AM509" t="str">
        <f t="shared" si="7"/>
        <v>{dwID=17905,nLevel=1,szNote="返闭惊魂",col={179,238,58,},[1]={},[2]={},aCataclysmBuff={{szReminder="免 免疫一切控制效果（被拉除外）",nPriority=11,col="#B3EE3AFF",nColAlpha=255,},},},</v>
      </c>
    </row>
    <row r="510" spans="3:39" x14ac:dyDescent="0.15">
      <c r="C510">
        <v>21276</v>
      </c>
      <c r="D510">
        <v>1</v>
      </c>
      <c r="K510" t="s">
        <v>100</v>
      </c>
      <c r="L510" t="s">
        <v>2115</v>
      </c>
      <c r="R510">
        <v>1</v>
      </c>
      <c r="AD510" t="s">
        <v>2317</v>
      </c>
      <c r="AE510">
        <v>2</v>
      </c>
      <c r="AF510" t="s">
        <v>2117</v>
      </c>
      <c r="AG510" t="s">
        <v>2132</v>
      </c>
      <c r="AH510">
        <v>255</v>
      </c>
      <c r="AI510">
        <v>1</v>
      </c>
      <c r="AK510">
        <v>1</v>
      </c>
      <c r="AM510" t="str">
        <f t="shared" si="7"/>
        <v>{dwID=21276,nLevel=1,szNote="逐云寒蕊",col={255,204,0,},[1]={bScreenHead=true,},[2]={},aCataclysmBuff={{szReminder="逐 技能逐云寒蕊无敌",nPriority=2,col="#FFCC00FF",colScreenHead="#FFCC00",nColAlpha=255,bAttention=true,bScreenHead=true,},},},</v>
      </c>
    </row>
    <row r="511" spans="3:39" x14ac:dyDescent="0.15">
      <c r="C511">
        <v>20874</v>
      </c>
      <c r="D511">
        <v>1</v>
      </c>
      <c r="K511" t="s">
        <v>101</v>
      </c>
      <c r="L511" t="s">
        <v>2115</v>
      </c>
      <c r="R511">
        <v>1</v>
      </c>
      <c r="AD511" t="s">
        <v>2318</v>
      </c>
      <c r="AE511">
        <v>2</v>
      </c>
      <c r="AF511" t="s">
        <v>2117</v>
      </c>
      <c r="AG511" t="s">
        <v>2132</v>
      </c>
      <c r="AH511">
        <v>255</v>
      </c>
      <c r="AK511">
        <v>1</v>
      </c>
      <c r="AM511" t="str">
        <f t="shared" si="7"/>
        <v>{dwID=20874,nLevel=1,szNote="浅碧",col={255,204,0,},[1]={bScreenHead=true,},[2]={},aCataclysmBuff={{szReminder="碧 林素奇穴浅碧免死",nPriority=2,col="#FFCC00FF",colScreenHead="#FFCC00",nColAlpha=255,bScreenHead=true,},},},</v>
      </c>
    </row>
    <row r="512" spans="3:39" x14ac:dyDescent="0.15">
      <c r="C512">
        <v>20799</v>
      </c>
      <c r="D512">
        <v>1</v>
      </c>
      <c r="K512" t="s">
        <v>219</v>
      </c>
      <c r="L512" t="s">
        <v>2120</v>
      </c>
      <c r="AD512" t="s">
        <v>2488</v>
      </c>
      <c r="AE512">
        <v>11</v>
      </c>
      <c r="AF512" t="s">
        <v>2123</v>
      </c>
      <c r="AH512">
        <v>255</v>
      </c>
      <c r="AM512" t="str">
        <f t="shared" si="7"/>
        <v>{dwID=20799,nLevel=1,szNote="凝壁",col={179,238,58,},[1]={},[2]={},aCataclysmBuff={{szReminder="摊 灵素奇穴凝壁被分担",nPriority=11,col="#B3EE3AFF",nColAlpha=255,},},},</v>
      </c>
    </row>
    <row r="513" spans="3:39" x14ac:dyDescent="0.15">
      <c r="C513">
        <v>20075</v>
      </c>
      <c r="D513">
        <v>1</v>
      </c>
      <c r="K513" t="s">
        <v>220</v>
      </c>
      <c r="L513" t="s">
        <v>2120</v>
      </c>
      <c r="AD513" t="s">
        <v>2489</v>
      </c>
      <c r="AE513">
        <v>11</v>
      </c>
      <c r="AF513" t="s">
        <v>2123</v>
      </c>
      <c r="AH513">
        <v>255</v>
      </c>
      <c r="AM513" t="str">
        <f t="shared" si="7"/>
        <v>{dwID=20075,nLevel=1,szNote="千枝绽蕊",col={179,238,58,},[1]={},[2]={},aCataclysmBuff={{szReminder="减 技能千枝绽蕊减伤",nPriority=11,col="#B3EE3AFF",nColAlpha=255,},},},</v>
      </c>
    </row>
    <row r="514" spans="3:39" x14ac:dyDescent="0.15">
      <c r="C514">
        <v>20882</v>
      </c>
      <c r="D514">
        <v>1</v>
      </c>
      <c r="K514" t="s">
        <v>221</v>
      </c>
      <c r="L514" t="s">
        <v>2120</v>
      </c>
      <c r="AD514" t="s">
        <v>2490</v>
      </c>
      <c r="AE514">
        <v>11</v>
      </c>
      <c r="AF514" t="s">
        <v>2123</v>
      </c>
      <c r="AH514">
        <v>255</v>
      </c>
      <c r="AM514" t="str">
        <f t="shared" ref="AM514:AM577" si="8">IF(B514&lt;&gt;"",IF(IFERROR(VALUE(C513),0)&lt;=0,"["&amp;B514&amp;"]={","},["&amp;B514&amp;"]={"),IF(C514&gt;0,"{dwID="&amp;C514&amp;","&amp;"nLevel="&amp;D514&amp;","&amp;IF(E514&gt;0,"nCount="&amp;E514&amp;",","")&amp;IF(F514&gt;0,"nIcon="&amp;F514&amp;",","")&amp;IF(G514&lt;&gt;"","szName="""&amp;G514&amp;""",","")&amp;IF(H514&gt;0,"bCheckLevel=true,","")&amp;IF(I514&gt;0,"nScrutinyType="&amp;I514&amp;",","")&amp;IF(J514&lt;&gt;"","tKungFu={"&amp;J514&amp;"},","")&amp;IF(K514&lt;&gt;"","szNote="""&amp;K514&amp;""",","")&amp;IF(L514&lt;&gt;"","col={"&amp;L514&amp;"},","")&amp;"[1]={"&amp;IF(M514&lt;&gt;"","tMark={"&amp;M514&amp;"},","")&amp;IF(N514&lt;&gt;"","szVoice="""&amp;N514&amp;""",","")&amp;IF(O514&gt;0,"bCheckLevel=true,","")&amp;IF(P514&gt;0,"bWhisperChannel=true,","")&amp;IF(Q514&gt;0,"bCenterAlarm=true,","")&amp;IF(R514&gt;0,"bScreenHead=true,","")&amp;IF(S514&gt;0,"bPartyBuffList=true,","")&amp;IF(T514&gt;0,"bBuffList=true,","")&amp;IF(U514&gt;0,"bTeamPanel=true,","")&amp;IF(V514&gt;0,"bOnlySelfSrc=true,","")&amp;"},"&amp;"[2]={"&amp;IF(W514&gt;0,"bCheckLevel=true,","")&amp;IF(X514&gt;0,"bWhisperChannel=true,","")&amp;IF(Y514&gt;0,"bCenterAlarm=true,","")&amp;"},"&amp;IF(OR(Z514&gt;0,AD514&lt;&gt;"",AE514&gt;0,AF514&lt;&gt;"",AG514&lt;&gt;"",AH514&gt;0,AI514&gt;0,AJ514&gt;0,AK514&gt;0),"aCataclysmBuff={{"&amp;IF(Z514&gt;0,"nStackNum="&amp;Z514&amp;",","")&amp;IF(AA514&lt;&gt;"","szStackOp="""&amp;AA514&amp;""",","")&amp;IF(AB514&gt;0,"bOnlyMine=true,","")&amp;IF(AC514&gt;0,"bOnlyMe=true,","")&amp;IF(AD514&lt;&gt;"","szReminder="""&amp;AD514&amp;""",","")&amp;IF(AE514&gt;0,"nPriority="&amp;AE514&amp;",","")&amp;IF(AF514&lt;&gt;"","col="""&amp;AF514&amp;""",","")&amp;IF(AG514&lt;&gt;"","colScreenHead="""&amp;AG514&amp;""",","")&amp;IF(AH514&gt;0,"nColAlpha="&amp;AH514&amp;",","")&amp;IF(AI514&gt;0,"bAttention=true,","")&amp;IF(AJ514&gt;0,"bCaution=true,","")&amp;IF(AK514&gt;0,"bScreenHead=true,","")&amp;"},"&amp;AL514&amp;"},","")&amp;IF(AN514&lt;&gt;"","tCountdown={"&amp;_xlfn.TEXTJOIN("",TRUE,AN514:ZY514)&amp;"},","")&amp;"},",IF(C513&gt;0,"},","")&amp;IF(AND(B514="",C514="",OR(B513&lt;&gt;"",C513&lt;&gt;"")),"},}","")))</f>
        <v>{dwID=20882,nLevel=1,szNote="自馨",col={179,238,58,},[1]={},[2]={},aCataclysmBuff={{szReminder="减 灵素奇穴自馨减伤",nPriority=11,col="#B3EE3AFF",nColAlpha=255,},},},</v>
      </c>
    </row>
    <row r="515" spans="3:39" x14ac:dyDescent="0.15">
      <c r="C515">
        <v>20398</v>
      </c>
      <c r="D515">
        <v>1</v>
      </c>
      <c r="K515" t="s">
        <v>222</v>
      </c>
      <c r="L515" t="s">
        <v>2120</v>
      </c>
      <c r="AD515" t="s">
        <v>2491</v>
      </c>
      <c r="AE515">
        <v>11</v>
      </c>
      <c r="AF515" t="s">
        <v>2123</v>
      </c>
      <c r="AH515">
        <v>255</v>
      </c>
      <c r="AM515" t="str">
        <f t="shared" si="8"/>
        <v>{dwID=20398,nLevel=1,szNote="龙葵",col={179,238,58,},[1]={},[2]={},aCataclysmBuff={{szReminder="葵 灵素技能龙葵自苦化解",nPriority=11,col="#B3EE3AFF",nColAlpha=255,},},},</v>
      </c>
    </row>
    <row r="516" spans="3:39" x14ac:dyDescent="0.15">
      <c r="C516">
        <v>26010</v>
      </c>
      <c r="D516">
        <v>1</v>
      </c>
      <c r="K516" t="s">
        <v>223</v>
      </c>
      <c r="L516" t="s">
        <v>2120</v>
      </c>
      <c r="AD516" t="s">
        <v>2492</v>
      </c>
      <c r="AE516">
        <v>11</v>
      </c>
      <c r="AF516" t="s">
        <v>2123</v>
      </c>
      <c r="AH516">
        <v>255</v>
      </c>
      <c r="AM516" t="str">
        <f t="shared" si="8"/>
        <v>{dwID=26010,nLevel=1,szNote="流银",col={179,238,58,},[1]={},[2]={},aCataclysmBuff={{szReminder="减 灵素奇穴流银减伤",nPriority=11,col="#B3EE3AFF",nColAlpha=255,},},},</v>
      </c>
    </row>
    <row r="517" spans="3:39" x14ac:dyDescent="0.15">
      <c r="C517">
        <v>20199</v>
      </c>
      <c r="D517">
        <v>1</v>
      </c>
      <c r="K517" t="s">
        <v>102</v>
      </c>
      <c r="L517" t="s">
        <v>2120</v>
      </c>
      <c r="R517">
        <v>1</v>
      </c>
      <c r="AD517" t="s">
        <v>2319</v>
      </c>
      <c r="AE517">
        <v>11</v>
      </c>
      <c r="AF517" t="s">
        <v>2123</v>
      </c>
      <c r="AG517" t="s">
        <v>2130</v>
      </c>
      <c r="AH517">
        <v>255</v>
      </c>
      <c r="AK517">
        <v>1</v>
      </c>
      <c r="AM517" t="str">
        <f t="shared" si="8"/>
        <v>{dwID=20199,nLevel=1,szNote="绿野蔓生",col={179,238,58,},[1]={bScreenHead=true,},[2]={},aCataclysmBuff={{szReminder="免 绿野蔓生抗拒",nPriority=11,col="#B3EE3AFF",colScreenHead="#B3EE3A",nColAlpha=255,bScreenHead=true,},},},</v>
      </c>
    </row>
    <row r="518" spans="3:39" x14ac:dyDescent="0.15">
      <c r="C518">
        <v>20072</v>
      </c>
      <c r="D518">
        <v>1</v>
      </c>
      <c r="K518" t="s">
        <v>224</v>
      </c>
      <c r="L518" t="s">
        <v>2120</v>
      </c>
      <c r="AD518" t="s">
        <v>2493</v>
      </c>
      <c r="AE518">
        <v>11</v>
      </c>
      <c r="AF518" t="s">
        <v>2123</v>
      </c>
      <c r="AH518">
        <v>255</v>
      </c>
      <c r="AM518" t="str">
        <f t="shared" si="8"/>
        <v>{dwID=20072,nLevel=1,szNote="凌然天风",col={179,238,58,},[1]={},[2]={},aCataclysmBuff={{szReminder="免 凌然天风免控（击退和被拉除外）",nPriority=11,col="#B3EE3AFF",nColAlpha=255,},},},</v>
      </c>
    </row>
    <row r="519" spans="3:39" x14ac:dyDescent="0.15">
      <c r="C519">
        <v>20698</v>
      </c>
      <c r="D519">
        <v>1</v>
      </c>
      <c r="K519" t="s">
        <v>225</v>
      </c>
      <c r="L519" t="s">
        <v>2120</v>
      </c>
      <c r="AD519" t="s">
        <v>2494</v>
      </c>
      <c r="AE519">
        <v>11</v>
      </c>
      <c r="AF519" t="s">
        <v>2123</v>
      </c>
      <c r="AH519">
        <v>255</v>
      </c>
      <c r="AM519" t="str">
        <f t="shared" si="8"/>
        <v>{dwID=20698,nLevel=1,szNote="渡若",col={179,238,58,},[1]={},[2]={},aCataclysmBuff={{szReminder="免 渡若惊鸿掠水霸体",nPriority=11,col="#B3EE3AFF",nColAlpha=255,},},},</v>
      </c>
    </row>
    <row r="520" spans="3:39" x14ac:dyDescent="0.15">
      <c r="C520">
        <v>24241</v>
      </c>
      <c r="D520">
        <v>1</v>
      </c>
      <c r="K520" t="s">
        <v>226</v>
      </c>
      <c r="L520" t="s">
        <v>2120</v>
      </c>
      <c r="AD520" t="s">
        <v>2495</v>
      </c>
      <c r="AE520">
        <v>11</v>
      </c>
      <c r="AF520" t="s">
        <v>2123</v>
      </c>
      <c r="AH520">
        <v>255</v>
      </c>
      <c r="AM520" t="str">
        <f t="shared" si="8"/>
        <v>{dwID=24241,nLevel=1,szNote="势钧",col={179,238,58,},[1]={},[2]={},aCataclysmBuff={{szReminder="盾 奇穴势钧化解",nPriority=11,col="#B3EE3AFF",nColAlpha=255,},},},</v>
      </c>
    </row>
    <row r="521" spans="3:39" x14ac:dyDescent="0.15">
      <c r="C521">
        <v>24184</v>
      </c>
      <c r="D521">
        <v>1</v>
      </c>
      <c r="K521" t="s">
        <v>227</v>
      </c>
      <c r="L521" t="s">
        <v>2120</v>
      </c>
      <c r="AD521" t="s">
        <v>2486</v>
      </c>
      <c r="AE521">
        <v>11</v>
      </c>
      <c r="AF521" t="s">
        <v>2123</v>
      </c>
      <c r="AH521">
        <v>255</v>
      </c>
      <c r="AM521" t="str">
        <f t="shared" si="8"/>
        <v>{dwID=24184,nLevel=1,szNote="驰风八步",col={179,238,58,},[1]={},[2]={},aCataclysmBuff={{szReminder="免 自身免疫控制（击退和被拉除外）",nPriority=11,col="#B3EE3AFF",nColAlpha=255,},},},</v>
      </c>
    </row>
    <row r="522" spans="3:39" x14ac:dyDescent="0.15">
      <c r="C522">
        <v>24172</v>
      </c>
      <c r="D522">
        <v>1</v>
      </c>
      <c r="K522" t="s">
        <v>228</v>
      </c>
      <c r="L522" t="s">
        <v>2120</v>
      </c>
      <c r="AD522" t="s">
        <v>2496</v>
      </c>
      <c r="AE522">
        <v>11</v>
      </c>
      <c r="AF522" t="s">
        <v>2123</v>
      </c>
      <c r="AH522">
        <v>255</v>
      </c>
      <c r="AM522" t="str">
        <f t="shared" si="8"/>
        <v>{dwID=24172,nLevel=1,szNote="游风飘踪",col={179,238,58,},[1]={},[2]={},aCataclysmBuff={{szReminder="免 驰风八步结束免控(击退和被拉除外)",nPriority=11,col="#B3EE3AFF",nColAlpha=255,},},},</v>
      </c>
    </row>
    <row r="523" spans="3:39" x14ac:dyDescent="0.15">
      <c r="C523">
        <v>24233</v>
      </c>
      <c r="D523">
        <v>1</v>
      </c>
      <c r="K523" t="s">
        <v>229</v>
      </c>
      <c r="L523" t="s">
        <v>2120</v>
      </c>
      <c r="AD523" t="s">
        <v>2497</v>
      </c>
      <c r="AE523">
        <v>11</v>
      </c>
      <c r="AF523" t="s">
        <v>2123</v>
      </c>
      <c r="AH523">
        <v>255</v>
      </c>
      <c r="AM523" t="str">
        <f t="shared" si="8"/>
        <v>{dwID=24233,nLevel=1,szNote="识意",col={179,238,58,},[1]={},[2]={},aCataclysmBuff={{szReminder="盾 化解自身受到的伤害",nPriority=11,col="#B3EE3AFF",nColAlpha=255,},},},</v>
      </c>
    </row>
    <row r="524" spans="3:39" x14ac:dyDescent="0.15">
      <c r="C524">
        <v>26951</v>
      </c>
      <c r="D524">
        <v>1</v>
      </c>
      <c r="K524" t="s">
        <v>103</v>
      </c>
      <c r="L524" t="s">
        <v>2120</v>
      </c>
      <c r="R524">
        <v>1</v>
      </c>
      <c r="AD524" t="s">
        <v>2320</v>
      </c>
      <c r="AE524">
        <v>11</v>
      </c>
      <c r="AF524" t="s">
        <v>2123</v>
      </c>
      <c r="AG524" t="s">
        <v>2130</v>
      </c>
      <c r="AH524">
        <v>255</v>
      </c>
      <c r="AK524">
        <v>1</v>
      </c>
      <c r="AM524" t="str">
        <f t="shared" si="8"/>
        <v>{dwID=26951,nLevel=1,szNote="应天授命",col={179,238,58,},[1]={bScreenHead=true,},[2]={},aCataclysmBuff={{szReminder="减 技能应天授命减伤回血",nPriority=11,col="#B3EE3AFF",colScreenHead="#B3EE3A",nColAlpha=255,bScreenHead=true,},},},</v>
      </c>
    </row>
    <row r="525" spans="3:39" x14ac:dyDescent="0.15">
      <c r="C525">
        <v>27459</v>
      </c>
      <c r="D525">
        <v>1</v>
      </c>
      <c r="K525" t="s">
        <v>624</v>
      </c>
      <c r="L525" t="s">
        <v>2120</v>
      </c>
      <c r="AD525" t="s">
        <v>2498</v>
      </c>
      <c r="AE525">
        <v>11</v>
      </c>
      <c r="AF525" t="s">
        <v>2123</v>
      </c>
      <c r="AH525">
        <v>255</v>
      </c>
      <c r="AM525" t="str">
        <f t="shared" si="8"/>
        <v>{dwID=27459,nLevel=1,szNote="汇灵合契",col={179,238,58,},[1]={},[2]={},aCataclysmBuff={{szReminder="盾 技能汇灵合契化解",nPriority=11,col="#B3EE3AFF",nColAlpha=255,},},},</v>
      </c>
    </row>
    <row r="526" spans="3:39" x14ac:dyDescent="0.15">
      <c r="C526">
        <v>27408</v>
      </c>
      <c r="D526">
        <v>1</v>
      </c>
      <c r="K526" t="s">
        <v>104</v>
      </c>
      <c r="L526" t="s">
        <v>2120</v>
      </c>
      <c r="R526">
        <v>1</v>
      </c>
      <c r="AD526" t="s">
        <v>2321</v>
      </c>
      <c r="AE526">
        <v>11</v>
      </c>
      <c r="AF526" t="s">
        <v>2123</v>
      </c>
      <c r="AG526" t="s">
        <v>2130</v>
      </c>
      <c r="AH526">
        <v>255</v>
      </c>
      <c r="AK526">
        <v>1</v>
      </c>
      <c r="AM526" t="str">
        <f t="shared" si="8"/>
        <v>{dwID=27408,nLevel=1,szNote="护持",col={179,238,58,},[1]={bScreenHead=true,},[2]={},aCataclysmBuff={{szReminder="盾 结魂契约_护盾15%",nPriority=11,col="#B3EE3AFF",colScreenHead="#B3EE3A",nColAlpha=255,bScreenHead=true,},},},</v>
      </c>
    </row>
    <row r="527" spans="3:39" x14ac:dyDescent="0.15">
      <c r="C527">
        <v>27409</v>
      </c>
      <c r="D527">
        <v>1</v>
      </c>
      <c r="K527" t="s">
        <v>230</v>
      </c>
      <c r="L527" t="s">
        <v>2120</v>
      </c>
      <c r="AD527" t="s">
        <v>2499</v>
      </c>
      <c r="AE527">
        <v>11</v>
      </c>
      <c r="AF527" t="s">
        <v>2123</v>
      </c>
      <c r="AH527">
        <v>255</v>
      </c>
      <c r="AM527" t="str">
        <f t="shared" si="8"/>
        <v>{dwID=27409,nLevel=1,szNote="与共",col={179,238,58,},[1]={},[2]={},aCataclysmBuff={{szReminder="减 结魂契约_减伤15%",nPriority=11,col="#B3EE3AFF",nColAlpha=255,},},},</v>
      </c>
    </row>
    <row r="528" spans="3:39" x14ac:dyDescent="0.15">
      <c r="C528">
        <v>26952</v>
      </c>
      <c r="D528">
        <v>1</v>
      </c>
      <c r="K528" t="s">
        <v>105</v>
      </c>
      <c r="L528" t="s">
        <v>2120</v>
      </c>
      <c r="R528">
        <v>1</v>
      </c>
      <c r="AD528" t="s">
        <v>2322</v>
      </c>
      <c r="AE528">
        <v>11</v>
      </c>
      <c r="AF528" t="s">
        <v>2123</v>
      </c>
      <c r="AG528" t="s">
        <v>2130</v>
      </c>
      <c r="AH528">
        <v>255</v>
      </c>
      <c r="AK528">
        <v>1</v>
      </c>
      <c r="AM528" t="str">
        <f t="shared" si="8"/>
        <v>{dwID=26952,nLevel=1,szNote="游雾乘云",col={179,238,58,},[1]={bScreenHead=true,},[2]={},aCataclysmBuff={{szReminder="乘 免疫所有控制效果",nPriority=11,col="#B3EE3AFF",colScreenHead="#B3EE3A",nColAlpha=255,bScreenHead=true,},},},</v>
      </c>
    </row>
    <row r="529" spans="1:41" x14ac:dyDescent="0.15">
      <c r="C529">
        <v>27544</v>
      </c>
      <c r="D529">
        <v>1</v>
      </c>
      <c r="K529" t="s">
        <v>105</v>
      </c>
      <c r="L529" t="s">
        <v>2120</v>
      </c>
      <c r="R529">
        <v>1</v>
      </c>
      <c r="AD529" t="s">
        <v>2322</v>
      </c>
      <c r="AE529">
        <v>11</v>
      </c>
      <c r="AF529" t="s">
        <v>2123</v>
      </c>
      <c r="AG529" t="s">
        <v>2130</v>
      </c>
      <c r="AH529">
        <v>255</v>
      </c>
      <c r="AK529">
        <v>1</v>
      </c>
      <c r="AM529" t="str">
        <f t="shared" si="8"/>
        <v>{dwID=27544,nLevel=1,szNote="游雾乘云",col={179,238,58,},[1]={bScreenHead=true,},[2]={},aCataclysmBuff={{szReminder="乘 免疫所有控制效果",nPriority=11,col="#B3EE3AFF",colScreenHead="#B3EE3A",nColAlpha=255,bScreenHead=true,},},},</v>
      </c>
    </row>
    <row r="530" spans="1:41" x14ac:dyDescent="0.15">
      <c r="C530">
        <v>26858</v>
      </c>
      <c r="D530">
        <v>1</v>
      </c>
      <c r="K530" t="s">
        <v>106</v>
      </c>
      <c r="L530" t="s">
        <v>2120</v>
      </c>
      <c r="R530">
        <v>1</v>
      </c>
      <c r="AD530" t="s">
        <v>2323</v>
      </c>
      <c r="AE530">
        <v>11</v>
      </c>
      <c r="AF530" t="s">
        <v>2123</v>
      </c>
      <c r="AG530" t="s">
        <v>2130</v>
      </c>
      <c r="AH530">
        <v>255</v>
      </c>
      <c r="AK530">
        <v>1</v>
      </c>
      <c r="AM530" t="str">
        <f t="shared" si="8"/>
        <v>{dwID=26858,nLevel=1,szNote="澄神",col={179,238,58,},[1]={bScreenHead=true,},[2]={},aCataclysmBuff={{szReminder="免 免疫控制效果（击退和被拉除外）",nPriority=11,col="#B3EE3AFF",colScreenHead="#B3EE3A",nColAlpha=255,bScreenHead=true,},},},</v>
      </c>
    </row>
    <row r="531" spans="1:41" x14ac:dyDescent="0.15">
      <c r="C531">
        <v>27126</v>
      </c>
      <c r="D531">
        <v>1</v>
      </c>
      <c r="K531" t="s">
        <v>231</v>
      </c>
      <c r="L531" t="s">
        <v>2228</v>
      </c>
      <c r="AD531" t="s">
        <v>2500</v>
      </c>
      <c r="AE531">
        <v>11</v>
      </c>
      <c r="AF531" t="s">
        <v>2230</v>
      </c>
      <c r="AH531">
        <v>255</v>
      </c>
      <c r="AM531" t="str">
        <f t="shared" si="8"/>
        <v>{dwID=27126,nLevel=1,szNote="畴野",col={31,63,255,},[1]={},[2]={},aCataclysmBuff={{szReminder="盾 畴野护盾15%气血，击破回复5%内力",nPriority=11,col="#1F3FFFFF",nColAlpha=255,},},},</v>
      </c>
    </row>
    <row r="532" spans="1:41" x14ac:dyDescent="0.15">
      <c r="A532" t="s">
        <v>232</v>
      </c>
      <c r="B532">
        <v>2</v>
      </c>
      <c r="AM532" t="str">
        <f t="shared" si="8"/>
        <v>},[2]={</v>
      </c>
    </row>
    <row r="533" spans="1:41" x14ac:dyDescent="0.15">
      <c r="C533">
        <v>10313</v>
      </c>
      <c r="D533">
        <v>1</v>
      </c>
      <c r="T533">
        <v>1</v>
      </c>
      <c r="AM533" t="str">
        <f t="shared" si="8"/>
        <v>{dwID=10313,nLevel=1,[1]={bBuffList=true,},[2]={},},</v>
      </c>
    </row>
    <row r="534" spans="1:41" x14ac:dyDescent="0.15">
      <c r="A534" t="s">
        <v>671</v>
      </c>
      <c r="B534">
        <v>6</v>
      </c>
      <c r="AM534" t="str">
        <f t="shared" si="8"/>
        <v>},[6]={</v>
      </c>
    </row>
    <row r="535" spans="1:41" x14ac:dyDescent="0.15">
      <c r="C535">
        <v>7308</v>
      </c>
      <c r="D535">
        <v>1</v>
      </c>
      <c r="I535">
        <v>1</v>
      </c>
      <c r="AM535" t="str">
        <f t="shared" si="8"/>
        <v>{dwID=7308,nLevel=1,nScrutinyType=1,[1]={},[2]={},tCountdown={{nClass=1,nIcon=3313,nFrame=6,szName="轻盈",nTime=10,key="断线的风筝",},{nClass=2,nIcon=3313,nFrame=5,szName="",nTime=0.01,key="断线的风筝",},},},</v>
      </c>
      <c r="AN535" t="s">
        <v>2501</v>
      </c>
      <c r="AO535" t="s">
        <v>2502</v>
      </c>
    </row>
    <row r="536" spans="1:41" x14ac:dyDescent="0.15">
      <c r="C536">
        <v>1170</v>
      </c>
      <c r="D536">
        <v>1</v>
      </c>
      <c r="I536">
        <v>1</v>
      </c>
      <c r="T536">
        <v>1</v>
      </c>
      <c r="AM536" t="str">
        <f t="shared" si="8"/>
        <v>{dwID=1170,nLevel=1,nScrutinyType=1,[1]={bBuffList=true,},[2]={},},</v>
      </c>
    </row>
    <row r="537" spans="1:41" x14ac:dyDescent="0.15">
      <c r="A537" t="s">
        <v>233</v>
      </c>
      <c r="B537">
        <v>16</v>
      </c>
      <c r="AM537" t="str">
        <f t="shared" si="8"/>
        <v>},[16]={</v>
      </c>
    </row>
    <row r="538" spans="1:41" x14ac:dyDescent="0.15">
      <c r="C538">
        <v>10389</v>
      </c>
      <c r="D538">
        <v>1</v>
      </c>
      <c r="K538" t="s">
        <v>2503</v>
      </c>
      <c r="T538">
        <v>1</v>
      </c>
      <c r="U538">
        <v>1</v>
      </c>
      <c r="AM538" t="str">
        <f t="shared" si="8"/>
        <v>{dwID=10389,nLevel=1,szNote="门派事件",[1]={bBuffList=true,bTeamPanel=true,},[2]={},},</v>
      </c>
    </row>
    <row r="539" spans="1:41" x14ac:dyDescent="0.15">
      <c r="A539" t="s">
        <v>234</v>
      </c>
      <c r="B539">
        <v>23</v>
      </c>
      <c r="AM539" t="str">
        <f t="shared" si="8"/>
        <v>},[23]={</v>
      </c>
    </row>
    <row r="540" spans="1:41" x14ac:dyDescent="0.15">
      <c r="C540">
        <v>5041</v>
      </c>
      <c r="D540">
        <v>1</v>
      </c>
      <c r="G540" t="s">
        <v>1720</v>
      </c>
      <c r="K540" t="s">
        <v>2504</v>
      </c>
      <c r="AM540" t="str">
        <f t="shared" si="8"/>
        <v>{dwID=5041,nLevel=1,szName="QTE",szNote="龙门飞剑_QTE触发",[1]={},[2]={},},</v>
      </c>
    </row>
    <row r="541" spans="1:41" x14ac:dyDescent="0.15">
      <c r="C541">
        <v>5043</v>
      </c>
      <c r="D541">
        <v>1</v>
      </c>
      <c r="T541">
        <v>1</v>
      </c>
      <c r="AM541" t="str">
        <f t="shared" si="8"/>
        <v>{dwID=5043,nLevel=1,[1]={bBuffList=true,},[2]={},},</v>
      </c>
    </row>
    <row r="542" spans="1:41" x14ac:dyDescent="0.15">
      <c r="C542">
        <v>5046</v>
      </c>
      <c r="D542">
        <v>1</v>
      </c>
      <c r="F542">
        <v>3316</v>
      </c>
      <c r="G542" t="s">
        <v>2505</v>
      </c>
      <c r="I542">
        <v>1</v>
      </c>
      <c r="K542" t="s">
        <v>235</v>
      </c>
      <c r="T542">
        <v>1</v>
      </c>
      <c r="AM542" t="str">
        <f t="shared" si="8"/>
        <v>{dwID=5046,nLevel=1,nIcon=3316,szName="按1",nScrutinyType=1,szNote="龙门飞剑_云龙三折",[1]={bBuffList=true,},[2]={},tCountdown={{nClass=1,nIcon=3316,nFrame=5,szName="按111",nTime=1.1,key="QTE·按1",},{nClass=2,nIcon=3316,nFrame=5,szName="QTE·按1",nTime=0,key="QTE·按1",},},},</v>
      </c>
      <c r="AN542" t="s">
        <v>2506</v>
      </c>
      <c r="AO542" t="s">
        <v>2507</v>
      </c>
    </row>
    <row r="543" spans="1:41" x14ac:dyDescent="0.15">
      <c r="C543">
        <v>5047</v>
      </c>
      <c r="D543">
        <v>1</v>
      </c>
      <c r="F543">
        <v>3317</v>
      </c>
      <c r="G543" t="s">
        <v>2508</v>
      </c>
      <c r="I543">
        <v>1</v>
      </c>
      <c r="K543" t="s">
        <v>236</v>
      </c>
      <c r="T543">
        <v>1</v>
      </c>
      <c r="AM543" t="str">
        <f t="shared" si="8"/>
        <v>{dwID=5047,nLevel=1,nIcon=3317,szName="按2",nScrutinyType=1,szNote="龙门飞剑_轻灵踏燕",[1]={bBuffList=true,},[2]={},tCountdown={{nClass=1,nIcon=3317,nFrame=5,szName="按222",nTime=1.1,key="QTE·按2",},{nClass=2,nIcon=3317,nFrame=5,szName="QTE·按2",nTime=0,key="QTE·按2",},},},</v>
      </c>
      <c r="AN543" t="s">
        <v>2509</v>
      </c>
      <c r="AO543" t="s">
        <v>2510</v>
      </c>
    </row>
    <row r="544" spans="1:41" x14ac:dyDescent="0.15">
      <c r="C544">
        <v>5048</v>
      </c>
      <c r="D544">
        <v>1</v>
      </c>
      <c r="F544">
        <v>3319</v>
      </c>
      <c r="G544" t="s">
        <v>2511</v>
      </c>
      <c r="I544">
        <v>1</v>
      </c>
      <c r="K544" t="s">
        <v>237</v>
      </c>
      <c r="T544">
        <v>1</v>
      </c>
      <c r="AM544" t="str">
        <f t="shared" si="8"/>
        <v>{dwID=5048,nLevel=1,nIcon=3319,szName="按3",nScrutinyType=1,szNote="龙门飞剑_惊鸿照影",[1]={bBuffList=true,},[2]={},tCountdown={{nClass=1,nIcon=3319,nFrame=5,szName="按333",nTime=1.1,key="QTE·按3",},{nClass=2,nIcon=3319,nFrame=5,szName="QTE·按3",nTime=0,key="QTE·按3",},},},</v>
      </c>
      <c r="AN544" t="s">
        <v>2512</v>
      </c>
      <c r="AO544" t="s">
        <v>2513</v>
      </c>
    </row>
    <row r="545" spans="1:44" x14ac:dyDescent="0.15">
      <c r="C545">
        <v>5044</v>
      </c>
      <c r="D545">
        <v>1</v>
      </c>
      <c r="G545" t="s">
        <v>238</v>
      </c>
      <c r="AM545" t="str">
        <f t="shared" si="8"/>
        <v>{dwID=5044,nLevel=1,szName="冲刺",[1]={},[2]={},},</v>
      </c>
    </row>
    <row r="546" spans="1:44" x14ac:dyDescent="0.15">
      <c r="C546">
        <v>5045</v>
      </c>
      <c r="D546">
        <v>1</v>
      </c>
      <c r="G546" t="s">
        <v>239</v>
      </c>
      <c r="K546" t="s">
        <v>2514</v>
      </c>
      <c r="AM546" t="str">
        <f t="shared" si="8"/>
        <v>{dwID=5045,nLevel=1,szName="飞剑",szNote="龙门飞剑维持气劲",[1]={},[2]={},},</v>
      </c>
    </row>
    <row r="547" spans="1:44" x14ac:dyDescent="0.15">
      <c r="A547" t="s">
        <v>242</v>
      </c>
      <c r="B547">
        <v>35</v>
      </c>
      <c r="AM547" t="str">
        <f t="shared" si="8"/>
        <v>},[35]={</v>
      </c>
    </row>
    <row r="548" spans="1:44" x14ac:dyDescent="0.15">
      <c r="C548">
        <v>3838</v>
      </c>
      <c r="D548">
        <v>1</v>
      </c>
      <c r="T548">
        <v>1</v>
      </c>
      <c r="AM548" t="str">
        <f t="shared" si="8"/>
        <v>{dwID=3838,nLevel=1,[1]={bBuffList=true,},[2]={},},</v>
      </c>
    </row>
    <row r="549" spans="1:44" x14ac:dyDescent="0.15">
      <c r="C549">
        <v>3336</v>
      </c>
      <c r="D549">
        <v>1</v>
      </c>
      <c r="AM549" t="str">
        <f t="shared" si="8"/>
        <v>{dwID=3336,nLevel=1,[1]={},[2]={},tCountdown={{nClass=1,nIcon=17135,nFrame=5,szName="一声号令，令人拜服",nTime=0,key="美人图1",},{nClass=1,nIcon=17135,nFrame=5,szName="威武雄壮",nTime=0,key="美人图2",},{nClass=1,nIcon=17135,nFrame=5,szName="我对大将军的景仰",nTime=0,key="美人图3",},{nClass=1,nIcon=17135,nFrame=5,szName="快对宫威使用大将军的帅印·伪",nTime=60,key="美人图1",},{nClass=2,nIcon=17135,nFrame=5,szName="快对宫威使用大将军的帅印·伪",nTime=0,key="美人图1",},},},</v>
      </c>
      <c r="AN549" t="s">
        <v>2515</v>
      </c>
      <c r="AO549" t="s">
        <v>2516</v>
      </c>
      <c r="AP549" t="s">
        <v>2517</v>
      </c>
      <c r="AQ549" t="s">
        <v>2518</v>
      </c>
      <c r="AR549" t="s">
        <v>2519</v>
      </c>
    </row>
    <row r="550" spans="1:44" x14ac:dyDescent="0.15">
      <c r="C550">
        <v>3337</v>
      </c>
      <c r="D550">
        <v>1</v>
      </c>
      <c r="T550">
        <v>1</v>
      </c>
      <c r="AM550" t="str">
        <f t="shared" si="8"/>
        <v>{dwID=3337,nLevel=1,[1]={bBuffList=true,},[2]={},},</v>
      </c>
    </row>
    <row r="551" spans="1:44" x14ac:dyDescent="0.15">
      <c r="A551" t="s">
        <v>723</v>
      </c>
      <c r="B551">
        <v>38</v>
      </c>
      <c r="AM551" t="str">
        <f t="shared" si="8"/>
        <v>},[38]={</v>
      </c>
    </row>
    <row r="552" spans="1:44" x14ac:dyDescent="0.15">
      <c r="C552">
        <v>11594</v>
      </c>
      <c r="D552">
        <v>1</v>
      </c>
      <c r="K552" t="s">
        <v>2520</v>
      </c>
      <c r="L552" t="s">
        <v>2168</v>
      </c>
      <c r="M552" t="s">
        <v>2521</v>
      </c>
      <c r="R552">
        <v>1</v>
      </c>
      <c r="S552">
        <v>1</v>
      </c>
      <c r="T552">
        <v>1</v>
      </c>
      <c r="U552">
        <v>1</v>
      </c>
      <c r="AD552" t="s">
        <v>2522</v>
      </c>
      <c r="AE552">
        <v>2</v>
      </c>
      <c r="AF552" t="s">
        <v>2169</v>
      </c>
      <c r="AG552" t="s">
        <v>2170</v>
      </c>
      <c r="AH552">
        <v>255</v>
      </c>
      <c r="AK552">
        <v>1</v>
      </c>
      <c r="AM552" t="str">
        <f t="shared" si="8"/>
        <v>{dwID=11594,nLevel=1,szNote="神农洇背箱子",col={0,255,0,},[1]={tMark={true,true,true,false,false,false,false,false,false,false,},bScreenHead=true,bPartyBuffList=true,bBuffList=true,bTeamPanel=true,},[2]={},aCataclysmBuff={{szReminder="箱 神农洇背箱子",nPriority=2,col="#00FF00FF",colScreenHead="#00FF00",nColAlpha=255,bScreenHead=true,},},},</v>
      </c>
    </row>
    <row r="553" spans="1:44" x14ac:dyDescent="0.15">
      <c r="A553" t="s">
        <v>733</v>
      </c>
      <c r="B553">
        <v>48</v>
      </c>
      <c r="AM553" t="str">
        <f t="shared" si="8"/>
        <v>},[48]={</v>
      </c>
    </row>
    <row r="554" spans="1:44" x14ac:dyDescent="0.15">
      <c r="C554">
        <v>1651</v>
      </c>
      <c r="D554">
        <v>1</v>
      </c>
      <c r="L554" t="s">
        <v>2168</v>
      </c>
      <c r="T554">
        <v>1</v>
      </c>
      <c r="AM554" t="str">
        <f t="shared" si="8"/>
        <v>{dwID=1651,nLevel=1,col={0,255,0,},[1]={bBuffList=true,},[2]={},},</v>
      </c>
    </row>
    <row r="555" spans="1:44" x14ac:dyDescent="0.15">
      <c r="C555">
        <v>1652</v>
      </c>
      <c r="D555">
        <v>1</v>
      </c>
      <c r="L555" t="s">
        <v>2168</v>
      </c>
      <c r="T555">
        <v>1</v>
      </c>
      <c r="AM555" t="str">
        <f t="shared" si="8"/>
        <v>{dwID=1652,nLevel=1,col={0,255,0,},[1]={bBuffList=true,},[2]={},},</v>
      </c>
    </row>
    <row r="556" spans="1:44" x14ac:dyDescent="0.15">
      <c r="A556" t="s">
        <v>735</v>
      </c>
      <c r="B556">
        <v>50</v>
      </c>
      <c r="AM556" t="str">
        <f t="shared" si="8"/>
        <v>},[50]={</v>
      </c>
    </row>
    <row r="557" spans="1:44" x14ac:dyDescent="0.15">
      <c r="C557">
        <v>1834</v>
      </c>
      <c r="D557">
        <v>1</v>
      </c>
      <c r="K557" t="s">
        <v>2523</v>
      </c>
      <c r="L557" t="s">
        <v>2524</v>
      </c>
      <c r="R557">
        <v>1</v>
      </c>
      <c r="T557">
        <v>1</v>
      </c>
      <c r="U557">
        <v>1</v>
      </c>
      <c r="AD557" t="s">
        <v>2525</v>
      </c>
      <c r="AE557">
        <v>4</v>
      </c>
      <c r="AF557" t="s">
        <v>2526</v>
      </c>
      <c r="AG557" t="s">
        <v>2527</v>
      </c>
      <c r="AH557">
        <v>255</v>
      </c>
      <c r="AK557">
        <v>1</v>
      </c>
      <c r="AM557" t="str">
        <f t="shared" si="8"/>
        <v>{dwID=1834,nLevel=1,szNote="蓝方风雷驿镖银",col={100,100,255,},[1]={bScreenHead=true,bBuffList=true,bTeamPanel=true,},[2]={},aCataclysmBuff={{szReminder="箱 蓝方溶溪寨菌箱",nPriority=4,col="#2080FFFF",colScreenHead="#2080FF",nColAlpha=255,bScreenHead=true,},},},</v>
      </c>
    </row>
    <row r="558" spans="1:44" x14ac:dyDescent="0.15">
      <c r="C558">
        <v>1835</v>
      </c>
      <c r="D558">
        <v>1</v>
      </c>
      <c r="K558" t="s">
        <v>2528</v>
      </c>
      <c r="L558" t="s">
        <v>2529</v>
      </c>
      <c r="R558">
        <v>1</v>
      </c>
      <c r="T558">
        <v>1</v>
      </c>
      <c r="U558">
        <v>1</v>
      </c>
      <c r="AD558" t="s">
        <v>2530</v>
      </c>
      <c r="AE558">
        <v>4</v>
      </c>
      <c r="AF558" t="s">
        <v>2531</v>
      </c>
      <c r="AG558" t="s">
        <v>2532</v>
      </c>
      <c r="AH558">
        <v>255</v>
      </c>
      <c r="AK558">
        <v>1</v>
      </c>
      <c r="AM558" t="str">
        <f t="shared" si="8"/>
        <v>{dwID=1835,nLevel=1,szNote="红方流火驿镖银",col={255,100,100,},[1]={bScreenHead=true,bBuffList=true,bTeamPanel=true,},[2]={},aCataclysmBuff={{szReminder=" 啊",nPriority=4,col="#FF2080FF",colScreenHead="#FF2080",nColAlpha=255,bScreenHead=true,},},},</v>
      </c>
    </row>
    <row r="559" spans="1:44" x14ac:dyDescent="0.15">
      <c r="A559" t="s">
        <v>243</v>
      </c>
      <c r="B559">
        <v>52</v>
      </c>
      <c r="AM559" t="str">
        <f t="shared" si="8"/>
        <v>},[52]={</v>
      </c>
    </row>
    <row r="560" spans="1:44" x14ac:dyDescent="0.15">
      <c r="C560">
        <v>11601</v>
      </c>
      <c r="D560">
        <v>1</v>
      </c>
      <c r="L560" t="s">
        <v>2168</v>
      </c>
      <c r="T560">
        <v>1</v>
      </c>
      <c r="AM560" t="str">
        <f t="shared" si="8"/>
        <v>{dwID=11601,nLevel=1,col={0,255,0,},[1]={bBuffList=true,},[2]={},},</v>
      </c>
    </row>
    <row r="561" spans="1:41" x14ac:dyDescent="0.15">
      <c r="C561">
        <v>11603</v>
      </c>
      <c r="D561">
        <v>1</v>
      </c>
      <c r="L561" t="s">
        <v>2168</v>
      </c>
      <c r="T561">
        <v>1</v>
      </c>
      <c r="AM561" t="str">
        <f t="shared" si="8"/>
        <v>{dwID=11603,nLevel=1,col={0,255,0,},[1]={bBuffList=true,},[2]={},},</v>
      </c>
    </row>
    <row r="562" spans="1:41" x14ac:dyDescent="0.15">
      <c r="A562" t="s">
        <v>763</v>
      </c>
      <c r="B562">
        <v>105</v>
      </c>
      <c r="AM562" t="str">
        <f t="shared" si="8"/>
        <v>},[105]={</v>
      </c>
    </row>
    <row r="563" spans="1:41" x14ac:dyDescent="0.15">
      <c r="C563">
        <v>3593</v>
      </c>
      <c r="D563">
        <v>1</v>
      </c>
      <c r="I563">
        <v>1</v>
      </c>
      <c r="AM563" t="str">
        <f t="shared" si="8"/>
        <v>{dwID=3593,nLevel=1,nScrutinyType=1,[1]={},[2]={},tCountdown={{nClass=1,nIcon=17135,nFrame=6,szName="飞虎军·安度",nTime=20,key="任务·提示2",},},},</v>
      </c>
      <c r="AN563" t="s">
        <v>2533</v>
      </c>
    </row>
    <row r="564" spans="1:41" x14ac:dyDescent="0.15">
      <c r="A564" t="s">
        <v>766</v>
      </c>
      <c r="B564">
        <v>108</v>
      </c>
      <c r="AM564" t="str">
        <f t="shared" si="8"/>
        <v>},[108]={</v>
      </c>
    </row>
    <row r="565" spans="1:41" x14ac:dyDescent="0.15">
      <c r="C565">
        <v>7308</v>
      </c>
      <c r="D565">
        <v>1</v>
      </c>
      <c r="I565">
        <v>1</v>
      </c>
      <c r="AM565" t="str">
        <f t="shared" si="8"/>
        <v>{dwID=7308,nLevel=1,nScrutinyType=1,[1]={},[2]={},tCountdown={{nClass=1,nIcon=3313,nFrame=6,szName="轻盈",nTime=10,key="断线的风筝",},{nClass=2,nIcon=3313,nFrame=5,szName="",nTime=0.01,key="断线的风筝",},},},</v>
      </c>
      <c r="AN565" t="s">
        <v>2501</v>
      </c>
      <c r="AO565" t="s">
        <v>2502</v>
      </c>
    </row>
    <row r="566" spans="1:41" x14ac:dyDescent="0.15">
      <c r="A566" t="s">
        <v>244</v>
      </c>
      <c r="B566">
        <v>122</v>
      </c>
      <c r="AM566" t="str">
        <f t="shared" si="8"/>
        <v>},[122]={</v>
      </c>
    </row>
    <row r="567" spans="1:41" x14ac:dyDescent="0.15">
      <c r="C567">
        <v>10476</v>
      </c>
      <c r="D567">
        <v>1</v>
      </c>
      <c r="K567" t="s">
        <v>2534</v>
      </c>
      <c r="L567" t="s">
        <v>2115</v>
      </c>
      <c r="R567">
        <v>1</v>
      </c>
      <c r="T567">
        <v>1</v>
      </c>
      <c r="U567">
        <v>1</v>
      </c>
      <c r="AD567" t="s">
        <v>2535</v>
      </c>
      <c r="AE567">
        <v>30</v>
      </c>
      <c r="AF567" t="s">
        <v>2117</v>
      </c>
      <c r="AG567" t="s">
        <v>2132</v>
      </c>
      <c r="AH567">
        <v>255</v>
      </c>
      <c r="AK567">
        <v>1</v>
      </c>
      <c r="AM567" t="str">
        <f t="shared" si="8"/>
        <v>{dwID=10476,nLevel=1,szNote="防御模式",col={255,204,0,},[1]={bScreenHead=true,bBuffList=true,bTeamPanel=true,},[2]={},aCataclysmBuff={{szReminder="防 防御模式",nPriority=30,col="#FFCC00FF",colScreenHead="#FFCC00",nColAlpha=255,bScreenHead=true,},},},</v>
      </c>
    </row>
    <row r="568" spans="1:41" x14ac:dyDescent="0.15">
      <c r="A568" t="s">
        <v>245</v>
      </c>
      <c r="B568">
        <v>150</v>
      </c>
      <c r="AM568" t="str">
        <f t="shared" si="8"/>
        <v>},[150]={</v>
      </c>
    </row>
    <row r="569" spans="1:41" x14ac:dyDescent="0.15">
      <c r="C569">
        <v>10391</v>
      </c>
      <c r="D569">
        <v>1</v>
      </c>
      <c r="AM569" t="str">
        <f t="shared" si="8"/>
        <v>{dwID=10391,nLevel=1,[1]={},[2]={},},</v>
      </c>
    </row>
    <row r="570" spans="1:41" x14ac:dyDescent="0.15">
      <c r="A570" t="s">
        <v>246</v>
      </c>
      <c r="B570">
        <v>159</v>
      </c>
      <c r="AM570" t="str">
        <f t="shared" si="8"/>
        <v>},[159]={</v>
      </c>
    </row>
    <row r="571" spans="1:41" x14ac:dyDescent="0.15">
      <c r="C571">
        <v>26176</v>
      </c>
      <c r="D571">
        <v>1</v>
      </c>
      <c r="F571">
        <v>2678</v>
      </c>
      <c r="G571" t="s">
        <v>247</v>
      </c>
      <c r="I571">
        <v>1</v>
      </c>
      <c r="K571" t="s">
        <v>248</v>
      </c>
      <c r="T571">
        <v>1</v>
      </c>
      <c r="AM571" t="str">
        <f t="shared" si="8"/>
        <v>{dwID=26176,nLevel=1,nIcon=2678,szName="垂钓",nScrutinyType=1,szNote="醉烟波_垂钓_BUFF",[1]={bBuffList=true,},[2]={},},</v>
      </c>
    </row>
    <row r="572" spans="1:41" x14ac:dyDescent="0.15">
      <c r="C572">
        <v>26177</v>
      </c>
      <c r="D572">
        <v>1</v>
      </c>
      <c r="F572">
        <v>19012</v>
      </c>
      <c r="G572" t="s">
        <v>2536</v>
      </c>
      <c r="I572">
        <v>1</v>
      </c>
      <c r="K572" t="s">
        <v>249</v>
      </c>
      <c r="L572" t="s">
        <v>2168</v>
      </c>
      <c r="R572">
        <v>1</v>
      </c>
      <c r="T572">
        <v>1</v>
      </c>
      <c r="AM572" t="str">
        <f t="shared" si="8"/>
        <v>{dwID=26177,nLevel=1,nIcon=19012,szName="收竿",nScrutinyType=1,szNote="醉烟波_收竿_BUFF",col={0,255,0,},[1]={bScreenHead=true,bBuffList=true,},[2]={},},</v>
      </c>
    </row>
    <row r="573" spans="1:41" x14ac:dyDescent="0.15">
      <c r="C573">
        <v>10453</v>
      </c>
      <c r="D573">
        <v>1</v>
      </c>
      <c r="F573">
        <v>4234</v>
      </c>
      <c r="G573" t="s">
        <v>2508</v>
      </c>
      <c r="I573">
        <v>1</v>
      </c>
      <c r="K573" t="s">
        <v>2503</v>
      </c>
      <c r="T573">
        <v>1</v>
      </c>
      <c r="AM573" t="str">
        <f t="shared" si="8"/>
        <v>{dwID=10453,nLevel=1,nIcon=4234,szName="按2",nScrutinyType=1,szNote="门派事件",[1]={bBuffList=true,},[2]={},tCountdown={{nClass=1,nIcon=4234,nFrame=5,szName="按222",nTime=1.5,key="钓鱼",},{nClass=2,nIcon=4234,nFrame=5,szName="钓鱼",nTime=0,key="钓鱼",},},},</v>
      </c>
      <c r="AN573" t="s">
        <v>2537</v>
      </c>
      <c r="AO573" t="s">
        <v>2538</v>
      </c>
    </row>
    <row r="574" spans="1:41" x14ac:dyDescent="0.15">
      <c r="C574">
        <v>10454</v>
      </c>
      <c r="D574">
        <v>1</v>
      </c>
      <c r="F574">
        <v>4235</v>
      </c>
      <c r="G574" t="s">
        <v>2511</v>
      </c>
      <c r="I574">
        <v>1</v>
      </c>
      <c r="K574" t="s">
        <v>2503</v>
      </c>
      <c r="T574">
        <v>1</v>
      </c>
      <c r="AM574" t="str">
        <f t="shared" si="8"/>
        <v>{dwID=10454,nLevel=1,nIcon=4235,szName="按3",nScrutinyType=1,szNote="门派事件",[1]={bBuffList=true,},[2]={},tCountdown={{nClass=1,nIcon=4235,nFrame=5,szName="按333",nTime=1.5,key="钓鱼",},{nClass=2,nIcon=4235,nFrame=5,szName="钓鱼",nTime=0,key="钓鱼",},},},</v>
      </c>
      <c r="AN574" t="s">
        <v>2539</v>
      </c>
      <c r="AO574" t="s">
        <v>2540</v>
      </c>
    </row>
    <row r="575" spans="1:41" x14ac:dyDescent="0.15">
      <c r="C575">
        <v>10462</v>
      </c>
      <c r="D575">
        <v>1</v>
      </c>
      <c r="F575">
        <v>4236</v>
      </c>
      <c r="G575" t="s">
        <v>2541</v>
      </c>
      <c r="I575">
        <v>1</v>
      </c>
      <c r="K575" t="s">
        <v>2503</v>
      </c>
      <c r="T575">
        <v>1</v>
      </c>
      <c r="AM575" t="str">
        <f t="shared" si="8"/>
        <v>{dwID=10462,nLevel=1,nIcon=4236,szName="按4",nScrutinyType=1,szNote="门派事件",[1]={bBuffList=true,},[2]={},tCountdown={{nClass=1,nIcon=4236,nFrame=5,szName="按444",nTime=1.5,key="钓鱼",},{nClass=2,nIcon=4236,nFrame=5,szName="钓鱼",nTime=0,key="钓鱼",},},},</v>
      </c>
      <c r="AN575" t="s">
        <v>2542</v>
      </c>
      <c r="AO575" t="s">
        <v>2543</v>
      </c>
    </row>
    <row r="576" spans="1:41" x14ac:dyDescent="0.15">
      <c r="A576" t="s">
        <v>250</v>
      </c>
      <c r="B576">
        <v>172</v>
      </c>
      <c r="AM576" t="str">
        <f t="shared" si="8"/>
        <v>},[172]={</v>
      </c>
    </row>
    <row r="577" spans="1:41" x14ac:dyDescent="0.15">
      <c r="C577">
        <v>6798</v>
      </c>
      <c r="D577">
        <v>1</v>
      </c>
      <c r="T577">
        <v>1</v>
      </c>
      <c r="AM577" t="str">
        <f t="shared" si="8"/>
        <v>{dwID=6798,nLevel=1,[1]={bBuffList=true,},[2]={},},</v>
      </c>
    </row>
    <row r="578" spans="1:41" x14ac:dyDescent="0.15">
      <c r="A578" t="s">
        <v>251</v>
      </c>
      <c r="B578">
        <v>186</v>
      </c>
      <c r="AM578" t="str">
        <f t="shared" ref="AM578:AM641" si="9">IF(B578&lt;&gt;"",IF(IFERROR(VALUE(C577),0)&lt;=0,"["&amp;B578&amp;"]={","},["&amp;B578&amp;"]={"),IF(C578&gt;0,"{dwID="&amp;C578&amp;","&amp;"nLevel="&amp;D578&amp;","&amp;IF(E578&gt;0,"nCount="&amp;E578&amp;",","")&amp;IF(F578&gt;0,"nIcon="&amp;F578&amp;",","")&amp;IF(G578&lt;&gt;"","szName="""&amp;G578&amp;""",","")&amp;IF(H578&gt;0,"bCheckLevel=true,","")&amp;IF(I578&gt;0,"nScrutinyType="&amp;I578&amp;",","")&amp;IF(J578&lt;&gt;"","tKungFu={"&amp;J578&amp;"},","")&amp;IF(K578&lt;&gt;"","szNote="""&amp;K578&amp;""",","")&amp;IF(L578&lt;&gt;"","col={"&amp;L578&amp;"},","")&amp;"[1]={"&amp;IF(M578&lt;&gt;"","tMark={"&amp;M578&amp;"},","")&amp;IF(N578&lt;&gt;"","szVoice="""&amp;N578&amp;""",","")&amp;IF(O578&gt;0,"bCheckLevel=true,","")&amp;IF(P578&gt;0,"bWhisperChannel=true,","")&amp;IF(Q578&gt;0,"bCenterAlarm=true,","")&amp;IF(R578&gt;0,"bScreenHead=true,","")&amp;IF(S578&gt;0,"bPartyBuffList=true,","")&amp;IF(T578&gt;0,"bBuffList=true,","")&amp;IF(U578&gt;0,"bTeamPanel=true,","")&amp;IF(V578&gt;0,"bOnlySelfSrc=true,","")&amp;"},"&amp;"[2]={"&amp;IF(W578&gt;0,"bCheckLevel=true,","")&amp;IF(X578&gt;0,"bWhisperChannel=true,","")&amp;IF(Y578&gt;0,"bCenterAlarm=true,","")&amp;"},"&amp;IF(OR(Z578&gt;0,AD578&lt;&gt;"",AE578&gt;0,AF578&lt;&gt;"",AG578&lt;&gt;"",AH578&gt;0,AI578&gt;0,AJ578&gt;0,AK578&gt;0),"aCataclysmBuff={{"&amp;IF(Z578&gt;0,"nStackNum="&amp;Z578&amp;",","")&amp;IF(AA578&lt;&gt;"","szStackOp="""&amp;AA578&amp;""",","")&amp;IF(AB578&gt;0,"bOnlyMine=true,","")&amp;IF(AC578&gt;0,"bOnlyMe=true,","")&amp;IF(AD578&lt;&gt;"","szReminder="""&amp;AD578&amp;""",","")&amp;IF(AE578&gt;0,"nPriority="&amp;AE578&amp;",","")&amp;IF(AF578&lt;&gt;"","col="""&amp;AF578&amp;""",","")&amp;IF(AG578&lt;&gt;"","colScreenHead="""&amp;AG578&amp;""",","")&amp;IF(AH578&gt;0,"nColAlpha="&amp;AH578&amp;",","")&amp;IF(AI578&gt;0,"bAttention=true,","")&amp;IF(AJ578&gt;0,"bCaution=true,","")&amp;IF(AK578&gt;0,"bScreenHead=true,","")&amp;"},"&amp;AL578&amp;"},","")&amp;IF(AN578&lt;&gt;"","tCountdown={"&amp;_xlfn.TEXTJOIN("",TRUE,AN578:ZY578)&amp;"},","")&amp;"},",IF(C577&gt;0,"},","")&amp;IF(AND(B578="",C578="",OR(B577&lt;&gt;"",C577&lt;&gt;"")),"},}","")))</f>
        <v>},[186]={</v>
      </c>
    </row>
    <row r="579" spans="1:41" x14ac:dyDescent="0.15">
      <c r="C579">
        <v>7867</v>
      </c>
      <c r="D579">
        <v>1</v>
      </c>
      <c r="K579" t="s">
        <v>2544</v>
      </c>
      <c r="L579" t="s">
        <v>2524</v>
      </c>
      <c r="R579">
        <v>1</v>
      </c>
      <c r="T579">
        <v>1</v>
      </c>
      <c r="U579">
        <v>1</v>
      </c>
      <c r="AD579" t="s">
        <v>2525</v>
      </c>
      <c r="AE579">
        <v>4</v>
      </c>
      <c r="AF579" t="s">
        <v>2526</v>
      </c>
      <c r="AG579" t="s">
        <v>2527</v>
      </c>
      <c r="AH579">
        <v>255</v>
      </c>
      <c r="AK579">
        <v>1</v>
      </c>
      <c r="AM579" t="str">
        <f t="shared" si="9"/>
        <v>{dwID=7867,nLevel=1,szNote="蓝方溶溪寨菌箱",col={100,100,255,},[1]={bScreenHead=true,bBuffList=true,bTeamPanel=true,},[2]={},aCataclysmBuff={{szReminder="箱 蓝方溶溪寨菌箱",nPriority=4,col="#2080FFFF",colScreenHead="#2080FF",nColAlpha=255,bScreenHead=true,},},},</v>
      </c>
    </row>
    <row r="580" spans="1:41" x14ac:dyDescent="0.15">
      <c r="C580">
        <v>7868</v>
      </c>
      <c r="D580">
        <v>1</v>
      </c>
      <c r="K580" t="s">
        <v>2545</v>
      </c>
      <c r="L580" t="s">
        <v>2529</v>
      </c>
      <c r="R580">
        <v>1</v>
      </c>
      <c r="T580">
        <v>1</v>
      </c>
      <c r="U580">
        <v>1</v>
      </c>
      <c r="AD580" t="s">
        <v>2546</v>
      </c>
      <c r="AE580">
        <v>4</v>
      </c>
      <c r="AF580" t="s">
        <v>2531</v>
      </c>
      <c r="AG580" t="s">
        <v>2532</v>
      </c>
      <c r="AH580">
        <v>255</v>
      </c>
      <c r="AK580">
        <v>1</v>
      </c>
      <c r="AM580" t="str">
        <f t="shared" si="9"/>
        <v>{dwID=7868,nLevel=1,szNote="红方火塘寨菌箱",col={255,100,100,},[1]={bScreenHead=true,bBuffList=true,bTeamPanel=true,},[2]={},aCataclysmBuff={{szReminder="箱 红方火塘寨菌箱",nPriority=4,col="#FF2080FF",colScreenHead="#FF2080",nColAlpha=255,bScreenHead=true,},},},</v>
      </c>
    </row>
    <row r="581" spans="1:41" x14ac:dyDescent="0.15">
      <c r="A581" t="s">
        <v>833</v>
      </c>
      <c r="B581">
        <v>193</v>
      </c>
      <c r="AM581" t="str">
        <f t="shared" si="9"/>
        <v>},[193]={</v>
      </c>
    </row>
    <row r="582" spans="1:41" x14ac:dyDescent="0.15">
      <c r="C582">
        <v>11239</v>
      </c>
      <c r="D582">
        <v>1</v>
      </c>
      <c r="G582" t="s">
        <v>434</v>
      </c>
      <c r="I582">
        <v>1</v>
      </c>
      <c r="K582" t="s">
        <v>447</v>
      </c>
      <c r="T582">
        <v>1</v>
      </c>
      <c r="AM582" t="str">
        <f t="shared" si="9"/>
        <v>{dwID=11239,nLevel=1,szName="背负",nScrutinyType=1,szNote="背负苍云伤兵",[1]={bBuffList=true,},[2]={},tCountdown={{nClass=1,nIcon=17135,nFrame=6,szName="背向燕破军将军身后光圈",nTime=60,key="任务·提示1",},{nClass=2,nIcon=17135,nFrame=5,szName="任务·提示1",nTime=0,key="任务·提示1",},},},</v>
      </c>
      <c r="AN582" t="s">
        <v>2547</v>
      </c>
      <c r="AO582" t="s">
        <v>2548</v>
      </c>
    </row>
    <row r="583" spans="1:41" x14ac:dyDescent="0.15">
      <c r="A583" t="s">
        <v>252</v>
      </c>
      <c r="B583">
        <v>214</v>
      </c>
      <c r="AM583" t="str">
        <f t="shared" si="9"/>
        <v>},[214]={</v>
      </c>
    </row>
    <row r="584" spans="1:41" x14ac:dyDescent="0.15">
      <c r="C584">
        <v>10067</v>
      </c>
      <c r="D584">
        <v>1</v>
      </c>
      <c r="G584" t="s">
        <v>2549</v>
      </c>
      <c r="I584">
        <v>1</v>
      </c>
      <c r="K584" t="s">
        <v>2550</v>
      </c>
      <c r="L584" t="s">
        <v>2181</v>
      </c>
      <c r="T584">
        <v>1</v>
      </c>
      <c r="AM584" t="str">
        <f t="shared" si="9"/>
        <v>{dwID=10067,nLevel=1,szName="补货点",nScrutinyType=1,szNote="阴山商路贸易区",col={255,150,0,},[1]={bBuffList=true,},[2]={},},</v>
      </c>
    </row>
    <row r="585" spans="1:41" x14ac:dyDescent="0.15">
      <c r="C585">
        <v>9566</v>
      </c>
      <c r="D585">
        <v>1</v>
      </c>
      <c r="I585">
        <v>1</v>
      </c>
      <c r="K585" t="s">
        <v>2551</v>
      </c>
      <c r="L585" t="s">
        <v>2168</v>
      </c>
      <c r="T585">
        <v>1</v>
      </c>
      <c r="AM585" t="str">
        <f t="shared" si="9"/>
        <v>{dwID=9566,nLevel=1,nScrutinyType=1,szNote="五台山·无遮大会",col={0,255,0,},[1]={bBuffList=true,},[2]={},},</v>
      </c>
    </row>
    <row r="586" spans="1:41" x14ac:dyDescent="0.15">
      <c r="C586">
        <v>9474</v>
      </c>
      <c r="D586">
        <v>1</v>
      </c>
      <c r="G586" t="s">
        <v>253</v>
      </c>
      <c r="K586" t="s">
        <v>2551</v>
      </c>
      <c r="T586">
        <v>1</v>
      </c>
      <c r="AM586" t="str">
        <f t="shared" si="9"/>
        <v>{dwID=9474,nLevel=1,szName="调息",szNote="五台山·无遮大会",[1]={bBuffList=true,},[2]={},},</v>
      </c>
    </row>
    <row r="587" spans="1:41" x14ac:dyDescent="0.15">
      <c r="C587">
        <v>9473</v>
      </c>
      <c r="D587">
        <v>1</v>
      </c>
      <c r="G587" t="s">
        <v>254</v>
      </c>
      <c r="K587" t="s">
        <v>2551</v>
      </c>
      <c r="T587">
        <v>1</v>
      </c>
      <c r="AM587" t="str">
        <f t="shared" si="9"/>
        <v>{dwID=9473,nLevel=1,szName="移速",szNote="五台山·无遮大会",[1]={bBuffList=true,},[2]={},},</v>
      </c>
    </row>
    <row r="588" spans="1:41" x14ac:dyDescent="0.15">
      <c r="C588">
        <v>9470</v>
      </c>
      <c r="D588">
        <v>1</v>
      </c>
      <c r="G588" t="s">
        <v>2552</v>
      </c>
      <c r="I588">
        <v>1</v>
      </c>
      <c r="K588" t="s">
        <v>2553</v>
      </c>
      <c r="Q588">
        <v>1</v>
      </c>
      <c r="T588">
        <v>1</v>
      </c>
      <c r="AM588" t="str">
        <f t="shared" si="9"/>
        <v>{dwID=9470,nLevel=1,szName="香烛1",nScrutinyType=1,szNote="运送材料·香烛1",[1]={bCenterAlarm=true,bBuffList=true,},[2]={},},</v>
      </c>
    </row>
    <row r="589" spans="1:41" x14ac:dyDescent="0.15">
      <c r="C589">
        <v>9521</v>
      </c>
      <c r="D589">
        <v>1</v>
      </c>
      <c r="G589" t="s">
        <v>2554</v>
      </c>
      <c r="I589">
        <v>1</v>
      </c>
      <c r="K589" t="s">
        <v>2555</v>
      </c>
      <c r="Q589">
        <v>1</v>
      </c>
      <c r="T589">
        <v>1</v>
      </c>
      <c r="AM589" t="str">
        <f t="shared" si="9"/>
        <v>{dwID=9521,nLevel=1,szName="香烛3",nScrutinyType=1,szNote="运送材料·香烛3",[1]={bCenterAlarm=true,bBuffList=true,},[2]={},},</v>
      </c>
    </row>
    <row r="590" spans="1:41" x14ac:dyDescent="0.15">
      <c r="C590">
        <v>9520</v>
      </c>
      <c r="D590">
        <v>1</v>
      </c>
      <c r="G590" t="s">
        <v>2556</v>
      </c>
      <c r="I590">
        <v>1</v>
      </c>
      <c r="K590" t="s">
        <v>2555</v>
      </c>
      <c r="Q590">
        <v>1</v>
      </c>
      <c r="T590">
        <v>1</v>
      </c>
      <c r="AM590" t="str">
        <f t="shared" si="9"/>
        <v>{dwID=9520,nLevel=1,szName="香烛2",nScrutinyType=1,szNote="运送材料·香烛3",[1]={bCenterAlarm=true,bBuffList=true,},[2]={},},</v>
      </c>
    </row>
    <row r="591" spans="1:41" x14ac:dyDescent="0.15">
      <c r="C591">
        <v>9469</v>
      </c>
      <c r="D591">
        <v>1</v>
      </c>
      <c r="G591" t="s">
        <v>2557</v>
      </c>
      <c r="I591">
        <v>1</v>
      </c>
      <c r="K591" t="s">
        <v>2558</v>
      </c>
      <c r="Q591">
        <v>1</v>
      </c>
      <c r="T591">
        <v>1</v>
      </c>
      <c r="AM591" t="str">
        <f t="shared" si="9"/>
        <v>{dwID=9469,nLevel=1,szName="木柴",nScrutinyType=1,szNote="运送材料·木柴",[1]={bCenterAlarm=true,bBuffList=true,},[2]={},},</v>
      </c>
    </row>
    <row r="592" spans="1:41" x14ac:dyDescent="0.15">
      <c r="C592">
        <v>9471</v>
      </c>
      <c r="D592">
        <v>1</v>
      </c>
      <c r="G592" t="s">
        <v>2559</v>
      </c>
      <c r="I592">
        <v>1</v>
      </c>
      <c r="K592" t="s">
        <v>2560</v>
      </c>
      <c r="Q592">
        <v>1</v>
      </c>
      <c r="T592">
        <v>1</v>
      </c>
      <c r="AM592" t="str">
        <f t="shared" si="9"/>
        <v>{dwID=9471,nLevel=1,szName="佛像",nScrutinyType=1,szNote="运送材料·佛像",[1]={bCenterAlarm=true,bBuffList=true,},[2]={},},</v>
      </c>
    </row>
    <row r="593" spans="1:45" x14ac:dyDescent="0.15">
      <c r="C593">
        <v>10114</v>
      </c>
      <c r="D593">
        <v>1</v>
      </c>
      <c r="G593" t="s">
        <v>2557</v>
      </c>
      <c r="K593" t="s">
        <v>2551</v>
      </c>
      <c r="L593" t="s">
        <v>2152</v>
      </c>
      <c r="Q593">
        <v>1</v>
      </c>
      <c r="T593">
        <v>1</v>
      </c>
      <c r="Y593">
        <v>1</v>
      </c>
      <c r="AM593" t="str">
        <f t="shared" si="9"/>
        <v>{dwID=10114,nLevel=1,szName="木柴",szNote="五台山·无遮大会",col={0,255,255,},[1]={bCenterAlarm=true,bBuffList=true,},[2]={bCenterAlarm=true,},},</v>
      </c>
    </row>
    <row r="594" spans="1:45" x14ac:dyDescent="0.15">
      <c r="C594">
        <v>10115</v>
      </c>
      <c r="D594">
        <v>1</v>
      </c>
      <c r="G594" t="s">
        <v>2561</v>
      </c>
      <c r="K594" t="s">
        <v>2551</v>
      </c>
      <c r="L594" t="s">
        <v>2168</v>
      </c>
      <c r="Q594">
        <v>1</v>
      </c>
      <c r="T594">
        <v>1</v>
      </c>
      <c r="Y594">
        <v>1</v>
      </c>
      <c r="AM594" t="str">
        <f t="shared" si="9"/>
        <v>{dwID=10115,nLevel=1,szName="香烛",szNote="五台山·无遮大会",col={0,255,0,},[1]={bCenterAlarm=true,bBuffList=true,},[2]={bCenterAlarm=true,},},</v>
      </c>
    </row>
    <row r="595" spans="1:45" x14ac:dyDescent="0.15">
      <c r="C595">
        <v>10116</v>
      </c>
      <c r="D595">
        <v>1</v>
      </c>
      <c r="G595" t="s">
        <v>2559</v>
      </c>
      <c r="K595" t="s">
        <v>2551</v>
      </c>
      <c r="L595" t="s">
        <v>2181</v>
      </c>
      <c r="Q595">
        <v>1</v>
      </c>
      <c r="T595">
        <v>1</v>
      </c>
      <c r="Y595">
        <v>1</v>
      </c>
      <c r="AM595" t="str">
        <f t="shared" si="9"/>
        <v>{dwID=10116,nLevel=1,szName="佛像",szNote="五台山·无遮大会",col={255,150,0,},[1]={bCenterAlarm=true,bBuffList=true,},[2]={bCenterAlarm=true,},},</v>
      </c>
    </row>
    <row r="596" spans="1:45" x14ac:dyDescent="0.15">
      <c r="C596">
        <v>9522</v>
      </c>
      <c r="D596">
        <v>1</v>
      </c>
      <c r="G596" t="s">
        <v>2562</v>
      </c>
      <c r="K596" t="s">
        <v>255</v>
      </c>
      <c r="T596">
        <v>1</v>
      </c>
      <c r="AM596" t="str">
        <f t="shared" si="9"/>
        <v>{dwID=9522,nLevel=1,szName="守卫佛像",szNote="守卫佛像·佛像",[1]={bBuffList=true,},[2]={},},</v>
      </c>
    </row>
    <row r="597" spans="1:45" x14ac:dyDescent="0.15">
      <c r="A597" t="s">
        <v>256</v>
      </c>
      <c r="B597">
        <v>216</v>
      </c>
      <c r="AM597" t="str">
        <f t="shared" si="9"/>
        <v>},[216]={</v>
      </c>
    </row>
    <row r="598" spans="1:45" x14ac:dyDescent="0.15">
      <c r="C598">
        <v>10067</v>
      </c>
      <c r="D598">
        <v>1</v>
      </c>
      <c r="I598">
        <v>1</v>
      </c>
      <c r="L598" t="s">
        <v>2181</v>
      </c>
      <c r="T598">
        <v>1</v>
      </c>
      <c r="AM598" t="str">
        <f t="shared" si="9"/>
        <v>{dwID=10067,nLevel=1,nScrutinyType=1,col={255,150,0,},[1]={bBuffList=true,},[2]={},},</v>
      </c>
    </row>
    <row r="599" spans="1:45" x14ac:dyDescent="0.15">
      <c r="C599">
        <v>9548</v>
      </c>
      <c r="D599">
        <v>1</v>
      </c>
      <c r="T599">
        <v>1</v>
      </c>
      <c r="AM599" t="str">
        <f t="shared" si="9"/>
        <v>{dwID=9548,nLevel=1,[1]={bBuffList=true,},[2]={},tCountdown={{nClass=1,nIcon=2142,nFrame=5,szName="无敌",nTime=0.5,nRefresh=4,key="摔跤·无敌",},{nClass=2,nIcon=2142,nFrame=5,szName="",nTime=0,key="摔跤·无敌",},},},</v>
      </c>
      <c r="AN599" t="s">
        <v>2563</v>
      </c>
      <c r="AO599" t="s">
        <v>2564</v>
      </c>
    </row>
    <row r="600" spans="1:45" x14ac:dyDescent="0.15">
      <c r="C600">
        <v>16499</v>
      </c>
      <c r="D600">
        <v>1</v>
      </c>
      <c r="I600">
        <v>1</v>
      </c>
      <c r="AM600" t="str">
        <f t="shared" si="9"/>
        <v>{dwID=16499,nLevel=1,nScrutinyType=1,[1]={},[2]={},tCountdown={{nClass=2,nIcon=3401,nFrame=5,szName="训马·交互·神采飞扬",nTime=0,key="训马·交互·神采飞扬",},{nClass=2,nIcon=3401,nFrame=5,szName="训马·交互·无忧无虑",nTime=0,key="训马·交互·无忧无虑",},{nClass=2,nIcon=3401,nFrame=5,szName="训马·心情",nTime=0,key="训马·心情",},{nClass=2,nIcon=3401,nFrame=5,szName="训马·交互",nTime=0,key="训马·交互",},{nClass=1,nIcon=4519,nFrame=6,szName="神采飞扬·交互·训练",nTime=30,key="训马·交互·神采飞扬",},{nClass=1,nIcon=4521,nFrame=5,szName="无忧无虑·交互·安抚",nTime=30,key="训马·交互·无忧无虑",},},},</v>
      </c>
      <c r="AN600" t="s">
        <v>2565</v>
      </c>
      <c r="AO600" t="s">
        <v>2566</v>
      </c>
      <c r="AP600" t="s">
        <v>2567</v>
      </c>
      <c r="AQ600" t="s">
        <v>2568</v>
      </c>
      <c r="AR600" t="s">
        <v>2569</v>
      </c>
      <c r="AS600" t="s">
        <v>2570</v>
      </c>
    </row>
    <row r="601" spans="1:45" x14ac:dyDescent="0.15">
      <c r="A601" t="s">
        <v>257</v>
      </c>
      <c r="B601">
        <v>217</v>
      </c>
      <c r="AM601" t="str">
        <f t="shared" si="9"/>
        <v>},[217]={</v>
      </c>
    </row>
    <row r="602" spans="1:45" x14ac:dyDescent="0.15">
      <c r="C602">
        <v>10009</v>
      </c>
      <c r="D602">
        <v>1</v>
      </c>
      <c r="T602">
        <v>1</v>
      </c>
      <c r="AM602" t="str">
        <f t="shared" si="9"/>
        <v>{dwID=10009,nLevel=1,[1]={bBuffList=true,},[2]={},},</v>
      </c>
    </row>
    <row r="603" spans="1:45" x14ac:dyDescent="0.15">
      <c r="C603">
        <v>16499</v>
      </c>
      <c r="D603">
        <v>1</v>
      </c>
      <c r="I603">
        <v>1</v>
      </c>
      <c r="AM603" t="str">
        <f t="shared" si="9"/>
        <v>{dwID=16499,nLevel=1,nScrutinyType=1,[1]={},[2]={},tCountdown={{nClass=2,nIcon=3401,nFrame=5,szName="训马·交互·神采飞扬",nTime=0,key="训马·交互·神采飞扬",},{nClass=2,nIcon=3401,nFrame=5,szName="训马·交互·无忧无虑",nTime=0,key="训马·交互·无忧无虑",},{nClass=2,nIcon=3401,nFrame=5,szName="训马·心情",nTime=0,key="训马·心情",},{nClass=2,nIcon=3401,nFrame=5,szName="训马·交互",nTime=0,key="训马·交互",},{nClass=1,nIcon=4519,nFrame=6,szName="神采飞扬·交互·训练",nTime=30,key="训马·交互·神采飞扬",},{nClass=1,nIcon=4521,nFrame=5,szName="无忧无虑·交互·安抚",nTime=30,key="训马·交互·无忧无虑",},},},</v>
      </c>
      <c r="AN603" t="s">
        <v>2565</v>
      </c>
      <c r="AO603" t="s">
        <v>2566</v>
      </c>
      <c r="AP603" t="s">
        <v>2567</v>
      </c>
      <c r="AQ603" t="s">
        <v>2568</v>
      </c>
      <c r="AR603" t="s">
        <v>2569</v>
      </c>
      <c r="AS603" t="s">
        <v>2570</v>
      </c>
    </row>
    <row r="604" spans="1:45" x14ac:dyDescent="0.15">
      <c r="A604" t="s">
        <v>258</v>
      </c>
      <c r="B604">
        <v>239</v>
      </c>
      <c r="AM604" t="str">
        <f t="shared" si="9"/>
        <v>},[239]={</v>
      </c>
    </row>
    <row r="605" spans="1:45" x14ac:dyDescent="0.15">
      <c r="C605">
        <v>11313</v>
      </c>
      <c r="D605">
        <v>1</v>
      </c>
      <c r="T605">
        <v>1</v>
      </c>
      <c r="U605">
        <v>1</v>
      </c>
      <c r="AM605" t="str">
        <f t="shared" si="9"/>
        <v>{dwID=11313,nLevel=1,[1]={bBuffList=true,bTeamPanel=true,},[2]={},},</v>
      </c>
    </row>
    <row r="606" spans="1:45" x14ac:dyDescent="0.15">
      <c r="A606" t="s">
        <v>259</v>
      </c>
      <c r="B606">
        <v>243</v>
      </c>
      <c r="AM606" t="str">
        <f t="shared" si="9"/>
        <v>},[243]={</v>
      </c>
    </row>
    <row r="607" spans="1:45" x14ac:dyDescent="0.15">
      <c r="C607">
        <v>11508</v>
      </c>
      <c r="D607">
        <v>1</v>
      </c>
      <c r="F607">
        <v>3560</v>
      </c>
      <c r="G607" t="s">
        <v>2571</v>
      </c>
      <c r="I607">
        <v>1</v>
      </c>
      <c r="K607" t="s">
        <v>2572</v>
      </c>
      <c r="L607" t="s">
        <v>2168</v>
      </c>
      <c r="T607">
        <v>1</v>
      </c>
      <c r="AM607" t="str">
        <f t="shared" si="9"/>
        <v>{dwID=11508,nLevel=1,nIcon=3560,szName="惜灵之心",nScrutinyType=1,szNote="成就",col={0,255,0,},[1]={bBuffList=true,},[2]={},},</v>
      </c>
    </row>
    <row r="608" spans="1:45" x14ac:dyDescent="0.15">
      <c r="A608" t="s">
        <v>260</v>
      </c>
      <c r="B608">
        <v>302</v>
      </c>
      <c r="AM608" t="str">
        <f t="shared" si="9"/>
        <v>},[302]={</v>
      </c>
    </row>
    <row r="609" spans="1:41" x14ac:dyDescent="0.15">
      <c r="C609">
        <v>244</v>
      </c>
      <c r="D609">
        <v>28</v>
      </c>
      <c r="H609">
        <v>1</v>
      </c>
      <c r="T609">
        <v>1</v>
      </c>
      <c r="AM609" t="str">
        <f t="shared" si="9"/>
        <v>{dwID=244,nLevel=28,bCheckLevel=true,[1]={bBuffList=true,},[2]={},},</v>
      </c>
    </row>
    <row r="610" spans="1:41" x14ac:dyDescent="0.15">
      <c r="C610">
        <v>244</v>
      </c>
      <c r="D610">
        <v>29</v>
      </c>
      <c r="H610">
        <v>1</v>
      </c>
      <c r="T610">
        <v>1</v>
      </c>
      <c r="AM610" t="str">
        <f t="shared" si="9"/>
        <v>{dwID=244,nLevel=29,bCheckLevel=true,[1]={bBuffList=true,},[2]={},},</v>
      </c>
    </row>
    <row r="611" spans="1:41" x14ac:dyDescent="0.15">
      <c r="C611">
        <v>244</v>
      </c>
      <c r="D611">
        <v>30</v>
      </c>
      <c r="H611">
        <v>1</v>
      </c>
      <c r="T611">
        <v>1</v>
      </c>
      <c r="AM611" t="str">
        <f t="shared" si="9"/>
        <v>{dwID=244,nLevel=30,bCheckLevel=true,[1]={bBuffList=true,},[2]={},},</v>
      </c>
    </row>
    <row r="612" spans="1:41" x14ac:dyDescent="0.15">
      <c r="C612">
        <v>244</v>
      </c>
      <c r="D612">
        <v>31</v>
      </c>
      <c r="H612">
        <v>1</v>
      </c>
      <c r="T612">
        <v>1</v>
      </c>
      <c r="AM612" t="str">
        <f t="shared" si="9"/>
        <v>{dwID=244,nLevel=31,bCheckLevel=true,[1]={bBuffList=true,},[2]={},},</v>
      </c>
    </row>
    <row r="613" spans="1:41" x14ac:dyDescent="0.15">
      <c r="A613" t="s">
        <v>261</v>
      </c>
      <c r="B613">
        <v>330</v>
      </c>
      <c r="AM613" t="str">
        <f t="shared" si="9"/>
        <v>},[330]={</v>
      </c>
    </row>
    <row r="614" spans="1:41" x14ac:dyDescent="0.15">
      <c r="C614">
        <v>13871</v>
      </c>
      <c r="D614">
        <v>1</v>
      </c>
      <c r="G614" t="s">
        <v>2573</v>
      </c>
      <c r="H614">
        <v>1</v>
      </c>
      <c r="I614">
        <v>1</v>
      </c>
      <c r="K614" t="s">
        <v>2574</v>
      </c>
      <c r="L614" t="s">
        <v>2168</v>
      </c>
      <c r="T614">
        <v>1</v>
      </c>
      <c r="AM614" t="str">
        <f t="shared" si="9"/>
        <v>{dwID=13871,nLevel=1,szName="1速影",bCheckLevel=true,nScrutinyType=1,szNote="雪国冬猎·加速1",col={0,255,0,},[1]={bBuffList=true,},[2]={},},</v>
      </c>
    </row>
    <row r="615" spans="1:41" x14ac:dyDescent="0.15">
      <c r="C615">
        <v>13871</v>
      </c>
      <c r="D615">
        <v>2</v>
      </c>
      <c r="G615" t="s">
        <v>2575</v>
      </c>
      <c r="H615">
        <v>1</v>
      </c>
      <c r="I615">
        <v>1</v>
      </c>
      <c r="K615" t="s">
        <v>2576</v>
      </c>
      <c r="L615" t="s">
        <v>2168</v>
      </c>
      <c r="T615">
        <v>1</v>
      </c>
      <c r="AM615" t="str">
        <f t="shared" si="9"/>
        <v>{dwID=13871,nLevel=2,szName="2速影",bCheckLevel=true,nScrutinyType=1,szNote="雪国冬猎·加速2",col={0,255,0,},[1]={bBuffList=true,},[2]={},},</v>
      </c>
    </row>
    <row r="616" spans="1:41" x14ac:dyDescent="0.15">
      <c r="C616">
        <v>13871</v>
      </c>
      <c r="D616">
        <v>3</v>
      </c>
      <c r="G616" t="s">
        <v>2577</v>
      </c>
      <c r="H616">
        <v>1</v>
      </c>
      <c r="I616">
        <v>1</v>
      </c>
      <c r="K616" t="s">
        <v>2578</v>
      </c>
      <c r="L616" t="s">
        <v>2168</v>
      </c>
      <c r="T616">
        <v>1</v>
      </c>
      <c r="AM616" t="str">
        <f t="shared" si="9"/>
        <v>{dwID=13871,nLevel=3,szName="3速影",bCheckLevel=true,nScrutinyType=1,szNote="雪国冬猎·加速3",col={0,255,0,},[1]={bBuffList=true,},[2]={},},</v>
      </c>
    </row>
    <row r="617" spans="1:41" x14ac:dyDescent="0.15">
      <c r="C617">
        <v>13871</v>
      </c>
      <c r="D617">
        <v>4</v>
      </c>
      <c r="G617" t="s">
        <v>2579</v>
      </c>
      <c r="H617">
        <v>1</v>
      </c>
      <c r="I617">
        <v>1</v>
      </c>
      <c r="K617" t="s">
        <v>2580</v>
      </c>
      <c r="L617" t="s">
        <v>2168</v>
      </c>
      <c r="T617">
        <v>1</v>
      </c>
      <c r="AM617" t="str">
        <f t="shared" si="9"/>
        <v>{dwID=13871,nLevel=4,szName="4速影",bCheckLevel=true,nScrutinyType=1,szNote="雪国冬猎·加速4",col={0,255,0,},[1]={bBuffList=true,},[2]={},},</v>
      </c>
    </row>
    <row r="618" spans="1:41" x14ac:dyDescent="0.15">
      <c r="C618">
        <v>13871</v>
      </c>
      <c r="D618">
        <v>5</v>
      </c>
      <c r="G618" t="s">
        <v>2581</v>
      </c>
      <c r="H618">
        <v>1</v>
      </c>
      <c r="I618">
        <v>1</v>
      </c>
      <c r="K618" t="s">
        <v>2582</v>
      </c>
      <c r="L618" t="s">
        <v>2181</v>
      </c>
      <c r="T618">
        <v>1</v>
      </c>
      <c r="AM618" t="str">
        <f t="shared" si="9"/>
        <v>{dwID=13871,nLevel=5,szName="5速影",bCheckLevel=true,nScrutinyType=1,szNote="雪国冬猎·加速5",col={255,150,0,},[1]={bBuffList=true,},[2]={},},</v>
      </c>
    </row>
    <row r="619" spans="1:41" x14ac:dyDescent="0.15">
      <c r="C619">
        <v>244</v>
      </c>
      <c r="D619">
        <v>37</v>
      </c>
      <c r="F619">
        <v>10802</v>
      </c>
      <c r="G619" t="s">
        <v>2583</v>
      </c>
      <c r="H619">
        <v>1</v>
      </c>
      <c r="I619">
        <v>1</v>
      </c>
      <c r="K619" t="s">
        <v>2584</v>
      </c>
      <c r="T619">
        <v>1</v>
      </c>
      <c r="AM619" t="str">
        <f t="shared" si="9"/>
        <v>{dwID=244,nLevel=37,nIcon=10802,szName="雪橇犬",bCheckLevel=true,nScrutinyType=1,szNote="雪国冬猎·雪橇犬坐骑",[1]={bBuffList=true,},[2]={},},</v>
      </c>
    </row>
    <row r="620" spans="1:41" x14ac:dyDescent="0.15">
      <c r="A620" t="s">
        <v>262</v>
      </c>
      <c r="B620">
        <v>334</v>
      </c>
      <c r="AM620" t="str">
        <f t="shared" si="9"/>
        <v>},[334]={</v>
      </c>
    </row>
    <row r="621" spans="1:41" x14ac:dyDescent="0.15">
      <c r="C621">
        <v>14194</v>
      </c>
      <c r="D621">
        <v>1</v>
      </c>
      <c r="T621">
        <v>1</v>
      </c>
      <c r="AM621" t="str">
        <f t="shared" si="9"/>
        <v>{dwID=14194,nLevel=1,[1]={bBuffList=true,},[2]={},},</v>
      </c>
    </row>
    <row r="622" spans="1:41" x14ac:dyDescent="0.15">
      <c r="A622" t="s">
        <v>947</v>
      </c>
      <c r="B622">
        <v>341</v>
      </c>
      <c r="AM622" t="str">
        <f t="shared" si="9"/>
        <v>},[341]={</v>
      </c>
    </row>
    <row r="623" spans="1:41" x14ac:dyDescent="0.15">
      <c r="C623">
        <v>14572</v>
      </c>
      <c r="D623">
        <v>1</v>
      </c>
      <c r="I623">
        <v>1</v>
      </c>
      <c r="L623" t="s">
        <v>2143</v>
      </c>
      <c r="T623">
        <v>1</v>
      </c>
      <c r="U623">
        <v>1</v>
      </c>
      <c r="AD623" t="s">
        <v>263</v>
      </c>
      <c r="AF623" t="s">
        <v>2585</v>
      </c>
      <c r="AH623">
        <v>255</v>
      </c>
      <c r="AM623" t="str">
        <f t="shared" si="9"/>
        <v>{dwID=14572,nLevel=1,nScrutinyType=1,col={255,255,0,},[1]={bBuffList=true,bTeamPanel=true,},[2]={},aCataclysmBuff={{szReminder="镜",col="#FFFF00FF",nColAlpha=255,},},tCountdown={{nClass=2,nIcon=7623,nFrame=5,szName="武长生的镜片·{$me}",nTime=0,key="武长生的镜片·{$me}",},{nClass=1,nIcon=7623,nFrame=6,szName="武长生的镜片",nTime=300,key="武长生的镜片·{$me}",},},},</v>
      </c>
      <c r="AN623" t="s">
        <v>2586</v>
      </c>
      <c r="AO623" t="s">
        <v>2587</v>
      </c>
    </row>
    <row r="624" spans="1:41" x14ac:dyDescent="0.15">
      <c r="A624" t="s">
        <v>955</v>
      </c>
      <c r="B624">
        <v>354</v>
      </c>
      <c r="AM624" t="str">
        <f t="shared" si="9"/>
        <v>},[354]={</v>
      </c>
    </row>
    <row r="625" spans="1:45" x14ac:dyDescent="0.15">
      <c r="C625">
        <v>14572</v>
      </c>
      <c r="D625">
        <v>1</v>
      </c>
      <c r="I625">
        <v>1</v>
      </c>
      <c r="L625" t="s">
        <v>2143</v>
      </c>
      <c r="T625">
        <v>1</v>
      </c>
      <c r="U625">
        <v>1</v>
      </c>
      <c r="AD625" t="s">
        <v>263</v>
      </c>
      <c r="AF625" t="s">
        <v>2585</v>
      </c>
      <c r="AH625">
        <v>255</v>
      </c>
      <c r="AM625" t="str">
        <f t="shared" si="9"/>
        <v>{dwID=14572,nLevel=1,nScrutinyType=1,col={255,255,0,},[1]={bBuffList=true,bTeamPanel=true,},[2]={},aCataclysmBuff={{szReminder="镜",col="#FFFF00FF",nColAlpha=255,},},tCountdown={{nClass=2,nIcon=7623,nFrame=5,szName="武长生的镜片·{$me}",nTime=0,key="武长生的镜片·{$me}",},{nClass=1,nIcon=7623,nFrame=6,szName="武长生的镜片",nTime=300,key="武长生的镜片·{$me}",},},},</v>
      </c>
      <c r="AN625" t="s">
        <v>2586</v>
      </c>
      <c r="AO625" t="s">
        <v>2587</v>
      </c>
    </row>
    <row r="626" spans="1:45" x14ac:dyDescent="0.15">
      <c r="A626" t="s">
        <v>961</v>
      </c>
      <c r="B626">
        <v>360</v>
      </c>
      <c r="AM626" t="str">
        <f t="shared" si="9"/>
        <v>},[360]={</v>
      </c>
    </row>
    <row r="627" spans="1:45" x14ac:dyDescent="0.15">
      <c r="C627">
        <v>14572</v>
      </c>
      <c r="D627">
        <v>1</v>
      </c>
      <c r="I627">
        <v>1</v>
      </c>
      <c r="L627" t="s">
        <v>2143</v>
      </c>
      <c r="T627">
        <v>1</v>
      </c>
      <c r="U627">
        <v>1</v>
      </c>
      <c r="AD627" t="s">
        <v>263</v>
      </c>
      <c r="AF627" t="s">
        <v>2585</v>
      </c>
      <c r="AH627">
        <v>255</v>
      </c>
      <c r="AM627" t="str">
        <f t="shared" si="9"/>
        <v>{dwID=14572,nLevel=1,nScrutinyType=1,col={255,255,0,},[1]={bBuffList=true,bTeamPanel=true,},[2]={},aCataclysmBuff={{szReminder="镜",col="#FFFF00FF",nColAlpha=255,},},tCountdown={{nClass=2,nIcon=7623,nFrame=5,szName="武长生的镜片·{$me}",nTime=0,key="武长生的镜片·{$me}",},{nClass=1,nIcon=7623,nFrame=6,szName="武长生的镜片",nTime=300,key="武长生的镜片·{$me}",},},},</v>
      </c>
      <c r="AN627" t="s">
        <v>2586</v>
      </c>
      <c r="AO627" t="s">
        <v>2587</v>
      </c>
    </row>
    <row r="628" spans="1:45" x14ac:dyDescent="0.15">
      <c r="A628" t="s">
        <v>264</v>
      </c>
      <c r="B628">
        <v>411</v>
      </c>
      <c r="AM628" t="str">
        <f t="shared" si="9"/>
        <v>},[411]={</v>
      </c>
    </row>
    <row r="629" spans="1:45" x14ac:dyDescent="0.15">
      <c r="C629">
        <v>16499</v>
      </c>
      <c r="D629">
        <v>1</v>
      </c>
      <c r="I629">
        <v>1</v>
      </c>
      <c r="AM629" t="str">
        <f t="shared" si="9"/>
        <v>{dwID=16499,nLevel=1,nScrutinyType=1,[1]={},[2]={},tCountdown={{nClass=2,nIcon=3401,nFrame=5,szName="训马·交互·神采飞扬",nTime=0,key="训马·交互·神采飞扬",},{nClass=2,nIcon=3401,nFrame=5,szName="训马·交互·无忧无虑",nTime=0,key="训马·交互·无忧无虑",},{nClass=2,nIcon=3401,nFrame=5,szName="训马·心情",nTime=0,key="训马·心情",},{nClass=2,nIcon=3401,nFrame=5,szName="训马·交互",nTime=0,key="训马·交互",},{nClass=1,nIcon=4519,nFrame=6,szName="神采飞扬·交互·训练",nTime=30,key="训马·交互·神采飞扬",},{nClass=1,nIcon=4521,nFrame=5,szName="无忧无虑·交互·安抚",nTime=30,key="训马·交互·无忧无虑",},},},</v>
      </c>
      <c r="AN629" t="s">
        <v>2565</v>
      </c>
      <c r="AO629" t="s">
        <v>2566</v>
      </c>
      <c r="AP629" t="s">
        <v>2567</v>
      </c>
      <c r="AQ629" t="s">
        <v>2568</v>
      </c>
      <c r="AR629" t="s">
        <v>2569</v>
      </c>
      <c r="AS629" t="s">
        <v>2570</v>
      </c>
    </row>
    <row r="630" spans="1:45" x14ac:dyDescent="0.15">
      <c r="A630" t="s">
        <v>265</v>
      </c>
      <c r="B630">
        <v>451</v>
      </c>
      <c r="AM630" t="str">
        <f t="shared" si="9"/>
        <v>},[451]={</v>
      </c>
    </row>
    <row r="631" spans="1:45" x14ac:dyDescent="0.15">
      <c r="C631">
        <v>25381</v>
      </c>
      <c r="D631">
        <v>1</v>
      </c>
      <c r="Y631">
        <v>1</v>
      </c>
      <c r="AM631" t="str">
        <f t="shared" si="9"/>
        <v>{dwID=25381,nLevel=1,[1]={},[2]={bCenterAlarm=true,},},</v>
      </c>
    </row>
    <row r="632" spans="1:45" x14ac:dyDescent="0.15">
      <c r="C632">
        <v>22148</v>
      </c>
      <c r="D632">
        <v>1</v>
      </c>
      <c r="H632">
        <v>1</v>
      </c>
      <c r="Y632">
        <v>1</v>
      </c>
      <c r="AM632" t="str">
        <f t="shared" si="9"/>
        <v>{dwID=22148,nLevel=1,bCheckLevel=true,[1]={},[2]={bCenterAlarm=true,},},</v>
      </c>
    </row>
    <row r="633" spans="1:45" x14ac:dyDescent="0.15">
      <c r="C633">
        <v>22148</v>
      </c>
      <c r="D633">
        <v>2</v>
      </c>
      <c r="H633">
        <v>1</v>
      </c>
      <c r="Y633">
        <v>1</v>
      </c>
      <c r="AM633" t="str">
        <f t="shared" si="9"/>
        <v>{dwID=22148,nLevel=2,bCheckLevel=true,[1]={},[2]={bCenterAlarm=true,},},</v>
      </c>
    </row>
    <row r="634" spans="1:45" x14ac:dyDescent="0.15">
      <c r="C634">
        <v>22148</v>
      </c>
      <c r="D634">
        <v>3</v>
      </c>
      <c r="H634">
        <v>1</v>
      </c>
      <c r="Y634">
        <v>1</v>
      </c>
      <c r="AM634" t="str">
        <f t="shared" si="9"/>
        <v>{dwID=22148,nLevel=3,bCheckLevel=true,[1]={},[2]={bCenterAlarm=true,},},</v>
      </c>
    </row>
    <row r="635" spans="1:45" x14ac:dyDescent="0.15">
      <c r="C635">
        <v>22148</v>
      </c>
      <c r="D635">
        <v>4</v>
      </c>
      <c r="H635">
        <v>1</v>
      </c>
      <c r="Y635">
        <v>1</v>
      </c>
      <c r="AM635" t="str">
        <f t="shared" si="9"/>
        <v>{dwID=22148,nLevel=4,bCheckLevel=true,[1]={},[2]={bCenterAlarm=true,},},</v>
      </c>
    </row>
    <row r="636" spans="1:45" x14ac:dyDescent="0.15">
      <c r="C636">
        <v>22148</v>
      </c>
      <c r="D636">
        <v>7</v>
      </c>
      <c r="H636">
        <v>1</v>
      </c>
      <c r="Y636">
        <v>1</v>
      </c>
      <c r="AM636" t="str">
        <f t="shared" si="9"/>
        <v>{dwID=22148,nLevel=7,bCheckLevel=true,[1]={},[2]={bCenterAlarm=true,},},</v>
      </c>
    </row>
    <row r="637" spans="1:45" x14ac:dyDescent="0.15">
      <c r="C637">
        <v>22146</v>
      </c>
      <c r="D637">
        <v>1</v>
      </c>
      <c r="H637">
        <v>1</v>
      </c>
      <c r="Y637">
        <v>1</v>
      </c>
      <c r="AM637" t="str">
        <f t="shared" si="9"/>
        <v>{dwID=22146,nLevel=1,bCheckLevel=true,[1]={},[2]={bCenterAlarm=true,},},</v>
      </c>
    </row>
    <row r="638" spans="1:45" x14ac:dyDescent="0.15">
      <c r="C638">
        <v>22146</v>
      </c>
      <c r="D638">
        <v>2</v>
      </c>
      <c r="H638">
        <v>1</v>
      </c>
      <c r="Y638">
        <v>1</v>
      </c>
      <c r="AM638" t="str">
        <f t="shared" si="9"/>
        <v>{dwID=22146,nLevel=2,bCheckLevel=true,[1]={},[2]={bCenterAlarm=true,},},</v>
      </c>
    </row>
    <row r="639" spans="1:45" x14ac:dyDescent="0.15">
      <c r="C639">
        <v>22146</v>
      </c>
      <c r="D639">
        <v>3</v>
      </c>
      <c r="H639">
        <v>1</v>
      </c>
      <c r="Y639">
        <v>1</v>
      </c>
      <c r="AM639" t="str">
        <f t="shared" si="9"/>
        <v>{dwID=22146,nLevel=3,bCheckLevel=true,[1]={},[2]={bCenterAlarm=true,},},</v>
      </c>
    </row>
    <row r="640" spans="1:45" x14ac:dyDescent="0.15">
      <c r="C640">
        <v>22146</v>
      </c>
      <c r="D640">
        <v>4</v>
      </c>
      <c r="H640">
        <v>1</v>
      </c>
      <c r="Y640">
        <v>1</v>
      </c>
      <c r="AM640" t="str">
        <f t="shared" si="9"/>
        <v>{dwID=22146,nLevel=4,bCheckLevel=true,[1]={},[2]={bCenterAlarm=true,},},</v>
      </c>
    </row>
    <row r="641" spans="3:39" x14ac:dyDescent="0.15">
      <c r="C641">
        <v>22180</v>
      </c>
      <c r="D641">
        <v>1</v>
      </c>
      <c r="H641">
        <v>1</v>
      </c>
      <c r="AM641" t="str">
        <f t="shared" si="9"/>
        <v>{dwID=22180,nLevel=1,bCheckLevel=true,[1]={},[2]={},},</v>
      </c>
    </row>
    <row r="642" spans="3:39" x14ac:dyDescent="0.15">
      <c r="C642">
        <v>22180</v>
      </c>
      <c r="D642">
        <v>2</v>
      </c>
      <c r="H642">
        <v>1</v>
      </c>
      <c r="AM642" t="str">
        <f t="shared" ref="AM642:AM677" si="10">IF(B642&lt;&gt;"",IF(IFERROR(VALUE(C641),0)&lt;=0,"["&amp;B642&amp;"]={","},["&amp;B642&amp;"]={"),IF(C642&gt;0,"{dwID="&amp;C642&amp;","&amp;"nLevel="&amp;D642&amp;","&amp;IF(E642&gt;0,"nCount="&amp;E642&amp;",","")&amp;IF(F642&gt;0,"nIcon="&amp;F642&amp;",","")&amp;IF(G642&lt;&gt;"","szName="""&amp;G642&amp;""",","")&amp;IF(H642&gt;0,"bCheckLevel=true,","")&amp;IF(I642&gt;0,"nScrutinyType="&amp;I642&amp;",","")&amp;IF(J642&lt;&gt;"","tKungFu={"&amp;J642&amp;"},","")&amp;IF(K642&lt;&gt;"","szNote="""&amp;K642&amp;""",","")&amp;IF(L642&lt;&gt;"","col={"&amp;L642&amp;"},","")&amp;"[1]={"&amp;IF(M642&lt;&gt;"","tMark={"&amp;M642&amp;"},","")&amp;IF(N642&lt;&gt;"","szVoice="""&amp;N642&amp;""",","")&amp;IF(O642&gt;0,"bCheckLevel=true,","")&amp;IF(P642&gt;0,"bWhisperChannel=true,","")&amp;IF(Q642&gt;0,"bCenterAlarm=true,","")&amp;IF(R642&gt;0,"bScreenHead=true,","")&amp;IF(S642&gt;0,"bPartyBuffList=true,","")&amp;IF(T642&gt;0,"bBuffList=true,","")&amp;IF(U642&gt;0,"bTeamPanel=true,","")&amp;IF(V642&gt;0,"bOnlySelfSrc=true,","")&amp;"},"&amp;"[2]={"&amp;IF(W642&gt;0,"bCheckLevel=true,","")&amp;IF(X642&gt;0,"bWhisperChannel=true,","")&amp;IF(Y642&gt;0,"bCenterAlarm=true,","")&amp;"},"&amp;IF(OR(Z642&gt;0,AD642&lt;&gt;"",AE642&gt;0,AF642&lt;&gt;"",AG642&lt;&gt;"",AH642&gt;0,AI642&gt;0,AJ642&gt;0,AK642&gt;0),"aCataclysmBuff={{"&amp;IF(Z642&gt;0,"nStackNum="&amp;Z642&amp;",","")&amp;IF(AA642&lt;&gt;"","szStackOp="""&amp;AA642&amp;""",","")&amp;IF(AB642&gt;0,"bOnlyMine=true,","")&amp;IF(AC642&gt;0,"bOnlyMe=true,","")&amp;IF(AD642&lt;&gt;"","szReminder="""&amp;AD642&amp;""",","")&amp;IF(AE642&gt;0,"nPriority="&amp;AE642&amp;",","")&amp;IF(AF642&lt;&gt;"","col="""&amp;AF642&amp;""",","")&amp;IF(AG642&lt;&gt;"","colScreenHead="""&amp;AG642&amp;""",","")&amp;IF(AH642&gt;0,"nColAlpha="&amp;AH642&amp;",","")&amp;IF(AI642&gt;0,"bAttention=true,","")&amp;IF(AJ642&gt;0,"bCaution=true,","")&amp;IF(AK642&gt;0,"bScreenHead=true,","")&amp;"},"&amp;AL642&amp;"},","")&amp;IF(AN642&lt;&gt;"","tCountdown={"&amp;_xlfn.TEXTJOIN("",TRUE,AN642:ZY642)&amp;"},","")&amp;"},",IF(C641&gt;0,"},","")&amp;IF(AND(B642="",C642="",OR(B641&lt;&gt;"",C641&lt;&gt;"")),"},}","")))</f>
        <v>{dwID=22180,nLevel=2,bCheckLevel=true,[1]={},[2]={},},</v>
      </c>
    </row>
    <row r="643" spans="3:39" x14ac:dyDescent="0.15">
      <c r="C643">
        <v>22180</v>
      </c>
      <c r="D643">
        <v>3</v>
      </c>
      <c r="H643">
        <v>1</v>
      </c>
      <c r="AM643" t="str">
        <f t="shared" si="10"/>
        <v>{dwID=22180,nLevel=3,bCheckLevel=true,[1]={},[2]={},},</v>
      </c>
    </row>
    <row r="644" spans="3:39" x14ac:dyDescent="0.15">
      <c r="C644">
        <v>22180</v>
      </c>
      <c r="D644">
        <v>4</v>
      </c>
      <c r="H644">
        <v>1</v>
      </c>
      <c r="AM644" t="str">
        <f t="shared" si="10"/>
        <v>{dwID=22180,nLevel=4,bCheckLevel=true,[1]={},[2]={},},</v>
      </c>
    </row>
    <row r="645" spans="3:39" x14ac:dyDescent="0.15">
      <c r="C645">
        <v>22147</v>
      </c>
      <c r="D645">
        <v>1</v>
      </c>
      <c r="H645">
        <v>1</v>
      </c>
      <c r="Y645">
        <v>1</v>
      </c>
      <c r="AM645" t="str">
        <f t="shared" si="10"/>
        <v>{dwID=22147,nLevel=1,bCheckLevel=true,[1]={},[2]={bCenterAlarm=true,},},</v>
      </c>
    </row>
    <row r="646" spans="3:39" x14ac:dyDescent="0.15">
      <c r="C646">
        <v>22147</v>
      </c>
      <c r="D646">
        <v>2</v>
      </c>
      <c r="H646">
        <v>1</v>
      </c>
      <c r="Y646">
        <v>1</v>
      </c>
      <c r="AM646" t="str">
        <f t="shared" si="10"/>
        <v>{dwID=22147,nLevel=2,bCheckLevel=true,[1]={},[2]={bCenterAlarm=true,},},</v>
      </c>
    </row>
    <row r="647" spans="3:39" x14ac:dyDescent="0.15">
      <c r="C647">
        <v>22147</v>
      </c>
      <c r="D647">
        <v>3</v>
      </c>
      <c r="H647">
        <v>1</v>
      </c>
      <c r="Y647">
        <v>1</v>
      </c>
      <c r="AM647" t="str">
        <f t="shared" si="10"/>
        <v>{dwID=22147,nLevel=3,bCheckLevel=true,[1]={},[2]={bCenterAlarm=true,},},</v>
      </c>
    </row>
    <row r="648" spans="3:39" x14ac:dyDescent="0.15">
      <c r="C648">
        <v>22147</v>
      </c>
      <c r="D648">
        <v>4</v>
      </c>
      <c r="H648">
        <v>1</v>
      </c>
      <c r="Y648">
        <v>1</v>
      </c>
      <c r="AM648" t="str">
        <f t="shared" si="10"/>
        <v>{dwID=22147,nLevel=4,bCheckLevel=true,[1]={},[2]={bCenterAlarm=true,},},</v>
      </c>
    </row>
    <row r="649" spans="3:39" x14ac:dyDescent="0.15">
      <c r="C649">
        <v>22213</v>
      </c>
      <c r="D649">
        <v>1</v>
      </c>
      <c r="AM649" t="str">
        <f t="shared" si="10"/>
        <v>{dwID=22213,nLevel=1,[1]={},[2]={},},</v>
      </c>
    </row>
    <row r="650" spans="3:39" x14ac:dyDescent="0.15">
      <c r="C650">
        <v>22211</v>
      </c>
      <c r="D650">
        <v>1</v>
      </c>
      <c r="AM650" t="str">
        <f t="shared" si="10"/>
        <v>{dwID=22211,nLevel=1,[1]={},[2]={},},</v>
      </c>
    </row>
    <row r="651" spans="3:39" x14ac:dyDescent="0.15">
      <c r="C651">
        <v>22212</v>
      </c>
      <c r="D651">
        <v>1</v>
      </c>
      <c r="AM651" t="str">
        <f t="shared" si="10"/>
        <v>{dwID=22212,nLevel=1,[1]={},[2]={},},</v>
      </c>
    </row>
    <row r="652" spans="3:39" x14ac:dyDescent="0.15">
      <c r="C652">
        <v>18827</v>
      </c>
      <c r="D652">
        <v>1</v>
      </c>
      <c r="AM652" t="str">
        <f t="shared" si="10"/>
        <v>{dwID=18827,nLevel=1,[1]={},[2]={},},</v>
      </c>
    </row>
    <row r="653" spans="3:39" x14ac:dyDescent="0.15">
      <c r="C653">
        <v>27851</v>
      </c>
      <c r="D653">
        <v>1</v>
      </c>
      <c r="AM653" t="str">
        <f t="shared" si="10"/>
        <v>{dwID=27851,nLevel=1,[1]={},[2]={},},</v>
      </c>
    </row>
    <row r="654" spans="3:39" x14ac:dyDescent="0.15">
      <c r="C654">
        <v>18822</v>
      </c>
      <c r="D654">
        <v>1</v>
      </c>
      <c r="AM654" t="str">
        <f t="shared" si="10"/>
        <v>{dwID=18822,nLevel=1,[1]={},[2]={},},</v>
      </c>
    </row>
    <row r="655" spans="3:39" x14ac:dyDescent="0.15">
      <c r="C655">
        <v>18828</v>
      </c>
      <c r="D655">
        <v>1</v>
      </c>
      <c r="AM655" t="str">
        <f t="shared" si="10"/>
        <v>{dwID=18828,nLevel=1,[1]={},[2]={},},</v>
      </c>
    </row>
    <row r="656" spans="3:39" x14ac:dyDescent="0.15">
      <c r="C656">
        <v>22240</v>
      </c>
      <c r="D656">
        <v>1</v>
      </c>
      <c r="L656" t="s">
        <v>2168</v>
      </c>
      <c r="T656">
        <v>1</v>
      </c>
      <c r="AM656" t="str">
        <f t="shared" si="10"/>
        <v>{dwID=22240,nLevel=1,col={0,255,0,},[1]={bBuffList=true,},[2]={},},</v>
      </c>
    </row>
    <row r="657" spans="1:40" x14ac:dyDescent="0.15">
      <c r="C657">
        <v>18808</v>
      </c>
      <c r="D657">
        <v>1</v>
      </c>
      <c r="L657" t="s">
        <v>2168</v>
      </c>
      <c r="T657">
        <v>1</v>
      </c>
      <c r="AM657" t="str">
        <f t="shared" si="10"/>
        <v>{dwID=18808,nLevel=1,col={0,255,0,},[1]={bBuffList=true,},[2]={},},</v>
      </c>
    </row>
    <row r="658" spans="1:40" x14ac:dyDescent="0.15">
      <c r="C658">
        <v>27867</v>
      </c>
      <c r="D658">
        <v>1</v>
      </c>
      <c r="L658" t="s">
        <v>2168</v>
      </c>
      <c r="T658">
        <v>1</v>
      </c>
      <c r="AM658" t="str">
        <f t="shared" si="10"/>
        <v>{dwID=27867,nLevel=1,col={0,255,0,},[1]={bBuffList=true,},[2]={},},</v>
      </c>
    </row>
    <row r="659" spans="1:40" x14ac:dyDescent="0.15">
      <c r="C659">
        <v>27691</v>
      </c>
      <c r="D659">
        <v>1</v>
      </c>
      <c r="L659" t="s">
        <v>2168</v>
      </c>
      <c r="T659">
        <v>1</v>
      </c>
      <c r="AM659" t="str">
        <f t="shared" si="10"/>
        <v>{dwID=27691,nLevel=1,col={0,255,0,},[1]={bBuffList=true,},[2]={},},</v>
      </c>
    </row>
    <row r="660" spans="1:40" x14ac:dyDescent="0.15">
      <c r="C660">
        <v>27675</v>
      </c>
      <c r="D660">
        <v>1</v>
      </c>
      <c r="L660" t="s">
        <v>2168</v>
      </c>
      <c r="T660">
        <v>1</v>
      </c>
      <c r="AM660" t="str">
        <f t="shared" si="10"/>
        <v>{dwID=27675,nLevel=1,col={0,255,0,},[1]={bBuffList=true,},[2]={},},</v>
      </c>
    </row>
    <row r="661" spans="1:40" x14ac:dyDescent="0.15">
      <c r="C661">
        <v>18798</v>
      </c>
      <c r="D661">
        <v>1</v>
      </c>
      <c r="L661" t="s">
        <v>2168</v>
      </c>
      <c r="T661">
        <v>1</v>
      </c>
      <c r="AM661" t="str">
        <f t="shared" si="10"/>
        <v>{dwID=18798,nLevel=1,col={0,255,0,},[1]={bBuffList=true,},[2]={},},</v>
      </c>
    </row>
    <row r="662" spans="1:40" x14ac:dyDescent="0.15">
      <c r="C662">
        <v>22196</v>
      </c>
      <c r="D662">
        <v>1</v>
      </c>
      <c r="L662" t="s">
        <v>2168</v>
      </c>
      <c r="T662">
        <v>1</v>
      </c>
      <c r="AM662" t="str">
        <f t="shared" si="10"/>
        <v>{dwID=22196,nLevel=1,col={0,255,0,},[1]={bBuffList=true,},[2]={},},</v>
      </c>
    </row>
    <row r="663" spans="1:40" x14ac:dyDescent="0.15">
      <c r="C663">
        <v>18816</v>
      </c>
      <c r="D663">
        <v>1</v>
      </c>
      <c r="L663" t="s">
        <v>2168</v>
      </c>
      <c r="T663">
        <v>1</v>
      </c>
      <c r="AM663" t="str">
        <f t="shared" si="10"/>
        <v>{dwID=18816,nLevel=1,col={0,255,0,},[1]={bBuffList=true,},[2]={},},</v>
      </c>
    </row>
    <row r="664" spans="1:40" x14ac:dyDescent="0.15">
      <c r="C664">
        <v>22194</v>
      </c>
      <c r="D664">
        <v>1</v>
      </c>
      <c r="L664" t="s">
        <v>2168</v>
      </c>
      <c r="T664">
        <v>1</v>
      </c>
      <c r="AM664" t="str">
        <f t="shared" si="10"/>
        <v>{dwID=22194,nLevel=1,col={0,255,0,},[1]={bBuffList=true,},[2]={},},</v>
      </c>
    </row>
    <row r="665" spans="1:40" x14ac:dyDescent="0.15">
      <c r="C665">
        <v>18790</v>
      </c>
      <c r="D665">
        <v>1</v>
      </c>
      <c r="L665" t="s">
        <v>2168</v>
      </c>
      <c r="T665">
        <v>1</v>
      </c>
      <c r="AM665" t="str">
        <f t="shared" si="10"/>
        <v>{dwID=18790,nLevel=1,col={0,255,0,},[1]={bBuffList=true,},[2]={},},</v>
      </c>
    </row>
    <row r="666" spans="1:40" x14ac:dyDescent="0.15">
      <c r="A666" t="s">
        <v>267</v>
      </c>
      <c r="B666">
        <v>582</v>
      </c>
      <c r="AM666" t="str">
        <f t="shared" si="10"/>
        <v>},[582]={</v>
      </c>
    </row>
    <row r="667" spans="1:40" x14ac:dyDescent="0.15">
      <c r="C667">
        <v>24603</v>
      </c>
      <c r="D667">
        <v>1</v>
      </c>
      <c r="I667">
        <v>1</v>
      </c>
      <c r="L667" t="s">
        <v>2143</v>
      </c>
      <c r="T667">
        <v>1</v>
      </c>
      <c r="AM667" t="str">
        <f t="shared" si="10"/>
        <v>{dwID=24603,nLevel=1,nScrutinyType=1,col={255,255,0,},[1]={bBuffList=true,},[2]={},},</v>
      </c>
    </row>
    <row r="668" spans="1:40" x14ac:dyDescent="0.15">
      <c r="C668">
        <v>24800</v>
      </c>
      <c r="D668">
        <v>1</v>
      </c>
      <c r="I668">
        <v>1</v>
      </c>
      <c r="K668" t="s">
        <v>2588</v>
      </c>
      <c r="T668">
        <v>1</v>
      </c>
      <c r="AM668" t="str">
        <f t="shared" si="10"/>
        <v>{dwID=24800,nLevel=1,nScrutinyType=1,szNote="成就·肉馅豪杰",[1]={bBuffList=true,},[2]={},tCountdown={{nClass=1,nIcon=260,nFrame=5,szName="成就·肉馅豪杰",nTime=0,key="茶馆·成就",},},},</v>
      </c>
      <c r="AN668" t="s">
        <v>2589</v>
      </c>
    </row>
    <row r="669" spans="1:40" x14ac:dyDescent="0.15">
      <c r="C669">
        <v>24780</v>
      </c>
      <c r="D669">
        <v>1</v>
      </c>
      <c r="I669">
        <v>1</v>
      </c>
      <c r="T669">
        <v>1</v>
      </c>
      <c r="AM669" t="str">
        <f t="shared" si="10"/>
        <v>{dwID=24780,nLevel=1,nScrutinyType=1,[1]={bBuffList=true,},[2]={},},</v>
      </c>
    </row>
    <row r="670" spans="1:40" x14ac:dyDescent="0.15">
      <c r="A670" t="s">
        <v>2590</v>
      </c>
      <c r="B670">
        <v>995</v>
      </c>
      <c r="AM670" t="str">
        <f t="shared" si="10"/>
        <v>},[995]={</v>
      </c>
    </row>
    <row r="671" spans="1:40" x14ac:dyDescent="0.15">
      <c r="C671">
        <v>50694</v>
      </c>
      <c r="D671">
        <v>1</v>
      </c>
      <c r="L671" t="s">
        <v>2152</v>
      </c>
      <c r="T671">
        <v>1</v>
      </c>
      <c r="AM671" t="str">
        <f t="shared" si="10"/>
        <v>{dwID=50694,nLevel=1,col={0,255,255,},[1]={bBuffList=true,},[2]={},},</v>
      </c>
    </row>
    <row r="672" spans="1:40" x14ac:dyDescent="0.15">
      <c r="C672">
        <v>50815</v>
      </c>
      <c r="D672">
        <v>1</v>
      </c>
      <c r="L672" t="s">
        <v>2152</v>
      </c>
      <c r="T672">
        <v>1</v>
      </c>
      <c r="AM672" t="str">
        <f t="shared" si="10"/>
        <v>{dwID=50815,nLevel=1,col={0,255,255,},[1]={bBuffList=true,},[2]={},},</v>
      </c>
    </row>
    <row r="673" spans="3:39" x14ac:dyDescent="0.15">
      <c r="C673">
        <v>50778</v>
      </c>
      <c r="D673">
        <v>1</v>
      </c>
      <c r="T673">
        <v>1</v>
      </c>
      <c r="AM673" t="str">
        <f t="shared" si="10"/>
        <v>{dwID=50778,nLevel=1,[1]={bBuffList=true,},[2]={},},</v>
      </c>
    </row>
    <row r="674" spans="3:39" x14ac:dyDescent="0.15">
      <c r="C674">
        <v>50670</v>
      </c>
      <c r="D674">
        <v>1</v>
      </c>
      <c r="T674">
        <v>1</v>
      </c>
      <c r="AM674" t="str">
        <f t="shared" si="10"/>
        <v>{dwID=50670,nLevel=1,[1]={bBuffList=true,},[2]={},},</v>
      </c>
    </row>
    <row r="675" spans="3:39" x14ac:dyDescent="0.15">
      <c r="C675">
        <v>50644</v>
      </c>
      <c r="D675">
        <v>1</v>
      </c>
      <c r="T675">
        <v>1</v>
      </c>
      <c r="AD675" t="s">
        <v>2591</v>
      </c>
      <c r="AE675">
        <v>10</v>
      </c>
      <c r="AH675">
        <v>255</v>
      </c>
      <c r="AM675" t="str">
        <f t="shared" si="10"/>
        <v>{dwID=50644,nLevel=1,[1]={bBuffList=true,},[2]={},aCataclysmBuff={{szReminder="芽 神树吸血效果",nPriority=10,nColAlpha=255,},},},</v>
      </c>
    </row>
    <row r="676" spans="3:39" x14ac:dyDescent="0.15">
      <c r="AM676" t="str">
        <f t="shared" si="10"/>
        <v>},},}</v>
      </c>
    </row>
    <row r="677" spans="3:39" x14ac:dyDescent="0.15">
      <c r="AM677" t="str">
        <f t="shared" si="10"/>
        <v/>
      </c>
    </row>
  </sheetData>
  <phoneticPr fontId="18" type="noConversion"/>
  <pageMargins left="0.75" right="0.75" top="1" bottom="1" header="0.5" footer="0.5"/>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15369-5250-4E9E-BFBE-C6E40EAF235D}">
  <dimension ref="A1:BJ804"/>
  <sheetViews>
    <sheetView workbookViewId="0"/>
  </sheetViews>
  <sheetFormatPr defaultRowHeight="13.5" x14ac:dyDescent="0.15"/>
  <sheetData>
    <row r="1" spans="1:62" x14ac:dyDescent="0.15">
      <c r="A1" t="s">
        <v>0</v>
      </c>
      <c r="B1" t="s">
        <v>2061</v>
      </c>
      <c r="C1" t="s">
        <v>1</v>
      </c>
      <c r="D1" t="s">
        <v>2</v>
      </c>
      <c r="E1" t="s">
        <v>3</v>
      </c>
      <c r="F1" t="s">
        <v>2062</v>
      </c>
      <c r="G1" t="s">
        <v>4</v>
      </c>
      <c r="H1" t="s">
        <v>2063</v>
      </c>
      <c r="I1" t="s">
        <v>2064</v>
      </c>
      <c r="J1" t="s">
        <v>2065</v>
      </c>
      <c r="K1" t="s">
        <v>5</v>
      </c>
      <c r="L1" t="s">
        <v>2066</v>
      </c>
      <c r="M1" t="s">
        <v>2067</v>
      </c>
      <c r="N1" t="s">
        <v>2068</v>
      </c>
      <c r="O1" t="s">
        <v>2069</v>
      </c>
      <c r="P1" t="s">
        <v>2070</v>
      </c>
      <c r="Q1" t="s">
        <v>2071</v>
      </c>
      <c r="R1" t="s">
        <v>2072</v>
      </c>
      <c r="S1" t="s">
        <v>2073</v>
      </c>
      <c r="T1" t="s">
        <v>2074</v>
      </c>
      <c r="U1" t="s">
        <v>2075</v>
      </c>
      <c r="V1" t="s">
        <v>2076</v>
      </c>
      <c r="W1" t="s">
        <v>2077</v>
      </c>
      <c r="X1" t="s">
        <v>2078</v>
      </c>
      <c r="Y1" t="s">
        <v>2079</v>
      </c>
      <c r="Z1" t="s">
        <v>2080</v>
      </c>
      <c r="AA1" t="s">
        <v>2081</v>
      </c>
      <c r="AB1" t="s">
        <v>2082</v>
      </c>
      <c r="AC1" t="s">
        <v>2083</v>
      </c>
      <c r="AD1" t="s">
        <v>2084</v>
      </c>
      <c r="AE1" t="s">
        <v>2085</v>
      </c>
      <c r="AF1" t="s">
        <v>2086</v>
      </c>
      <c r="AG1" t="s">
        <v>2087</v>
      </c>
      <c r="AH1" t="s">
        <v>2088</v>
      </c>
      <c r="AI1" t="s">
        <v>2089</v>
      </c>
      <c r="AJ1" t="s">
        <v>2090</v>
      </c>
      <c r="AK1" t="s">
        <v>2091</v>
      </c>
      <c r="AL1" t="s">
        <v>2092</v>
      </c>
      <c r="AM1" t="s">
        <v>2592</v>
      </c>
      <c r="AN1" t="s">
        <v>2094</v>
      </c>
    </row>
    <row r="2" spans="1:62" x14ac:dyDescent="0.15">
      <c r="A2" t="s">
        <v>2095</v>
      </c>
      <c r="B2">
        <v>-19</v>
      </c>
      <c r="AM2" t="str">
        <f t="shared" ref="AM2:AM65" si="0">IF(B2&lt;&gt;"",IF(IFERROR(VALUE(C1),0)&lt;=0,"["&amp;B2&amp;"]={","},["&amp;B2&amp;"]={"),IF(C2&gt;0,"{dwID="&amp;C2&amp;","&amp;"nLevel="&amp;D2&amp;","&amp;IF(E2&gt;0,"nCount="&amp;E2&amp;",","")&amp;IF(F2&gt;0,"nIcon="&amp;F2&amp;",","")&amp;IF(G2&lt;&gt;"","szName="""&amp;G2&amp;""",","")&amp;IF(H2&gt;0,"bCheckLevel=true,","")&amp;IF(I2&gt;0,"nScrutinyType="&amp;I2&amp;",","")&amp;IF(J2&lt;&gt;"","tKungFu={"&amp;J2&amp;"},","")&amp;IF(K2&lt;&gt;"","szNote="""&amp;K2&amp;""",","")&amp;IF(L2&lt;&gt;"","col={"&amp;L2&amp;"},","")&amp;"[1]={"&amp;IF(M2&lt;&gt;"","tMark={"&amp;M2&amp;"},","")&amp;IF(N2&lt;&gt;"","szVoice="""&amp;N2&amp;""",","")&amp;IF(O2&gt;0,"bCheckLevel=true,","")&amp;IF(P2&gt;0,"bWhisperChannel=true,","")&amp;IF(Q2&gt;0,"bCenterAlarm=true,","")&amp;IF(R2&gt;0,"bScreenHead=true,","")&amp;IF(S2&gt;0,"bPartyBuffList=true,","")&amp;IF(T2&gt;0,"bBuffList=true,","")&amp;IF(U2&gt;0,"bTeamPanel=true,","")&amp;IF(V2&gt;0,"bOnlySelfSrc=true,","")&amp;"},"&amp;"[2]={"&amp;IF(W2&gt;0,"bCheckLevel=true,","")&amp;IF(X2&gt;0,"bWhisperChannel=true,","")&amp;IF(Y2&gt;0,"bCenterAlarm=true,","")&amp;"},"&amp;IF(OR(Z2&gt;0,AD2&lt;&gt;"",AE2&gt;0,AF2&lt;&gt;"",AG2&lt;&gt;"",AH2&gt;0,AI2&gt;0,AJ2&gt;0,AK2&gt;0),"aCataclysmBuff={{"&amp;IF(Z2&gt;0,"nStackNum="&amp;Z2&amp;",","")&amp;IF(AA2&lt;&gt;"","szStackOp="""&amp;AA2&amp;""",","")&amp;IF(AB2&gt;0,"bOnlyMine=true,","")&amp;IF(AC2&gt;0,"bOnlyMe=true,","")&amp;IF(AD2&lt;&gt;"","szReminder="""&amp;AD2&amp;""",","")&amp;IF(AE2&gt;0,"nPriority="&amp;AE2&amp;",","")&amp;IF(AF2&lt;&gt;"","col="""&amp;AF2&amp;""",","")&amp;IF(AG2&lt;&gt;"","colScreenHead="""&amp;AG2&amp;""",","")&amp;IF(AH2&gt;0,"nColAlpha="&amp;AH2&amp;",","")&amp;IF(AI2&gt;0,"bAttention=true,","")&amp;IF(AJ2&gt;0,"bCaution=true,","")&amp;IF(AK2&gt;0,"bScreenHead=true,","")&amp;"},"&amp;AL2&amp;"},","")&amp;IF(AN2&lt;&gt;"","tCountdown={"&amp;_xlfn.TEXTJOIN("",TRUE,AN2:ZY2)&amp;"},","")&amp;"},",IF(C1&gt;0,"},","")&amp;IF(AND(B2="",C2="",OR(B1&lt;&gt;"",C1&lt;&gt;"")),"},}","")))</f>
        <v>[-19]={</v>
      </c>
    </row>
    <row r="3" spans="1:62" x14ac:dyDescent="0.15">
      <c r="C3">
        <v>2104</v>
      </c>
      <c r="D3">
        <v>1</v>
      </c>
      <c r="K3" t="s">
        <v>2593</v>
      </c>
      <c r="AM3" t="str">
        <f t="shared" si="0"/>
        <v>{dwID=2104,nLevel=1,szNote="一触即发·开启事件",[1]={},[2]={},tCountdown={{nClass=1,nIcon=13,nFrame=0,szName="拾取间隔",nTime=0,key="拾取间隔",},{nClass=1,nIcon=2399,nFrame=2,szName="召请CD·王遗风",nTime=-1,key="召请CD·王遗风",},{nClass=1,nIcon=2399,nFrame=2,szName="召请CD·肖药儿",nTime=-1,key="召请CD·肖药儿",},{nClass=1,nIcon=2399,nFrame=2,szName="召请CD·司徒一一",nTime=-1,key="召请CD·司徒一一",},{nClass=1,nIcon=2399,nFrame=2,szName="召请CD·陶寒亭",nTime=-1,key="召请CD·陶寒亭",},{nClass=1,nIcon=2399,nFrame=2,szName="召请CD·米丽古丽",nTime=-1,key="召请CD·米丽古丽",},{nClass=1,nIcon=2399,nFrame=2,szName="召请CD·白某",nTime=-1,key="召请CD·白某",},{nClass=1,nIcon=2399,nFrame=2,szName="召请CD·谢渊",nTime=-1,key="召请CD·谢渊",},{nClass=1,nIcon=2399,nFrame=2,szName="召请CD·月弄痕",nTime=-1,key="召请CD·月弄痕",},{nClass=1,nIcon=2399,nFrame=2,szName="召请CD·游驹",nTime=-1,key="召请CD·游驹",},{nClass=1,nIcon=2399,nFrame=2,szName="召请CD·小七",nTime=-1,key="召请CD·小七",},{nClass=1,nIcon=2399,nFrame=2,szName="召请CD·张桎辕",nTime=-1,key="召请CD·张桎辕",},{nClass=1,nIcon=2399,nFrame=2,szName="召请CD·司空仲平",nTime=-1,key="召请CD·司空仲平",},},},</v>
      </c>
      <c r="AN3" t="s">
        <v>2594</v>
      </c>
      <c r="AO3" t="s">
        <v>2595</v>
      </c>
      <c r="AP3" t="s">
        <v>2596</v>
      </c>
      <c r="AQ3" t="s">
        <v>2597</v>
      </c>
      <c r="AR3" t="s">
        <v>2598</v>
      </c>
      <c r="AS3" t="s">
        <v>2599</v>
      </c>
      <c r="AT3" t="s">
        <v>2600</v>
      </c>
      <c r="AU3" t="s">
        <v>2601</v>
      </c>
      <c r="AV3" t="s">
        <v>2602</v>
      </c>
      <c r="AW3" t="s">
        <v>2603</v>
      </c>
      <c r="AX3" t="s">
        <v>2604</v>
      </c>
      <c r="AY3" t="s">
        <v>2605</v>
      </c>
      <c r="AZ3" t="s">
        <v>2606</v>
      </c>
    </row>
    <row r="4" spans="1:62" x14ac:dyDescent="0.15">
      <c r="C4">
        <v>2105</v>
      </c>
      <c r="D4">
        <v>1</v>
      </c>
      <c r="K4" t="s">
        <v>2607</v>
      </c>
      <c r="AM4" t="str">
        <f t="shared" si="0"/>
        <v>{dwID=2105,nLevel=1,szNote="偃旗息鼓·结束时间",[1]={},[2]={},tCountdown={{nClass=2,nIcon=13,nFrame=0,szName="拾取间隔",nTime=0,key="拾取间隔",},{nClass=2,nIcon=13,nFrame=-1,szName="谢渊·月弄痕·减伤",nTime=-1,key="谢渊·月弄痕·减伤",},{nClass=2,nIcon=13,nFrame=-1,szName="谢渊·游驹·减伤",nTime=-1,key="谢渊·游驹·减伤",},{nClass=2,nIcon=13,nFrame=-1,szName="谢渊·小七·减伤",nTime=-1,key="谢渊·小七·减伤",},{nClass=2,nIcon=13,nFrame=-1,szName="谢渊·张桎辕·减伤",nTime=-1,key="谢渊·张桎辕·减伤",},{nClass=2,nIcon=13,nFrame=-1,szName="谢渊·司空仲平·减伤",nTime=-1,key="谢渊·司空仲平·减伤",},{nClass=2,nIcon=13,nFrame=-1,szName="王遗风·司徒一一·减伤",nTime=-1,key="王遗风·司徒一一·减伤",},{nClass=2,nIcon=13,nFrame=-1,szName="王遗风·白某·减伤",nTime=-1,key="王遗风·白某·减伤",},{nClass=2,nIcon=13,nFrame=-1,szName="王遗风·米丽古丽·减伤",nTime=-1,key="王遗风·米丽古丽·减伤",},{nClass=2,nIcon=13,nFrame=-1,szName="王遗风·陶寒亭·减伤",nTime=-1,key="王遗风·陶寒亭·减伤",},{nClass=2,nIcon=13,nFrame=-1,szName="王遗风·肖药儿·减伤",nTime=-1,key="王遗风·肖药儿·减伤",},{nClass=2,nIcon=13,nFrame=-1,szName="王遗风·伊夜·减伤",nTime=-1,key="王遗风·伊夜·减伤",},{nClass=2,nIcon=13,nFrame=-1,szName="王遗风·丁丁·减伤",nTime=-1,key="王遗风·丁丁·减伤",},{nClass=2,nIcon=13,nFrame=-1,szName="王遗风·岳琅·减伤",nTime=-1,key="王遗风·岳琅·减伤",},{nClass=2,nIcon=13,nFrame=-1,szName="王遗风·毕罗巴·减伤",nTime=-1,key="王遗风·毕罗巴·减伤",},{nClass=2,nIcon=13,nFrame=-1,szName="王遗风·烟·减伤",nTime=-1,key="王遗风·烟·减伤",},{nClass=2,nIcon=13,nFrame=-1,szName="王遗风·独孤修·减伤",nTime=-1,key="王遗风·独孤修·减伤",},{nClass=2,nIcon=13,nFrame=-1,szName="谢渊·韩非池·减伤",nTime=-1,key="谢渊·韩非池·减伤",},{nClass=2,nIcon=13,nFrame=-1,szName="谢渊·赵紫儿·减伤",nTime=-1,key="谢渊·赵紫儿·减伤",},{nClass=2,nIcon=13,nFrame=-1,szName="谢渊·叶镜池·减伤",nTime=-1,key="谢渊·叶镜池·减伤",},{nClass=2,nIcon=13,nFrame=-1,szName="谢渊·郭珠·减伤",nTime=-1,key="谢渊·郭珠·减伤",},{nClass=2,nIcon=13,nFrame=-1,szName="谢渊·穆玄英·减伤",nTime=-1,key="谢渊·穆玄英·减伤",},{nClass=2,nIcon=13,nFrame=-1,szName="谢渊·影·减伤",nTime=-1,key="谢渊·影·减伤",},},},</v>
      </c>
      <c r="AN4" t="s">
        <v>2608</v>
      </c>
      <c r="AO4" t="s">
        <v>2609</v>
      </c>
      <c r="AP4" t="s">
        <v>2610</v>
      </c>
      <c r="AQ4" t="s">
        <v>2611</v>
      </c>
      <c r="AR4" t="s">
        <v>2612</v>
      </c>
      <c r="AS4" t="s">
        <v>2613</v>
      </c>
      <c r="AT4" t="s">
        <v>2614</v>
      </c>
      <c r="AU4" t="s">
        <v>2615</v>
      </c>
      <c r="AV4" t="s">
        <v>2616</v>
      </c>
      <c r="AW4" t="s">
        <v>2617</v>
      </c>
      <c r="AX4" t="s">
        <v>2618</v>
      </c>
      <c r="AY4" t="s">
        <v>2619</v>
      </c>
      <c r="AZ4" t="s">
        <v>2620</v>
      </c>
      <c r="BA4" t="s">
        <v>2621</v>
      </c>
      <c r="BB4" t="s">
        <v>2622</v>
      </c>
      <c r="BC4" t="s">
        <v>2623</v>
      </c>
      <c r="BD4" t="s">
        <v>2624</v>
      </c>
      <c r="BE4" t="s">
        <v>2625</v>
      </c>
      <c r="BF4" t="s">
        <v>2626</v>
      </c>
      <c r="BG4" t="s">
        <v>2627</v>
      </c>
      <c r="BH4" t="s">
        <v>2628</v>
      </c>
      <c r="BI4" t="s">
        <v>2629</v>
      </c>
      <c r="BJ4" t="s">
        <v>2630</v>
      </c>
    </row>
    <row r="5" spans="1:62" x14ac:dyDescent="0.15">
      <c r="A5" t="s">
        <v>2107</v>
      </c>
      <c r="B5">
        <v>-15</v>
      </c>
      <c r="AM5" t="str">
        <f t="shared" si="0"/>
        <v>},[-15]={</v>
      </c>
    </row>
    <row r="6" spans="1:62" x14ac:dyDescent="0.15">
      <c r="C6">
        <v>18266</v>
      </c>
      <c r="D6">
        <v>1</v>
      </c>
      <c r="I6">
        <v>1</v>
      </c>
      <c r="L6" t="s">
        <v>2168</v>
      </c>
      <c r="R6">
        <v>1</v>
      </c>
      <c r="T6">
        <v>1</v>
      </c>
      <c r="AM6" t="str">
        <f t="shared" si="0"/>
        <v>{dwID=18266,nLevel=1,nScrutinyType=1,col={0,255,0,},[1]={bScreenHead=true,bBuffList=true,},[2]={},},</v>
      </c>
    </row>
    <row r="7" spans="1:62" x14ac:dyDescent="0.15">
      <c r="C7">
        <v>17136</v>
      </c>
      <c r="D7">
        <v>1</v>
      </c>
      <c r="F7">
        <v>12077</v>
      </c>
      <c r="G7" t="s">
        <v>2631</v>
      </c>
      <c r="K7" t="s">
        <v>499</v>
      </c>
      <c r="AM7" t="str">
        <f t="shared" si="0"/>
        <v>{dwID=17136,nLevel=1,nIcon=12077,szName="落花",szNote="管家技能_当前交互管家ID",[1]={},[2]={},},</v>
      </c>
    </row>
    <row r="8" spans="1:62" x14ac:dyDescent="0.15">
      <c r="C8">
        <v>27663</v>
      </c>
      <c r="D8">
        <v>1</v>
      </c>
      <c r="AM8" t="str">
        <f t="shared" si="0"/>
        <v>{dwID=27663,nLevel=1,[1]={},[2]={},},</v>
      </c>
    </row>
    <row r="9" spans="1:62" x14ac:dyDescent="0.15">
      <c r="C9">
        <v>27662</v>
      </c>
      <c r="D9">
        <v>1</v>
      </c>
      <c r="AM9" t="str">
        <f t="shared" si="0"/>
        <v>{dwID=27662,nLevel=1,[1]={},[2]={},},</v>
      </c>
    </row>
    <row r="10" spans="1:62" x14ac:dyDescent="0.15">
      <c r="C10">
        <v>27689</v>
      </c>
      <c r="D10">
        <v>1</v>
      </c>
      <c r="AM10" t="str">
        <f t="shared" si="0"/>
        <v>{dwID=27689,nLevel=1,[1]={},[2]={},},</v>
      </c>
    </row>
    <row r="11" spans="1:62" x14ac:dyDescent="0.15">
      <c r="C11">
        <v>16908</v>
      </c>
      <c r="D11">
        <v>1</v>
      </c>
      <c r="F11">
        <v>10221</v>
      </c>
      <c r="G11" t="s">
        <v>2632</v>
      </c>
      <c r="K11" t="s">
        <v>496</v>
      </c>
      <c r="L11" t="s">
        <v>2143</v>
      </c>
      <c r="AM11" t="str">
        <f t="shared" si="0"/>
        <v>{dwID=16908,nLevel=1,nIcon=10221,szName="偷花",szNote="偷菜次数限制",col={255,255,0,},[1]={},[2]={},},</v>
      </c>
    </row>
    <row r="12" spans="1:62" x14ac:dyDescent="0.15">
      <c r="C12">
        <v>19276</v>
      </c>
      <c r="D12">
        <v>1</v>
      </c>
      <c r="I12">
        <v>1</v>
      </c>
      <c r="T12">
        <v>1</v>
      </c>
      <c r="AM12" t="str">
        <f t="shared" si="0"/>
        <v>{dwID=19276,nLevel=1,nScrutinyType=1,[1]={bBuffList=true,},[2]={},},</v>
      </c>
    </row>
    <row r="13" spans="1:62" x14ac:dyDescent="0.15">
      <c r="C13">
        <v>17145</v>
      </c>
      <c r="D13">
        <v>1</v>
      </c>
      <c r="AM13" t="str">
        <f t="shared" si="0"/>
        <v>{dwID=17145,nLevel=1,[1]={},[2]={},},</v>
      </c>
    </row>
    <row r="14" spans="1:62" x14ac:dyDescent="0.15">
      <c r="C14">
        <v>19112</v>
      </c>
      <c r="D14">
        <v>1</v>
      </c>
      <c r="AM14" t="str">
        <f t="shared" si="0"/>
        <v>{dwID=19112,nLevel=1,[1]={},[2]={},},</v>
      </c>
    </row>
    <row r="15" spans="1:62" x14ac:dyDescent="0.15">
      <c r="C15">
        <v>17437</v>
      </c>
      <c r="D15">
        <v>1</v>
      </c>
      <c r="F15">
        <v>2573</v>
      </c>
      <c r="G15" t="s">
        <v>2633</v>
      </c>
      <c r="L15" t="s">
        <v>2143</v>
      </c>
      <c r="T15">
        <v>1</v>
      </c>
      <c r="AM15" t="str">
        <f t="shared" si="0"/>
        <v>{dwID=17437,nLevel=1,nIcon=2573,szName="召唤",col={255,255,0,},[1]={bBuffList=true,},[2]={},},</v>
      </c>
    </row>
    <row r="16" spans="1:62" x14ac:dyDescent="0.15">
      <c r="C16">
        <v>17178</v>
      </c>
      <c r="D16">
        <v>1</v>
      </c>
      <c r="T16">
        <v>1</v>
      </c>
      <c r="AD16" t="s">
        <v>2634</v>
      </c>
      <c r="AE16">
        <v>16</v>
      </c>
      <c r="AH16">
        <v>255</v>
      </c>
      <c r="AM16" t="str">
        <f t="shared" si="0"/>
        <v>{dwID=17178,nLevel=1,[1]={bBuffList=true,},[2]={},aCataclysmBuff={{szReminder="虚 虚弱攻击-50%",nPriority=16,nColAlpha=255,},},},</v>
      </c>
    </row>
    <row r="17" spans="1:40" x14ac:dyDescent="0.15">
      <c r="C17">
        <v>17378</v>
      </c>
      <c r="D17">
        <v>1</v>
      </c>
      <c r="I17">
        <v>1</v>
      </c>
      <c r="L17" t="s">
        <v>2143</v>
      </c>
      <c r="AM17" t="str">
        <f t="shared" si="0"/>
        <v>{dwID=17378,nLevel=1,nScrutinyType=1,col={255,255,0,},[1]={},[2]={},tCountdown={{nClass=1,nIcon=13,nFrame=4,szName="炊事剩余时间",nTime=60,key="炊事",},},},</v>
      </c>
      <c r="AN17" t="s">
        <v>2635</v>
      </c>
    </row>
    <row r="18" spans="1:40" x14ac:dyDescent="0.15">
      <c r="A18" t="s">
        <v>2114</v>
      </c>
      <c r="B18">
        <v>-11</v>
      </c>
      <c r="AM18" t="str">
        <f t="shared" si="0"/>
        <v>},[-11]={</v>
      </c>
    </row>
    <row r="19" spans="1:40" x14ac:dyDescent="0.15">
      <c r="C19">
        <v>18452</v>
      </c>
      <c r="D19">
        <v>1</v>
      </c>
      <c r="K19" t="s">
        <v>531</v>
      </c>
      <c r="AD19" t="s">
        <v>2636</v>
      </c>
      <c r="AE19">
        <v>1</v>
      </c>
      <c r="AH19">
        <v>255</v>
      </c>
      <c r="AM19" t="str">
        <f t="shared" si="0"/>
        <v>{dwID=18452,nLevel=1,szNote="乌蒙贵的挑唆",[1]={},[2]={},aCataclysmBuff={{szReminder="箱",nPriority=1,nColAlpha=255,},},},</v>
      </c>
    </row>
    <row r="20" spans="1:40" x14ac:dyDescent="0.15">
      <c r="C20">
        <v>12788</v>
      </c>
      <c r="D20">
        <v>1</v>
      </c>
      <c r="K20" t="s">
        <v>462</v>
      </c>
      <c r="AD20" t="s">
        <v>2636</v>
      </c>
      <c r="AE20">
        <v>1</v>
      </c>
      <c r="AH20">
        <v>255</v>
      </c>
      <c r="AM20" t="str">
        <f t="shared" si="0"/>
        <v>{dwID=12788,nLevel=1,szNote="图兰的挑唆",[1]={},[2]={},aCataclysmBuff={{szReminder="箱",nPriority=1,nColAlpha=255,},},},</v>
      </c>
    </row>
    <row r="21" spans="1:40" x14ac:dyDescent="0.15">
      <c r="C21">
        <v>15191</v>
      </c>
      <c r="D21">
        <v>1</v>
      </c>
      <c r="K21" t="s">
        <v>477</v>
      </c>
      <c r="AD21" t="s">
        <v>2636</v>
      </c>
      <c r="AE21">
        <v>1</v>
      </c>
      <c r="AH21">
        <v>255</v>
      </c>
      <c r="AM21" t="str">
        <f t="shared" si="0"/>
        <v>{dwID=15191,nLevel=1,szNote="曦凰的挑唆",[1]={},[2]={},aCataclysmBuff={{szReminder="箱",nPriority=1,nColAlpha=255,},},},</v>
      </c>
    </row>
    <row r="22" spans="1:40" x14ac:dyDescent="0.15">
      <c r="C22">
        <v>21193</v>
      </c>
      <c r="D22">
        <v>1</v>
      </c>
      <c r="K22" t="s">
        <v>552</v>
      </c>
      <c r="L22" t="s">
        <v>2228</v>
      </c>
      <c r="AD22" t="s">
        <v>2637</v>
      </c>
      <c r="AE22">
        <v>12</v>
      </c>
      <c r="AF22" t="s">
        <v>2230</v>
      </c>
      <c r="AH22">
        <v>255</v>
      </c>
      <c r="AM22" t="str">
        <f t="shared" si="0"/>
        <v>{dwID=21193,nLevel=1,szNote="深寒剑气",col={31,63,255,},[1]={},[2]={},aCataclysmBuff={{szReminder="冻 天原绝境蓝马匪定身",nPriority=12,col="#1F3FFFFF",nColAlpha=255,},},},</v>
      </c>
    </row>
    <row r="23" spans="1:40" x14ac:dyDescent="0.15">
      <c r="C23">
        <v>22386</v>
      </c>
      <c r="D23">
        <v>1</v>
      </c>
      <c r="K23" t="s">
        <v>564</v>
      </c>
      <c r="L23" t="s">
        <v>2133</v>
      </c>
      <c r="R23">
        <v>1</v>
      </c>
      <c r="AD23" t="s">
        <v>2638</v>
      </c>
      <c r="AE23">
        <v>3</v>
      </c>
      <c r="AF23" t="s">
        <v>2135</v>
      </c>
      <c r="AG23" t="s">
        <v>2136</v>
      </c>
      <c r="AH23">
        <v>255</v>
      </c>
      <c r="AI23">
        <v>1</v>
      </c>
      <c r="AJ23">
        <v>1</v>
      </c>
      <c r="AK23">
        <v>1</v>
      </c>
      <c r="AM23" t="str">
        <f t="shared" si="0"/>
        <v>{dwID=22386,nLevel=1,szNote="伪传·鸿蒙天禁",col={165,96,232,},[1]={bScreenHead=true,},[2]={},aCataclysmBuff={{szReminder="关 道具鸿蒙天禁隔离",nPriority=3,col="#FF0055FF",colScreenHead="#A560E8",nColAlpha=255,bAttention=true,bCaution=true,bScreenHead=true,},},},</v>
      </c>
    </row>
    <row r="24" spans="1:40" x14ac:dyDescent="0.15">
      <c r="C24">
        <v>22382</v>
      </c>
      <c r="D24">
        <v>1</v>
      </c>
      <c r="K24" t="s">
        <v>563</v>
      </c>
      <c r="L24" t="s">
        <v>2639</v>
      </c>
      <c r="R24">
        <v>1</v>
      </c>
      <c r="AD24" t="s">
        <v>2640</v>
      </c>
      <c r="AE24">
        <v>14</v>
      </c>
      <c r="AF24" t="s">
        <v>2641</v>
      </c>
      <c r="AG24" t="s">
        <v>2642</v>
      </c>
      <c r="AH24">
        <v>255</v>
      </c>
      <c r="AI24">
        <v>1</v>
      </c>
      <c r="AK24">
        <v>1</v>
      </c>
      <c r="AM24" t="str">
        <f t="shared" si="0"/>
        <v>{dwID=22382,nLevel=1,szNote="伪传·玄水蛊",col={255,153,204,},[1]={bScreenHead=true,},[2]={},aCataclysmBuff={{szReminder="弹 道具毒手反弹",nPriority=14,col="#FF99CCFF",colScreenHead="#FF99CC",nColAlpha=255,bAttention=true,bScreenHead=true,},},},</v>
      </c>
    </row>
    <row r="25" spans="1:40" x14ac:dyDescent="0.15">
      <c r="C25">
        <v>23968</v>
      </c>
      <c r="D25">
        <v>1</v>
      </c>
      <c r="K25" t="s">
        <v>575</v>
      </c>
      <c r="L25" t="s">
        <v>2133</v>
      </c>
      <c r="R25">
        <v>1</v>
      </c>
      <c r="AD25" t="s">
        <v>2643</v>
      </c>
      <c r="AE25">
        <v>4</v>
      </c>
      <c r="AF25" t="s">
        <v>2135</v>
      </c>
      <c r="AG25" t="s">
        <v>2136</v>
      </c>
      <c r="AH25">
        <v>255</v>
      </c>
      <c r="AI25">
        <v>1</v>
      </c>
      <c r="AJ25">
        <v>1</v>
      </c>
      <c r="AK25">
        <v>1</v>
      </c>
      <c r="AM25" t="str">
        <f t="shared" si="0"/>
        <v>{dwID=23968,nLevel=1,szNote="伪传·绛唇珠袖",col={165,96,232,},[1]={bScreenHead=true,},[2]={},aCataclysmBuff={{szReminder="默 道具绛唇珠袖沉默",nPriority=4,col="#FF0055FF",colScreenHead="#A560E8",nColAlpha=255,bAttention=true,bCaution=true,bScreenHead=true,},},},</v>
      </c>
    </row>
    <row r="26" spans="1:40" x14ac:dyDescent="0.15">
      <c r="C26">
        <v>24069</v>
      </c>
      <c r="D26">
        <v>1</v>
      </c>
      <c r="K26" t="s">
        <v>575</v>
      </c>
      <c r="L26" t="s">
        <v>2133</v>
      </c>
      <c r="R26">
        <v>1</v>
      </c>
      <c r="AD26" t="s">
        <v>2643</v>
      </c>
      <c r="AE26">
        <v>4</v>
      </c>
      <c r="AF26" t="s">
        <v>2135</v>
      </c>
      <c r="AG26" t="s">
        <v>2136</v>
      </c>
      <c r="AH26">
        <v>255</v>
      </c>
      <c r="AI26">
        <v>1</v>
      </c>
      <c r="AJ26">
        <v>1</v>
      </c>
      <c r="AK26">
        <v>1</v>
      </c>
      <c r="AM26" t="str">
        <f t="shared" si="0"/>
        <v>{dwID=24069,nLevel=1,szNote="伪传·绛唇珠袖",col={165,96,232,},[1]={bScreenHead=true,},[2]={},aCataclysmBuff={{szReminder="默 道具绛唇珠袖沉默",nPriority=4,col="#FF0055FF",colScreenHead="#A560E8",nColAlpha=255,bAttention=true,bCaution=true,bScreenHead=true,},},},</v>
      </c>
    </row>
    <row r="27" spans="1:40" x14ac:dyDescent="0.15">
      <c r="C27">
        <v>24064</v>
      </c>
      <c r="D27">
        <v>1</v>
      </c>
      <c r="K27" t="s">
        <v>578</v>
      </c>
      <c r="L27" t="s">
        <v>2133</v>
      </c>
      <c r="R27">
        <v>1</v>
      </c>
      <c r="AD27" t="s">
        <v>2644</v>
      </c>
      <c r="AE27">
        <v>4</v>
      </c>
      <c r="AF27" t="s">
        <v>2135</v>
      </c>
      <c r="AG27" t="s">
        <v>2136</v>
      </c>
      <c r="AH27">
        <v>255</v>
      </c>
      <c r="AI27">
        <v>1</v>
      </c>
      <c r="AJ27">
        <v>1</v>
      </c>
      <c r="AK27">
        <v>1</v>
      </c>
      <c r="AM27" t="str">
        <f t="shared" si="0"/>
        <v>{dwID=24064,nLevel=1,szNote="伪传·傍花随柳",col={165,96,232,},[1]={bScreenHead=true,},[2]={},aCataclysmBuff={{szReminder="默 道具傍花随柳沉默",nPriority=4,col="#FF0055FF",colScreenHead="#A560E8",nColAlpha=255,bAttention=true,bCaution=true,bScreenHead=true,},},},</v>
      </c>
    </row>
    <row r="28" spans="1:40" x14ac:dyDescent="0.15">
      <c r="C28">
        <v>23972</v>
      </c>
      <c r="D28">
        <v>1</v>
      </c>
      <c r="K28" t="s">
        <v>576</v>
      </c>
      <c r="L28" t="s">
        <v>2228</v>
      </c>
      <c r="R28">
        <v>1</v>
      </c>
      <c r="AD28" t="s">
        <v>2645</v>
      </c>
      <c r="AE28">
        <v>12</v>
      </c>
      <c r="AF28" t="s">
        <v>2230</v>
      </c>
      <c r="AG28" t="s">
        <v>2231</v>
      </c>
      <c r="AH28">
        <v>255</v>
      </c>
      <c r="AI28">
        <v>1</v>
      </c>
      <c r="AJ28">
        <v>1</v>
      </c>
      <c r="AK28">
        <v>1</v>
      </c>
      <c r="AM28" t="str">
        <f t="shared" si="0"/>
        <v>{dwID=23972,nLevel=1,szNote="伪传·幻蛊",col={31,63,255,},[1]={bScreenHead=true,},[2]={},aCataclysmBuff={{szReminder="定 道具幻蛊定身",nPriority=12,col="#1F3FFFFF",colScreenHead="#1F3FFF",nColAlpha=255,bAttention=true,bCaution=true,bScreenHead=true,},},},</v>
      </c>
    </row>
    <row r="29" spans="1:40" x14ac:dyDescent="0.15">
      <c r="C29">
        <v>20359</v>
      </c>
      <c r="D29">
        <v>1</v>
      </c>
      <c r="K29" t="s">
        <v>540</v>
      </c>
      <c r="L29" t="s">
        <v>2115</v>
      </c>
      <c r="R29">
        <v>1</v>
      </c>
      <c r="AD29" t="s">
        <v>2646</v>
      </c>
      <c r="AE29">
        <v>2</v>
      </c>
      <c r="AF29" t="s">
        <v>2117</v>
      </c>
      <c r="AG29" t="s">
        <v>2132</v>
      </c>
      <c r="AH29">
        <v>255</v>
      </c>
      <c r="AK29">
        <v>1</v>
      </c>
      <c r="AM29" t="str">
        <f t="shared" si="0"/>
        <v>{dwID=20359,nLevel=1,szNote="伪·九霄风雷",col={255,204,0,},[1]={bScreenHead=true,},[2]={},aCataclysmBuff={{szReminder="九 道具九霄风雷无敌",nPriority=2,col="#FFCC00FF",colScreenHead="#FFCC00",nColAlpha=255,bScreenHead=true,},},},</v>
      </c>
    </row>
    <row r="30" spans="1:40" x14ac:dyDescent="0.15">
      <c r="C30">
        <v>20351</v>
      </c>
      <c r="D30">
        <v>1</v>
      </c>
      <c r="K30" t="s">
        <v>324</v>
      </c>
      <c r="L30" t="s">
        <v>2228</v>
      </c>
      <c r="R30">
        <v>1</v>
      </c>
      <c r="AD30" t="s">
        <v>2647</v>
      </c>
      <c r="AE30">
        <v>12</v>
      </c>
      <c r="AF30" t="s">
        <v>2230</v>
      </c>
      <c r="AG30" t="s">
        <v>2231</v>
      </c>
      <c r="AH30">
        <v>255</v>
      </c>
      <c r="AK30">
        <v>1</v>
      </c>
      <c r="AM30" t="str">
        <f t="shared" si="0"/>
        <v>{dwID=20351,nLevel=1,szNote="破势",col={31,63,255,},[1]={bScreenHead=true,},[2]={},aCataclysmBuff={{szReminder="定 道具人剑定身",nPriority=12,col="#1F3FFFFF",colScreenHead="#1F3FFF",nColAlpha=255,bScreenHead=true,},},},</v>
      </c>
    </row>
    <row r="31" spans="1:40" x14ac:dyDescent="0.15">
      <c r="C31">
        <v>22301</v>
      </c>
      <c r="D31">
        <v>1</v>
      </c>
      <c r="K31" t="s">
        <v>382</v>
      </c>
      <c r="L31" t="s">
        <v>2228</v>
      </c>
      <c r="AD31" t="s">
        <v>2648</v>
      </c>
      <c r="AE31">
        <v>12</v>
      </c>
      <c r="AF31" t="s">
        <v>2230</v>
      </c>
      <c r="AH31">
        <v>255</v>
      </c>
      <c r="AM31" t="str">
        <f t="shared" si="0"/>
        <v>{dwID=22301,nLevel=1,szNote="极乐引",col={31,63,255,},[1]={},[2]={},aCataclysmBuff={{szReminder="晕 道具极乐引眩晕",nPriority=12,col="#1F3FFFFF",nColAlpha=255,},},},</v>
      </c>
    </row>
    <row r="32" spans="1:40" x14ac:dyDescent="0.15">
      <c r="C32">
        <v>20233</v>
      </c>
      <c r="D32">
        <v>1</v>
      </c>
      <c r="K32" t="s">
        <v>410</v>
      </c>
      <c r="L32" t="s">
        <v>2228</v>
      </c>
      <c r="AD32" t="s">
        <v>2649</v>
      </c>
      <c r="AE32">
        <v>12</v>
      </c>
      <c r="AF32" t="s">
        <v>2230</v>
      </c>
      <c r="AH32">
        <v>255</v>
      </c>
      <c r="AM32" t="str">
        <f t="shared" si="0"/>
        <v>{dwID=20233,nLevel=1,szNote="撼地",col={31,63,255,},[1]={},[2]={},aCataclysmBuff={{szReminder="晕 道具撼地眩晕",nPriority=12,col="#1F3FFFFF",nColAlpha=255,},},},</v>
      </c>
    </row>
    <row r="33" spans="1:41" x14ac:dyDescent="0.15">
      <c r="C33">
        <v>22387</v>
      </c>
      <c r="D33">
        <v>1</v>
      </c>
      <c r="K33" t="s">
        <v>351</v>
      </c>
      <c r="L33" t="s">
        <v>2133</v>
      </c>
      <c r="R33">
        <v>1</v>
      </c>
      <c r="AD33" t="s">
        <v>2650</v>
      </c>
      <c r="AE33">
        <v>4</v>
      </c>
      <c r="AF33" t="s">
        <v>2135</v>
      </c>
      <c r="AG33" t="s">
        <v>2136</v>
      </c>
      <c r="AH33">
        <v>255</v>
      </c>
      <c r="AI33">
        <v>1</v>
      </c>
      <c r="AK33">
        <v>1</v>
      </c>
      <c r="AM33" t="str">
        <f t="shared" si="0"/>
        <v>{dwID=22387,nLevel=1,szNote="剑破虚空",col={165,96,232,},[1]={bScreenHead=true,},[2]={},aCataclysmBuff={{szReminder="封 道具_剑破封内",nPriority=4,col="#FF0055FF",colScreenHead="#A560E8",nColAlpha=255,bAttention=true,bScreenHead=true,},},},</v>
      </c>
    </row>
    <row r="34" spans="1:41" x14ac:dyDescent="0.15">
      <c r="C34">
        <v>20277</v>
      </c>
      <c r="D34">
        <v>1</v>
      </c>
      <c r="K34" t="s">
        <v>290</v>
      </c>
      <c r="L34" t="s">
        <v>2133</v>
      </c>
      <c r="R34">
        <v>1</v>
      </c>
      <c r="AD34" t="s">
        <v>2651</v>
      </c>
      <c r="AE34">
        <v>4</v>
      </c>
      <c r="AF34" t="s">
        <v>2135</v>
      </c>
      <c r="AG34" t="s">
        <v>2136</v>
      </c>
      <c r="AH34">
        <v>255</v>
      </c>
      <c r="AI34">
        <v>1</v>
      </c>
      <c r="AJ34">
        <v>1</v>
      </c>
      <c r="AK34">
        <v>1</v>
      </c>
      <c r="AM34" t="str">
        <f t="shared" si="0"/>
        <v>{dwID=20277,nLevel=1,szNote="抢珠式",col={165,96,232,},[1]={bScreenHead=true,},[2]={},aCataclysmBuff={{szReminder="封 道具_抢珠式封内",nPriority=4,col="#FF0055FF",colScreenHead="#A560E8",nColAlpha=255,bAttention=true,bCaution=true,bScreenHead=true,},},},</v>
      </c>
    </row>
    <row r="35" spans="1:41" x14ac:dyDescent="0.15">
      <c r="A35" t="s">
        <v>2142</v>
      </c>
      <c r="B35">
        <v>-7</v>
      </c>
      <c r="AM35" t="str">
        <f t="shared" si="0"/>
        <v>},[-7]={</v>
      </c>
    </row>
    <row r="36" spans="1:41" x14ac:dyDescent="0.15">
      <c r="C36">
        <v>24143</v>
      </c>
      <c r="D36">
        <v>1</v>
      </c>
      <c r="F36">
        <v>13670</v>
      </c>
      <c r="G36" t="s">
        <v>2652</v>
      </c>
      <c r="I36">
        <v>1</v>
      </c>
      <c r="J36" t="s">
        <v>2149</v>
      </c>
      <c r="K36" t="s">
        <v>2653</v>
      </c>
      <c r="L36" t="s">
        <v>2143</v>
      </c>
      <c r="T36">
        <v>1</v>
      </c>
      <c r="AM36" t="str">
        <f t="shared" si="0"/>
        <v>{dwID=24143,nLevel=1,nIcon=13670,szName="黑1",nScrutinyType=1,tKungFu={["SKILL#10021"]=true,["SKILL#10028"]=true,},szNote="万花·黑子1",col={255,255,0,},[1]={bBuffList=true,},[2]={},tCountdown={{nClass=2,nIcon=13670,nFrame=5,szName="万花·黑棋",nTime=0,key="万花·黑棋",},{nClass=1,nIcon=13670,nFrame=6,szName="万花·黑棋1",nTime=12,key="万花·黑棋",},},},</v>
      </c>
      <c r="AN36" t="s">
        <v>2654</v>
      </c>
      <c r="AO36" t="s">
        <v>2655</v>
      </c>
    </row>
    <row r="37" spans="1:41" x14ac:dyDescent="0.15">
      <c r="C37">
        <v>24138</v>
      </c>
      <c r="D37">
        <v>1</v>
      </c>
      <c r="F37">
        <v>13669</v>
      </c>
      <c r="G37" t="s">
        <v>2656</v>
      </c>
      <c r="I37">
        <v>1</v>
      </c>
      <c r="J37" t="s">
        <v>2149</v>
      </c>
      <c r="K37" t="s">
        <v>2657</v>
      </c>
      <c r="L37" t="s">
        <v>2143</v>
      </c>
      <c r="T37">
        <v>1</v>
      </c>
      <c r="AM37" t="str">
        <f t="shared" si="0"/>
        <v>{dwID=24138,nLevel=1,nIcon=13669,szName="白1",nScrutinyType=1,tKungFu={["SKILL#10021"]=true,["SKILL#10028"]=true,},szNote="万花·白子1",col={255,255,0,},[1]={bBuffList=true,},[2]={},tCountdown={{nClass=2,nIcon=13669,nFrame=5,szName="万花·白棋",nTime=0,key="万花·白棋",},{nClass=1,nIcon=13669,nFrame=6,szName="万花·白棋1",nTime=12,key="万花·白棋",},},},</v>
      </c>
      <c r="AN37" t="s">
        <v>2658</v>
      </c>
      <c r="AO37" t="s">
        <v>2659</v>
      </c>
    </row>
    <row r="38" spans="1:41" x14ac:dyDescent="0.15">
      <c r="C38">
        <v>10962</v>
      </c>
      <c r="D38">
        <v>1</v>
      </c>
      <c r="I38">
        <v>1</v>
      </c>
      <c r="L38" t="s">
        <v>2143</v>
      </c>
      <c r="AM38" t="str">
        <f t="shared" si="0"/>
        <v>{dwID=10962,nLevel=1,nScrutinyType=1,col={255,255,0,},[1]={},[2]={},tCountdown={{nClass=1,nIcon=115,nFrame=5,szName="阿飞送货·开始",nTime=2,key="阿飞送货",},{nClass=2,nIcon=115,nFrame=5,szName="阿飞送货·完成",nTime=2,key="阿飞送货",},},},</v>
      </c>
      <c r="AN38" t="s">
        <v>2660</v>
      </c>
      <c r="AO38" t="s">
        <v>2661</v>
      </c>
    </row>
    <row r="39" spans="1:41" x14ac:dyDescent="0.15">
      <c r="C39">
        <v>11561</v>
      </c>
      <c r="D39">
        <v>1</v>
      </c>
      <c r="G39" t="s">
        <v>2662</v>
      </c>
      <c r="L39" t="s">
        <v>2663</v>
      </c>
      <c r="AM39" t="str">
        <f t="shared" si="0"/>
        <v>{dwID=11561,nLevel=1,szName="据点内",col={255,255,31,},[1]={},[2]={},},</v>
      </c>
    </row>
    <row r="40" spans="1:41" x14ac:dyDescent="0.15">
      <c r="C40">
        <v>10849</v>
      </c>
      <c r="D40">
        <v>1</v>
      </c>
      <c r="L40" t="s">
        <v>2664</v>
      </c>
      <c r="R40">
        <v>1</v>
      </c>
      <c r="T40">
        <v>1</v>
      </c>
      <c r="AD40" t="s">
        <v>2665</v>
      </c>
      <c r="AE40">
        <v>12</v>
      </c>
      <c r="AF40" t="s">
        <v>2666</v>
      </c>
      <c r="AH40">
        <v>255</v>
      </c>
      <c r="AI40">
        <v>1</v>
      </c>
      <c r="AJ40">
        <v>1</v>
      </c>
      <c r="AK40">
        <v>1</v>
      </c>
      <c r="AM40" t="str">
        <f t="shared" si="0"/>
        <v>{dwID=10849,nLevel=1,col={0,85,255,},[1]={bScreenHead=true,bBuffList=true,},[2]={},aCataclysmBuff={{szReminder="定 绿林_陷阱定身",nPriority=12,col="#0055FFFF",nColAlpha=255,bAttention=true,bCaution=true,bScreenHead=true,},},},</v>
      </c>
    </row>
    <row r="41" spans="1:41" x14ac:dyDescent="0.15">
      <c r="C41">
        <v>12784</v>
      </c>
      <c r="D41">
        <v>1</v>
      </c>
      <c r="K41" t="s">
        <v>385</v>
      </c>
      <c r="AD41" t="s">
        <v>2667</v>
      </c>
      <c r="AE41">
        <v>30</v>
      </c>
      <c r="AH41">
        <v>255</v>
      </c>
      <c r="AM41" t="str">
        <f t="shared" si="0"/>
        <v>{dwID=12784,nLevel=1,szNote="逃兵",[1]={},[2]={},aCataclysmBuff={{szReminder="逃 无法参加部分PVP玩法",nPriority=30,nColAlpha=255,},},},</v>
      </c>
    </row>
    <row r="42" spans="1:41" x14ac:dyDescent="0.15">
      <c r="C42">
        <v>12800</v>
      </c>
      <c r="D42">
        <v>2</v>
      </c>
      <c r="H42">
        <v>1</v>
      </c>
      <c r="K42" t="s">
        <v>385</v>
      </c>
      <c r="AD42" t="s">
        <v>2668</v>
      </c>
      <c r="AE42">
        <v>30</v>
      </c>
      <c r="AH42">
        <v>255</v>
      </c>
      <c r="AM42" t="str">
        <f t="shared" si="0"/>
        <v>{dwID=12800,nLevel=2,bCheckLevel=true,szNote="逃兵",[1]={},[2]={},aCataclysmBuff={{szReminder="逃 战场无法排队",nPriority=30,nColAlpha=255,},},},</v>
      </c>
    </row>
    <row r="43" spans="1:41" x14ac:dyDescent="0.15">
      <c r="C43">
        <v>12821</v>
      </c>
      <c r="D43">
        <v>1</v>
      </c>
      <c r="K43" t="s">
        <v>385</v>
      </c>
      <c r="AD43" t="s">
        <v>2668</v>
      </c>
      <c r="AE43">
        <v>30</v>
      </c>
      <c r="AH43">
        <v>255</v>
      </c>
      <c r="AM43" t="str">
        <f t="shared" si="0"/>
        <v>{dwID=12821,nLevel=1,szNote="逃兵",[1]={},[2]={},aCataclysmBuff={{szReminder="逃 战场无法排队",nPriority=30,nColAlpha=255,},},},</v>
      </c>
    </row>
    <row r="44" spans="1:41" x14ac:dyDescent="0.15">
      <c r="C44">
        <v>15082</v>
      </c>
      <c r="D44">
        <v>1</v>
      </c>
      <c r="K44" t="s">
        <v>385</v>
      </c>
      <c r="AD44" t="s">
        <v>2669</v>
      </c>
      <c r="AE44">
        <v>30</v>
      </c>
      <c r="AH44">
        <v>255</v>
      </c>
      <c r="AM44" t="str">
        <f t="shared" si="0"/>
        <v>{dwID=15082,nLevel=1,szNote="逃兵",[1]={},[2]={},aCataclysmBuff={{szReminder="逃 野狸岛无法排队",nPriority=30,nColAlpha=255,},},},</v>
      </c>
    </row>
    <row r="45" spans="1:41" x14ac:dyDescent="0.15">
      <c r="C45">
        <v>15084</v>
      </c>
      <c r="D45">
        <v>1</v>
      </c>
      <c r="K45" t="s">
        <v>385</v>
      </c>
      <c r="AD45" t="s">
        <v>2669</v>
      </c>
      <c r="AE45">
        <v>30</v>
      </c>
      <c r="AH45">
        <v>255</v>
      </c>
      <c r="AM45" t="str">
        <f t="shared" si="0"/>
        <v>{dwID=15084,nLevel=1,szNote="逃兵",[1]={},[2]={},aCataclysmBuff={{szReminder="逃 野狸岛无法排队",nPriority=30,nColAlpha=255,},},},</v>
      </c>
    </row>
    <row r="46" spans="1:41" x14ac:dyDescent="0.15">
      <c r="C46">
        <v>8807</v>
      </c>
      <c r="D46">
        <v>4</v>
      </c>
      <c r="AM46" t="str">
        <f t="shared" si="0"/>
        <v>{dwID=8807,nLevel=4,[1]={},[2]={},},</v>
      </c>
    </row>
    <row r="47" spans="1:41" x14ac:dyDescent="0.15">
      <c r="C47">
        <v>11579</v>
      </c>
      <c r="D47">
        <v>1</v>
      </c>
      <c r="AM47" t="str">
        <f t="shared" si="0"/>
        <v>{dwID=11579,nLevel=1,[1]={},[2]={},},</v>
      </c>
    </row>
    <row r="48" spans="1:41" x14ac:dyDescent="0.15">
      <c r="C48">
        <v>8609</v>
      </c>
      <c r="D48">
        <v>1</v>
      </c>
      <c r="F48">
        <v>12450</v>
      </c>
      <c r="I48">
        <v>1</v>
      </c>
      <c r="AM48" t="str">
        <f t="shared" si="0"/>
        <v>{dwID=8609,nLevel=1,nIcon=12450,nScrutinyType=1,[1]={},[2]={},},</v>
      </c>
    </row>
    <row r="49" spans="1:40" x14ac:dyDescent="0.15">
      <c r="C49">
        <v>18080</v>
      </c>
      <c r="D49">
        <v>1</v>
      </c>
      <c r="F49">
        <v>3557</v>
      </c>
      <c r="G49" t="s">
        <v>2670</v>
      </c>
      <c r="K49" t="s">
        <v>524</v>
      </c>
      <c r="L49" t="s">
        <v>2143</v>
      </c>
      <c r="T49">
        <v>1</v>
      </c>
      <c r="AM49" t="str">
        <f t="shared" si="0"/>
        <v>{dwID=18080,nLevel=1,nIcon=3557,szName="已拾取",szNote="阵营日常_拾取CD1",col={255,255,0,},[1]={bBuffList=true,},[2]={},},</v>
      </c>
    </row>
    <row r="50" spans="1:40" x14ac:dyDescent="0.15">
      <c r="C50">
        <v>11509</v>
      </c>
      <c r="D50">
        <v>1</v>
      </c>
      <c r="F50">
        <v>8317</v>
      </c>
      <c r="G50" t="s">
        <v>384</v>
      </c>
      <c r="K50" t="s">
        <v>453</v>
      </c>
      <c r="AM50" t="str">
        <f t="shared" si="0"/>
        <v>{dwID=11509,nLevel=1,nIcon=8317,szName="虎啸",szNote="雇主被击杀",[1]={},[2]={},},</v>
      </c>
    </row>
    <row r="51" spans="1:40" x14ac:dyDescent="0.15">
      <c r="C51">
        <v>17378</v>
      </c>
      <c r="D51">
        <v>1</v>
      </c>
      <c r="I51">
        <v>1</v>
      </c>
      <c r="L51" t="s">
        <v>2143</v>
      </c>
      <c r="AM51" t="str">
        <f t="shared" si="0"/>
        <v>{dwID=17378,nLevel=1,nScrutinyType=1,col={255,255,0,},[1]={},[2]={},},</v>
      </c>
    </row>
    <row r="52" spans="1:40" x14ac:dyDescent="0.15">
      <c r="C52">
        <v>9982</v>
      </c>
      <c r="D52">
        <v>1</v>
      </c>
      <c r="I52">
        <v>2</v>
      </c>
      <c r="L52" t="s">
        <v>2305</v>
      </c>
      <c r="S52">
        <v>1</v>
      </c>
      <c r="AD52" t="s">
        <v>2671</v>
      </c>
      <c r="AE52">
        <v>5</v>
      </c>
      <c r="AF52" t="s">
        <v>2672</v>
      </c>
      <c r="AG52" t="s">
        <v>2307</v>
      </c>
      <c r="AH52">
        <v>255</v>
      </c>
      <c r="AM52" t="str">
        <f t="shared" si="0"/>
        <v>{dwID=9982,nLevel=1,nScrutinyType=2,col={255,255,255,},[1]={bPartyBuffList=true,},[2]={},aCataclysmBuff={{szReminder="镖 运货首领",nPriority=5,col="#FFFFFFFF",colScreenHead="#FFFFFF",nColAlpha=255,},},},</v>
      </c>
    </row>
    <row r="53" spans="1:40" x14ac:dyDescent="0.15">
      <c r="A53" t="s">
        <v>2673</v>
      </c>
      <c r="B53">
        <v>-6</v>
      </c>
      <c r="AM53" t="str">
        <f t="shared" si="0"/>
        <v>},[-6]={</v>
      </c>
    </row>
    <row r="54" spans="1:40" x14ac:dyDescent="0.15">
      <c r="C54">
        <v>16791</v>
      </c>
      <c r="D54">
        <v>1</v>
      </c>
      <c r="F54">
        <v>12849</v>
      </c>
      <c r="G54" t="s">
        <v>2674</v>
      </c>
      <c r="I54">
        <v>1</v>
      </c>
      <c r="L54" t="s">
        <v>2675</v>
      </c>
      <c r="T54">
        <v>1</v>
      </c>
      <c r="AM54" t="str">
        <f t="shared" si="0"/>
        <v>{dwID=16791,nLevel=1,nIcon=12849,szName="舞众生",nScrutinyType=1,col={255,45,45,},[1]={bBuffList=true,},[2]={},},</v>
      </c>
    </row>
    <row r="55" spans="1:40" x14ac:dyDescent="0.15">
      <c r="A55" t="s">
        <v>2173</v>
      </c>
      <c r="B55">
        <v>-5</v>
      </c>
      <c r="AM55" t="str">
        <f t="shared" si="0"/>
        <v>},[-5]={</v>
      </c>
    </row>
    <row r="56" spans="1:40" x14ac:dyDescent="0.15">
      <c r="C56">
        <v>20855</v>
      </c>
      <c r="D56">
        <v>1</v>
      </c>
      <c r="I56">
        <v>1</v>
      </c>
      <c r="J56" t="s">
        <v>2176</v>
      </c>
      <c r="L56" t="s">
        <v>2676</v>
      </c>
      <c r="AM56" t="str">
        <f t="shared" si="0"/>
        <v>{dwID=20855,nLevel=1,nScrutinyType=1,tKungFu={["SKILL#10626"]=true,},col={255,50,50,},[1]={},[2]={},tCountdown={{nClass=2,nIcon=15692,nFrame=0,szName="",nTime="4,【{$sender}】·落黄;5,【{$sender}】·补飘黄;6,【{$sender}】·补飘黄,VO:ShiYongTeShuJiNeng;8,【{$sender}】·补飘黄",nRefresh=10,key="KEY·飘黄",},},},</v>
      </c>
      <c r="AN56" t="s">
        <v>2677</v>
      </c>
    </row>
    <row r="57" spans="1:40" x14ac:dyDescent="0.15">
      <c r="A57" t="s">
        <v>2178</v>
      </c>
      <c r="B57">
        <v>-4</v>
      </c>
      <c r="AM57" t="str">
        <f t="shared" si="0"/>
        <v>},[-4]={</v>
      </c>
    </row>
    <row r="58" spans="1:40" x14ac:dyDescent="0.15">
      <c r="C58">
        <v>20855</v>
      </c>
      <c r="D58">
        <v>1</v>
      </c>
      <c r="I58">
        <v>1</v>
      </c>
      <c r="J58" t="s">
        <v>2176</v>
      </c>
      <c r="L58" t="s">
        <v>2676</v>
      </c>
      <c r="AM58" t="str">
        <f t="shared" si="0"/>
        <v>{dwID=20855,nLevel=1,nScrutinyType=1,tKungFu={["SKILL#10626"]=true,},col={255,50,50,},[1]={},[2]={},tCountdown={{nClass=2,nIcon=15692,nFrame=0,szName="",nTime="4,【{$sender}】·落黄;5,【{$sender}】·补飘黄;6,【{$sender}】·补飘黄,VO:ShiYongTeShuJiNeng;8,【{$sender}】·补飘黄",nRefresh=10,key="KEY·飘黄",},},},</v>
      </c>
      <c r="AN58" t="s">
        <v>2677</v>
      </c>
    </row>
    <row r="59" spans="1:40" x14ac:dyDescent="0.15">
      <c r="A59" t="s">
        <v>2179</v>
      </c>
      <c r="B59">
        <v>-3</v>
      </c>
      <c r="AM59" t="str">
        <f t="shared" si="0"/>
        <v>},[-3]={</v>
      </c>
    </row>
    <row r="60" spans="1:40" x14ac:dyDescent="0.15">
      <c r="C60">
        <v>24143</v>
      </c>
      <c r="D60">
        <v>1</v>
      </c>
      <c r="F60">
        <v>13670</v>
      </c>
      <c r="G60" t="s">
        <v>2652</v>
      </c>
      <c r="I60">
        <v>1</v>
      </c>
      <c r="K60" t="s">
        <v>2653</v>
      </c>
      <c r="L60" t="s">
        <v>2143</v>
      </c>
      <c r="T60">
        <v>1</v>
      </c>
      <c r="AM60" t="str">
        <f t="shared" si="0"/>
        <v>{dwID=24143,nLevel=1,nIcon=13670,szName="黑1",nScrutinyType=1,szNote="万花·黑子1",col={255,255,0,},[1]={bBuffList=true,},[2]={},},</v>
      </c>
    </row>
    <row r="61" spans="1:40" x14ac:dyDescent="0.15">
      <c r="C61">
        <v>24138</v>
      </c>
      <c r="D61">
        <v>1</v>
      </c>
      <c r="F61">
        <v>13669</v>
      </c>
      <c r="G61" t="s">
        <v>2656</v>
      </c>
      <c r="I61">
        <v>1</v>
      </c>
      <c r="K61" t="s">
        <v>2657</v>
      </c>
      <c r="L61" t="s">
        <v>2143</v>
      </c>
      <c r="T61">
        <v>1</v>
      </c>
      <c r="AM61" t="str">
        <f t="shared" si="0"/>
        <v>{dwID=24138,nLevel=1,nIcon=13669,szName="白1",nScrutinyType=1,szNote="万花·白子1",col={255,255,0,},[1]={bBuffList=true,},[2]={},},</v>
      </c>
    </row>
    <row r="62" spans="1:40" x14ac:dyDescent="0.15">
      <c r="C62">
        <v>20855</v>
      </c>
      <c r="D62">
        <v>1</v>
      </c>
      <c r="I62">
        <v>1</v>
      </c>
      <c r="J62" t="s">
        <v>2176</v>
      </c>
      <c r="L62" t="s">
        <v>2676</v>
      </c>
      <c r="AM62" t="str">
        <f t="shared" si="0"/>
        <v>{dwID=20855,nLevel=1,nScrutinyType=1,tKungFu={["SKILL#10626"]=true,},col={255,50,50,},[1]={},[2]={},tCountdown={{nClass=2,nIcon=15692,nFrame=0,szName="",nTime="4,【{$sender}】·落黄;5,【{$sender}】·补飘黄;6,【{$sender}】·补飘黄,VO:ShiYongTeShuJiNeng;8,【{$sender}】·补飘黄",nRefresh=10,key="KEY·飘黄",},},},</v>
      </c>
      <c r="AN62" t="s">
        <v>2677</v>
      </c>
    </row>
    <row r="63" spans="1:40" x14ac:dyDescent="0.15">
      <c r="C63">
        <v>25191</v>
      </c>
      <c r="D63">
        <v>1</v>
      </c>
      <c r="T63">
        <v>1</v>
      </c>
      <c r="U63">
        <v>1</v>
      </c>
      <c r="AM63" t="str">
        <f t="shared" si="0"/>
        <v>{dwID=25191,nLevel=1,[1]={bBuffList=true,bTeamPanel=true,},[2]={},},</v>
      </c>
    </row>
    <row r="64" spans="1:40" x14ac:dyDescent="0.15">
      <c r="C64">
        <v>26986</v>
      </c>
      <c r="D64">
        <v>1</v>
      </c>
      <c r="AB64">
        <v>1</v>
      </c>
      <c r="AD64" t="s">
        <v>2678</v>
      </c>
      <c r="AE64">
        <v>5</v>
      </c>
      <c r="AF64" t="s">
        <v>2196</v>
      </c>
      <c r="AH64">
        <v>255</v>
      </c>
      <c r="AI64">
        <v>1</v>
      </c>
      <c r="AM64" t="str">
        <f t="shared" si="0"/>
        <v>{dwID=26986,nLevel=1,[1]={},[2]={},aCataclysmBuff={{bOnlyMine=true,szReminder="音 奶歌奇穴音尘标记",nPriority=5,col="#00EE00FF",nColAlpha=255,bAttention=true,},},},</v>
      </c>
    </row>
    <row r="65" spans="3:40" x14ac:dyDescent="0.15">
      <c r="C65">
        <v>2316</v>
      </c>
      <c r="D65">
        <v>1</v>
      </c>
      <c r="AB65">
        <v>1</v>
      </c>
      <c r="AD65" t="s">
        <v>2679</v>
      </c>
      <c r="AE65">
        <v>5</v>
      </c>
      <c r="AF65" t="s">
        <v>2196</v>
      </c>
      <c r="AH65">
        <v>255</v>
      </c>
      <c r="AI65">
        <v>1</v>
      </c>
      <c r="AM65" t="str">
        <f t="shared" si="0"/>
        <v>{dwID=2316,nLevel=1,[1]={},[2]={},aCataclysmBuff={{bOnlyMine=true,szReminder="蛊 奶毒技能蛊惑增疗",nPriority=5,col="#00EE00FF",nColAlpha=255,bAttention=true,},},},</v>
      </c>
    </row>
    <row r="66" spans="3:40" x14ac:dyDescent="0.15">
      <c r="C66">
        <v>11584</v>
      </c>
      <c r="D66">
        <v>1</v>
      </c>
      <c r="I66">
        <v>1</v>
      </c>
      <c r="K66" t="s">
        <v>2680</v>
      </c>
      <c r="L66" t="s">
        <v>2181</v>
      </c>
      <c r="AM66" t="str">
        <f t="shared" ref="AM66:AM129" si="1">IF(B66&lt;&gt;"",IF(IFERROR(VALUE(C65),0)&lt;=0,"["&amp;B66&amp;"]={","},["&amp;B66&amp;"]={"),IF(C66&gt;0,"{dwID="&amp;C66&amp;","&amp;"nLevel="&amp;D66&amp;","&amp;IF(E66&gt;0,"nCount="&amp;E66&amp;",","")&amp;IF(F66&gt;0,"nIcon="&amp;F66&amp;",","")&amp;IF(G66&lt;&gt;"","szName="""&amp;G66&amp;""",","")&amp;IF(H66&gt;0,"bCheckLevel=true,","")&amp;IF(I66&gt;0,"nScrutinyType="&amp;I66&amp;",","")&amp;IF(J66&lt;&gt;"","tKungFu={"&amp;J66&amp;"},","")&amp;IF(K66&lt;&gt;"","szNote="""&amp;K66&amp;""",","")&amp;IF(L66&lt;&gt;"","col={"&amp;L66&amp;"},","")&amp;"[1]={"&amp;IF(M66&lt;&gt;"","tMark={"&amp;M66&amp;"},","")&amp;IF(N66&lt;&gt;"","szVoice="""&amp;N66&amp;""",","")&amp;IF(O66&gt;0,"bCheckLevel=true,","")&amp;IF(P66&gt;0,"bWhisperChannel=true,","")&amp;IF(Q66&gt;0,"bCenterAlarm=true,","")&amp;IF(R66&gt;0,"bScreenHead=true,","")&amp;IF(S66&gt;0,"bPartyBuffList=true,","")&amp;IF(T66&gt;0,"bBuffList=true,","")&amp;IF(U66&gt;0,"bTeamPanel=true,","")&amp;IF(V66&gt;0,"bOnlySelfSrc=true,","")&amp;"},"&amp;"[2]={"&amp;IF(W66&gt;0,"bCheckLevel=true,","")&amp;IF(X66&gt;0,"bWhisperChannel=true,","")&amp;IF(Y66&gt;0,"bCenterAlarm=true,","")&amp;"},"&amp;IF(OR(Z66&gt;0,AD66&lt;&gt;"",AE66&gt;0,AF66&lt;&gt;"",AG66&lt;&gt;"",AH66&gt;0,AI66&gt;0,AJ66&gt;0,AK66&gt;0),"aCataclysmBuff={{"&amp;IF(Z66&gt;0,"nStackNum="&amp;Z66&amp;",","")&amp;IF(AA66&lt;&gt;"","szStackOp="""&amp;AA66&amp;""",","")&amp;IF(AB66&gt;0,"bOnlyMine=true,","")&amp;IF(AC66&gt;0,"bOnlyMe=true,","")&amp;IF(AD66&lt;&gt;"","szReminder="""&amp;AD66&amp;""",","")&amp;IF(AE66&gt;0,"nPriority="&amp;AE66&amp;",","")&amp;IF(AF66&lt;&gt;"","col="""&amp;AF66&amp;""",","")&amp;IF(AG66&lt;&gt;"","colScreenHead="""&amp;AG66&amp;""",","")&amp;IF(AH66&gt;0,"nColAlpha="&amp;AH66&amp;",","")&amp;IF(AI66&gt;0,"bAttention=true,","")&amp;IF(AJ66&gt;0,"bCaution=true,","")&amp;IF(AK66&gt;0,"bScreenHead=true,","")&amp;"},"&amp;AL66&amp;"},","")&amp;IF(AN66&lt;&gt;"","tCountdown={"&amp;_xlfn.TEXTJOIN("",TRUE,AN66:ZY66)&amp;"},","")&amp;"},",IF(C65&gt;0,"},","")&amp;IF(AND(B66="",C66="",OR(B65&lt;&gt;"",C65&lt;&gt;"")),"},}","")))</f>
        <v>{dwID=11584,nLevel=1,nScrutinyType=1,szNote="雪山恩仇",col={255,150,0,},[1]={},[2]={},},</v>
      </c>
    </row>
    <row r="67" spans="3:40" x14ac:dyDescent="0.15">
      <c r="C67">
        <v>23136</v>
      </c>
      <c r="D67">
        <v>1</v>
      </c>
      <c r="I67">
        <v>1</v>
      </c>
      <c r="K67" t="s">
        <v>2681</v>
      </c>
      <c r="AM67" t="str">
        <f t="shared" si="1"/>
        <v>{dwID=23136,nLevel=1,nScrutinyType=1,szNote="鸠雀记",[1]={},[2]={},},</v>
      </c>
    </row>
    <row r="68" spans="3:40" x14ac:dyDescent="0.15">
      <c r="C68">
        <v>9119</v>
      </c>
      <c r="D68">
        <v>1</v>
      </c>
      <c r="I68">
        <v>1</v>
      </c>
      <c r="K68" t="s">
        <v>416</v>
      </c>
      <c r="AM68" t="str">
        <f t="shared" si="1"/>
        <v>{dwID=9119,nLevel=1,nScrutinyType=1,szNote="少年行",[1]={},[2]={},},</v>
      </c>
    </row>
    <row r="69" spans="3:40" x14ac:dyDescent="0.15">
      <c r="C69">
        <v>9124</v>
      </c>
      <c r="D69">
        <v>1</v>
      </c>
      <c r="F69">
        <v>105</v>
      </c>
      <c r="G69" t="s">
        <v>2682</v>
      </c>
      <c r="I69">
        <v>1</v>
      </c>
      <c r="K69" t="s">
        <v>417</v>
      </c>
      <c r="AM69" t="str">
        <f t="shared" si="1"/>
        <v>{dwID=9124,nLevel=1,nIcon=105,szName="茶馆奇缘",nScrutinyType=1,szNote="茶馆奇缘_CD",[1]={},[2]={},},</v>
      </c>
    </row>
    <row r="70" spans="3:40" x14ac:dyDescent="0.15">
      <c r="C70">
        <v>13982</v>
      </c>
      <c r="D70">
        <v>1</v>
      </c>
      <c r="F70">
        <v>11208</v>
      </c>
      <c r="G70" t="s">
        <v>2683</v>
      </c>
      <c r="I70">
        <v>1</v>
      </c>
      <c r="K70" t="s">
        <v>470</v>
      </c>
      <c r="AM70" t="str">
        <f t="shared" si="1"/>
        <v>{dwID=13982,nLevel=1,nIcon=11208,szName="秘宝图",nScrutinyType=1,szNote="秘宝图_计时_BUFF",[1]={},[2]={},},</v>
      </c>
    </row>
    <row r="71" spans="3:40" x14ac:dyDescent="0.15">
      <c r="C71">
        <v>11901</v>
      </c>
      <c r="D71">
        <v>1</v>
      </c>
      <c r="F71">
        <v>9246</v>
      </c>
      <c r="G71" t="s">
        <v>2684</v>
      </c>
      <c r="I71">
        <v>1</v>
      </c>
      <c r="K71" t="s">
        <v>457</v>
      </c>
      <c r="AM71" t="str">
        <f t="shared" si="1"/>
        <v>{dwID=11901,nLevel=1,nIcon=9246,szName="北行镖",nScrutinyType=1,szNote="北行镖_隔天CD",[1]={},[2]={},},</v>
      </c>
    </row>
    <row r="72" spans="3:40" x14ac:dyDescent="0.15">
      <c r="C72">
        <v>10753</v>
      </c>
      <c r="D72">
        <v>1</v>
      </c>
      <c r="F72">
        <v>8134</v>
      </c>
      <c r="G72" t="s">
        <v>2685</v>
      </c>
      <c r="I72">
        <v>1</v>
      </c>
      <c r="K72" t="s">
        <v>435</v>
      </c>
      <c r="AM72" t="str">
        <f t="shared" si="1"/>
        <v>{dwID=10753,nLevel=1,nIcon=8134,szName="石敢当",nScrutinyType=1,szNote="石敢当奇遇日常buff",[1]={},[2]={},},</v>
      </c>
    </row>
    <row r="73" spans="3:40" x14ac:dyDescent="0.15">
      <c r="C73">
        <v>12830</v>
      </c>
      <c r="D73">
        <v>1</v>
      </c>
      <c r="F73">
        <v>10052</v>
      </c>
      <c r="G73" t="s">
        <v>2686</v>
      </c>
      <c r="I73">
        <v>1</v>
      </c>
      <c r="K73" t="s">
        <v>463</v>
      </c>
      <c r="AM73" t="str">
        <f t="shared" si="1"/>
        <v>{dwID=12830,nLevel=1,nIcon=10052,szName="戎马边",nScrutinyType=1,szNote="戎马边_定时_BUFF",[1]={},[2]={},},</v>
      </c>
    </row>
    <row r="74" spans="3:40" x14ac:dyDescent="0.15">
      <c r="C74">
        <v>11894</v>
      </c>
      <c r="D74">
        <v>1</v>
      </c>
      <c r="I74">
        <v>1</v>
      </c>
      <c r="K74" t="s">
        <v>456</v>
      </c>
      <c r="AM74" t="str">
        <f t="shared" si="1"/>
        <v>{dwID=11894,nLevel=1,nScrutinyType=1,szNote="东海客_隔日CD",[1]={},[2]={},},</v>
      </c>
    </row>
    <row r="75" spans="3:40" x14ac:dyDescent="0.15">
      <c r="C75">
        <v>11393</v>
      </c>
      <c r="D75">
        <v>1</v>
      </c>
      <c r="F75">
        <v>8591</v>
      </c>
      <c r="G75" t="s">
        <v>2687</v>
      </c>
      <c r="I75">
        <v>1</v>
      </c>
      <c r="K75" t="s">
        <v>449</v>
      </c>
      <c r="AM75" t="str">
        <f t="shared" si="1"/>
        <v>{dwID=11393,nLevel=1,nIcon=8591,szName="稚子心",nScrutinyType=1,szNote="稚子心_标记_buff",[1]={},[2]={},},</v>
      </c>
    </row>
    <row r="76" spans="3:40" x14ac:dyDescent="0.15">
      <c r="C76">
        <v>19565</v>
      </c>
      <c r="D76">
        <v>1</v>
      </c>
      <c r="F76">
        <v>15096</v>
      </c>
      <c r="G76" t="s">
        <v>2688</v>
      </c>
      <c r="I76">
        <v>1</v>
      </c>
      <c r="K76" t="s">
        <v>532</v>
      </c>
      <c r="AM76" t="str">
        <f t="shared" si="1"/>
        <v>{dwID=19565,nLevel=1,nIcon=15096,szName="丹青记",nScrutinyType=1,szNote="丹青记_拿樱桃CD",[1]={},[2]={},},</v>
      </c>
    </row>
    <row r="77" spans="3:40" x14ac:dyDescent="0.15">
      <c r="C77">
        <v>10197</v>
      </c>
      <c r="D77">
        <v>1</v>
      </c>
      <c r="F77">
        <v>7925</v>
      </c>
      <c r="G77" t="s">
        <v>2689</v>
      </c>
      <c r="I77">
        <v>1</v>
      </c>
      <c r="K77" t="s">
        <v>430</v>
      </c>
      <c r="AM77" t="str">
        <f t="shared" si="1"/>
        <v>{dwID=10197,nLevel=1,nIcon=7925,szName="清茗经",nScrutinyType=1,szNote="清茗经_记录_BUFF",[1]={},[2]={},},</v>
      </c>
    </row>
    <row r="78" spans="3:40" x14ac:dyDescent="0.15">
      <c r="C78">
        <v>21849</v>
      </c>
      <c r="D78">
        <v>1</v>
      </c>
      <c r="I78">
        <v>1</v>
      </c>
      <c r="K78" t="s">
        <v>561</v>
      </c>
      <c r="AM78" t="str">
        <f t="shared" si="1"/>
        <v>{dwID=21849,nLevel=1,nScrutinyType=1,szNote="凌云梯_切磋3天Buff",[1]={},[2]={},},</v>
      </c>
    </row>
    <row r="79" spans="3:40" x14ac:dyDescent="0.15">
      <c r="C79">
        <v>15444</v>
      </c>
      <c r="D79">
        <v>1</v>
      </c>
      <c r="F79">
        <v>8317</v>
      </c>
      <c r="G79" t="s">
        <v>2690</v>
      </c>
      <c r="I79">
        <v>1</v>
      </c>
      <c r="K79" t="s">
        <v>478</v>
      </c>
      <c r="AM79" t="str">
        <f t="shared" si="1"/>
        <v>{dwID=15444,nLevel=1,nIcon=8317,szName="虎啸CD",nScrutinyType=1,szNote="静静_CD_BUFF",[1]={},[2]={},},</v>
      </c>
    </row>
    <row r="80" spans="3:40" x14ac:dyDescent="0.15">
      <c r="C80">
        <v>13406</v>
      </c>
      <c r="D80">
        <v>1</v>
      </c>
      <c r="F80">
        <v>2546</v>
      </c>
      <c r="G80" t="s">
        <v>465</v>
      </c>
      <c r="K80" t="s">
        <v>465</v>
      </c>
      <c r="AM80" t="str">
        <f t="shared" si="1"/>
        <v>{dwID=13406,nLevel=1,nIcon=2546,szName="雪雪乘船CD",szNote="雪雪乘船CD",[1]={},[2]={},tCountdown={{nClass=1,nIcon=2546,nFrame=5,szName="雪雪乘船CD",nTime=2,nRefresh=7200,key="雪雪乘船CD",},},},</v>
      </c>
      <c r="AN80" t="s">
        <v>2691</v>
      </c>
    </row>
    <row r="81" spans="3:41" x14ac:dyDescent="0.15">
      <c r="C81">
        <v>15803</v>
      </c>
      <c r="D81">
        <v>1</v>
      </c>
      <c r="I81">
        <v>1</v>
      </c>
      <c r="J81" t="s">
        <v>2344</v>
      </c>
      <c r="AM81" t="str">
        <f t="shared" si="1"/>
        <v>{dwID=15803,nLevel=1,nScrutinyType=1,tKungFu={["SKILL#10175"]=true,["SKILL#10176"]=true,},[1]={},[2]={},tCountdown={{nClass=1,nIcon=2758,nFrame=5,szName="宠物存在",nTime=0,key="宠物存在",},{nClass=2,nIcon=2758,nFrame=2,szName="倒计时 {$B15803}",nTime="1,快召宝宝;2,快召宝宝;5,快召宝宝",nRefresh=5,key="宠物存在",},},},</v>
      </c>
      <c r="AN81" t="s">
        <v>2692</v>
      </c>
      <c r="AO81" t="s">
        <v>2693</v>
      </c>
    </row>
    <row r="82" spans="3:41" x14ac:dyDescent="0.15">
      <c r="C82">
        <v>23701</v>
      </c>
      <c r="D82">
        <v>1</v>
      </c>
      <c r="F82">
        <v>17409</v>
      </c>
      <c r="G82" t="s">
        <v>2694</v>
      </c>
      <c r="K82" t="s">
        <v>573</v>
      </c>
      <c r="AM82" t="str">
        <f t="shared" si="1"/>
        <v>{dwID=23701,nLevel=1,nIcon=17409,szName="停留",szNote="助战指令_停留",[1]={},[2]={},},</v>
      </c>
    </row>
    <row r="83" spans="3:41" x14ac:dyDescent="0.15">
      <c r="C83">
        <v>23702</v>
      </c>
      <c r="D83">
        <v>1</v>
      </c>
      <c r="F83">
        <v>17408</v>
      </c>
      <c r="G83" t="s">
        <v>380</v>
      </c>
      <c r="K83" t="s">
        <v>572</v>
      </c>
      <c r="AM83" t="str">
        <f t="shared" si="1"/>
        <v>{dwID=23702,nLevel=1,nIcon=17408,szName="跟随",szNote="助战指令_跟随",[1]={},[2]={},},</v>
      </c>
    </row>
    <row r="84" spans="3:41" x14ac:dyDescent="0.15">
      <c r="C84">
        <v>11486</v>
      </c>
      <c r="D84">
        <v>1</v>
      </c>
      <c r="F84">
        <v>4606</v>
      </c>
      <c r="G84" t="s">
        <v>452</v>
      </c>
      <c r="I84">
        <v>1</v>
      </c>
      <c r="K84" t="s">
        <v>2695</v>
      </c>
      <c r="AM84" t="str">
        <f t="shared" si="1"/>
        <v>{dwID=11486,nLevel=1,nIcon=4606,szName="缘灭",nScrutinyType=1,szNote="福德齐天·CD",[1]={},[2]={},},</v>
      </c>
    </row>
    <row r="85" spans="3:41" x14ac:dyDescent="0.15">
      <c r="C85">
        <v>9335</v>
      </c>
      <c r="D85">
        <v>1</v>
      </c>
      <c r="F85">
        <v>11863</v>
      </c>
      <c r="L85" t="s">
        <v>2696</v>
      </c>
      <c r="AD85" t="s">
        <v>2697</v>
      </c>
      <c r="AE85">
        <v>3</v>
      </c>
      <c r="AF85" t="s">
        <v>2698</v>
      </c>
      <c r="AH85">
        <v>255</v>
      </c>
      <c r="AM85" t="str">
        <f t="shared" si="1"/>
        <v>{dwID=9335,nLevel=1,nIcon=11863,col={255,238,255,},[1]={},[2]={},aCataclysmBuff={{szReminder="落 落梅无法获得梅花三弄盾效果",nPriority=3,col="#FFEEEEFF",nColAlpha=255,},},},</v>
      </c>
    </row>
    <row r="86" spans="3:41" x14ac:dyDescent="0.15">
      <c r="C86">
        <v>12012</v>
      </c>
      <c r="D86">
        <v>1</v>
      </c>
      <c r="K86" t="s">
        <v>52</v>
      </c>
      <c r="L86" t="s">
        <v>2120</v>
      </c>
      <c r="AD86" t="s">
        <v>2699</v>
      </c>
      <c r="AE86">
        <v>2</v>
      </c>
      <c r="AF86" t="s">
        <v>2123</v>
      </c>
      <c r="AG86" t="s">
        <v>2130</v>
      </c>
      <c r="AH86">
        <v>255</v>
      </c>
      <c r="AM86" t="str">
        <f t="shared" si="1"/>
        <v>{dwID=12012,nLevel=1,szNote="千斤坠",col={179,238,58,},[1]={},[2]={},aCataclysmBuff={{szReminder="蓄 千斤坠蓄力免控",nPriority=2,col="#B3EE3AFF",colScreenHead="#B3EE3A",nColAlpha=255,},},},</v>
      </c>
    </row>
    <row r="87" spans="3:41" x14ac:dyDescent="0.15">
      <c r="C87">
        <v>28222</v>
      </c>
      <c r="D87">
        <v>1</v>
      </c>
      <c r="K87" t="s">
        <v>469</v>
      </c>
      <c r="L87" t="s">
        <v>2115</v>
      </c>
      <c r="AD87" t="s">
        <v>2700</v>
      </c>
      <c r="AE87">
        <v>2</v>
      </c>
      <c r="AF87" t="s">
        <v>2117</v>
      </c>
      <c r="AG87" t="s">
        <v>2132</v>
      </c>
      <c r="AH87">
        <v>255</v>
      </c>
      <c r="AM87" t="str">
        <f t="shared" si="1"/>
        <v>{dwID=28222,nLevel=1,szNote="辟寒",col={255,204,0,},[1]={},[2]={},aCataclysmBuff={{szReminder="寒 奇穴辟寒免死",nPriority=2,col="#FFCC00FF",colScreenHead="#FFCC00",nColAlpha=255,},},},</v>
      </c>
    </row>
    <row r="88" spans="3:41" x14ac:dyDescent="0.15">
      <c r="C88">
        <v>24353</v>
      </c>
      <c r="D88">
        <v>1</v>
      </c>
      <c r="K88" t="s">
        <v>591</v>
      </c>
      <c r="L88" t="s">
        <v>2120</v>
      </c>
      <c r="AD88" t="s">
        <v>2701</v>
      </c>
      <c r="AE88">
        <v>11</v>
      </c>
      <c r="AF88" t="s">
        <v>2123</v>
      </c>
      <c r="AG88" t="s">
        <v>2130</v>
      </c>
      <c r="AH88">
        <v>255</v>
      </c>
      <c r="AM88" t="str">
        <f t="shared" si="1"/>
        <v>{dwID=24353,nLevel=1,szNote="寂灭蛊",col={179,238,58,},[1]={},[2]={},aCataclysmBuff={{szReminder="免 免控打断无法运功缴械",nPriority=11,col="#B3EE3AFF",colScreenHead="#B3EE3A",nColAlpha=255,},},},</v>
      </c>
    </row>
    <row r="89" spans="3:41" x14ac:dyDescent="0.15">
      <c r="C89">
        <v>9265</v>
      </c>
      <c r="D89">
        <v>1</v>
      </c>
      <c r="K89" t="s">
        <v>420</v>
      </c>
      <c r="L89" t="s">
        <v>2120</v>
      </c>
      <c r="AD89" t="s">
        <v>2308</v>
      </c>
      <c r="AE89">
        <v>11</v>
      </c>
      <c r="AF89" t="s">
        <v>2123</v>
      </c>
      <c r="AG89" t="s">
        <v>2130</v>
      </c>
      <c r="AH89">
        <v>255</v>
      </c>
      <c r="AM89" t="str">
        <f t="shared" si="1"/>
        <v>{dwID=9265,nLevel=1,szNote="云生结海",col={179,238,58,},[1]={},[2]={},aCataclysmBuff={{szReminder="摊 技能云深平摊",nPriority=11,col="#B3EE3AFF",colScreenHead="#B3EE3A",nColAlpha=255,},},},</v>
      </c>
    </row>
    <row r="90" spans="3:41" x14ac:dyDescent="0.15">
      <c r="C90">
        <v>21117</v>
      </c>
      <c r="D90">
        <v>1</v>
      </c>
      <c r="K90" t="s">
        <v>553</v>
      </c>
      <c r="L90" t="s">
        <v>2120</v>
      </c>
      <c r="AD90" t="s">
        <v>2702</v>
      </c>
      <c r="AE90">
        <v>11</v>
      </c>
      <c r="AF90" t="s">
        <v>2123</v>
      </c>
      <c r="AG90" t="s">
        <v>2130</v>
      </c>
      <c r="AH90">
        <v>255</v>
      </c>
      <c r="AM90" t="str">
        <f t="shared" si="1"/>
        <v>{dwID=21117,nLevel=1,szNote="敛意",col={179,238,58,},[1]={},[2]={},aCataclysmBuff={{szReminder="闪 奶歌奇穴敛意闪避提高80%",nPriority=11,col="#B3EE3AFF",colScreenHead="#B3EE3A",nColAlpha=255,},},},</v>
      </c>
    </row>
    <row r="91" spans="3:41" x14ac:dyDescent="0.15">
      <c r="C91">
        <v>15749</v>
      </c>
      <c r="D91">
        <v>2</v>
      </c>
      <c r="H91">
        <v>1</v>
      </c>
      <c r="K91" t="s">
        <v>483</v>
      </c>
      <c r="L91" t="s">
        <v>2120</v>
      </c>
      <c r="AD91" t="s">
        <v>2703</v>
      </c>
      <c r="AE91">
        <v>11</v>
      </c>
      <c r="AF91" t="s">
        <v>2123</v>
      </c>
      <c r="AG91" t="s">
        <v>2130</v>
      </c>
      <c r="AH91">
        <v>255</v>
      </c>
      <c r="AM91" t="str">
        <f t="shared" si="1"/>
        <v>{dwID=15749,nLevel=2,bCheckLevel=true,szNote="乱天狼",col={179,238,58,},[1]={},[2]={},aCataclysmBuff={{szReminder="免 乱天狼锁面向免控",nPriority=11,col="#B3EE3AFF",colScreenHead="#B3EE3A",nColAlpha=255,},},},</v>
      </c>
    </row>
    <row r="92" spans="3:41" x14ac:dyDescent="0.15">
      <c r="C92">
        <v>21348</v>
      </c>
      <c r="D92">
        <v>1</v>
      </c>
      <c r="K92" t="s">
        <v>556</v>
      </c>
      <c r="L92" t="s">
        <v>2639</v>
      </c>
      <c r="AD92" t="s">
        <v>2704</v>
      </c>
      <c r="AE92">
        <v>14</v>
      </c>
      <c r="AF92" t="s">
        <v>2641</v>
      </c>
      <c r="AG92" t="s">
        <v>2642</v>
      </c>
      <c r="AH92">
        <v>255</v>
      </c>
      <c r="AM92" t="str">
        <f t="shared" si="1"/>
        <v>{dwID=21348,nLevel=1,szNote="枭影·引爆",col={255,153,204,},[1]={},[2]={},aCataclysmBuff={{szReminder="换 奇穴链魂互换属性",nPriority=14,col="#FF99CCFF",colScreenHead="#FF99CC",nColAlpha=255,},},},</v>
      </c>
    </row>
    <row r="93" spans="3:41" x14ac:dyDescent="0.15">
      <c r="C93">
        <v>17585</v>
      </c>
      <c r="D93">
        <v>1</v>
      </c>
      <c r="K93" t="s">
        <v>510</v>
      </c>
      <c r="L93" t="s">
        <v>2120</v>
      </c>
      <c r="AD93" t="s">
        <v>2705</v>
      </c>
      <c r="AE93">
        <v>11</v>
      </c>
      <c r="AF93" t="s">
        <v>2123</v>
      </c>
      <c r="AG93" t="s">
        <v>2130</v>
      </c>
      <c r="AH93">
        <v>255</v>
      </c>
      <c r="AM93" t="str">
        <f t="shared" si="1"/>
        <v>{dwID=17585,nLevel=1,szNote="踏星行",col={179,238,58,},[1]={},[2]={},aCataclysmBuff={{szReminder="踏 技能踏星行降被命中",nPriority=11,col="#B3EE3AFF",colScreenHead="#B3EE3A",nColAlpha=255,},},},</v>
      </c>
    </row>
    <row r="94" spans="3:41" x14ac:dyDescent="0.15">
      <c r="C94">
        <v>20666</v>
      </c>
      <c r="D94">
        <v>1</v>
      </c>
      <c r="K94" t="s">
        <v>536</v>
      </c>
      <c r="L94" t="s">
        <v>2120</v>
      </c>
      <c r="AD94" t="s">
        <v>2706</v>
      </c>
      <c r="AE94">
        <v>4</v>
      </c>
      <c r="AF94" t="s">
        <v>2123</v>
      </c>
      <c r="AG94" t="s">
        <v>2130</v>
      </c>
      <c r="AH94">
        <v>255</v>
      </c>
      <c r="AM94" t="str">
        <f t="shared" si="1"/>
        <v>{dwID=20666,nLevel=1,szNote="且待时休",col={179,238,58,},[1]={},[2]={},aCataclysmBuff={{szReminder="免 且待时休免控（击退和被拉除外）",nPriority=4,col="#B3EE3AFF",colScreenHead="#B3EE3A",nColAlpha=255,},},},</v>
      </c>
    </row>
    <row r="95" spans="3:41" x14ac:dyDescent="0.15">
      <c r="C95">
        <v>23898</v>
      </c>
      <c r="D95">
        <v>1</v>
      </c>
      <c r="K95" t="s">
        <v>574</v>
      </c>
      <c r="L95" t="s">
        <v>2120</v>
      </c>
      <c r="AD95" t="s">
        <v>2707</v>
      </c>
      <c r="AE95">
        <v>11</v>
      </c>
      <c r="AF95" t="s">
        <v>2123</v>
      </c>
      <c r="AG95" t="s">
        <v>2130</v>
      </c>
      <c r="AH95">
        <v>255</v>
      </c>
      <c r="AM95" t="str">
        <f t="shared" si="1"/>
        <v>{dwID=23898,nLevel=1,szNote="凝云势",col={179,238,58,},[1]={},[2]={},aCataclysmBuff={{szReminder="减 技能凝云势减伤免控（击退和被拉除外）",nPriority=11,col="#B3EE3AFF",colScreenHead="#B3EE3A",nColAlpha=255,},},},</v>
      </c>
    </row>
    <row r="96" spans="3:41" x14ac:dyDescent="0.15">
      <c r="C96">
        <v>26944</v>
      </c>
      <c r="D96">
        <v>1</v>
      </c>
      <c r="K96" t="s">
        <v>618</v>
      </c>
      <c r="L96" t="s">
        <v>2115</v>
      </c>
      <c r="AD96" t="s">
        <v>2708</v>
      </c>
      <c r="AE96">
        <v>2</v>
      </c>
      <c r="AF96" t="s">
        <v>2117</v>
      </c>
      <c r="AG96" t="s">
        <v>2132</v>
      </c>
      <c r="AH96">
        <v>255</v>
      </c>
      <c r="AM96" t="str">
        <f t="shared" si="1"/>
        <v>{dwID=26944,nLevel=1,szNote="合神",col={255,204,0,},[1]={},[2]={},aCataclysmBuff={{szReminder="合 技能汇灵合契变身本体无敌",nPriority=2,col="#FFCC00FF",colScreenHead="#FFCC00",nColAlpha=255,},},},</v>
      </c>
    </row>
    <row r="97" spans="1:41" x14ac:dyDescent="0.15">
      <c r="C97">
        <v>10141</v>
      </c>
      <c r="D97">
        <v>1</v>
      </c>
      <c r="F97">
        <v>7931</v>
      </c>
      <c r="G97" t="s">
        <v>2709</v>
      </c>
      <c r="I97">
        <v>1</v>
      </c>
      <c r="K97" t="s">
        <v>429</v>
      </c>
      <c r="AM97" t="str">
        <f t="shared" si="1"/>
        <v>{dwID=10141,nLevel=1,nIcon=7931,szName="胜负局",nScrutinyType=1,szNote="胜负局_间隔时间BUFF",[1]={},[2]={},},</v>
      </c>
    </row>
    <row r="98" spans="1:41" x14ac:dyDescent="0.15">
      <c r="C98">
        <v>17182</v>
      </c>
      <c r="D98">
        <v>1</v>
      </c>
      <c r="I98">
        <v>1</v>
      </c>
      <c r="K98" t="s">
        <v>2710</v>
      </c>
      <c r="AM98" t="str">
        <f t="shared" si="1"/>
        <v>{dwID=17182,nLevel=1,nScrutinyType=1,szNote="兔江湖·翌日之约",[1]={},[2]={},},</v>
      </c>
    </row>
    <row r="99" spans="1:41" x14ac:dyDescent="0.15">
      <c r="A99" t="s">
        <v>2324</v>
      </c>
      <c r="B99">
        <v>-2</v>
      </c>
      <c r="AM99" t="str">
        <f t="shared" si="1"/>
        <v>},[-2]={</v>
      </c>
    </row>
    <row r="100" spans="1:41" x14ac:dyDescent="0.15">
      <c r="C100">
        <v>24143</v>
      </c>
      <c r="D100">
        <v>1</v>
      </c>
      <c r="F100">
        <v>13670</v>
      </c>
      <c r="G100" t="s">
        <v>2652</v>
      </c>
      <c r="I100">
        <v>1</v>
      </c>
      <c r="J100" t="s">
        <v>2149</v>
      </c>
      <c r="K100" t="s">
        <v>2653</v>
      </c>
      <c r="L100" t="s">
        <v>2143</v>
      </c>
      <c r="T100">
        <v>1</v>
      </c>
      <c r="AM100" t="str">
        <f t="shared" si="1"/>
        <v>{dwID=24143,nLevel=1,nIcon=13670,szName="黑1",nScrutinyType=1,tKungFu={["SKILL#10021"]=true,["SKILL#10028"]=true,},szNote="万花·黑子1",col={255,255,0,},[1]={bBuffList=true,},[2]={},tCountdown={{nClass=2,nIcon=13670,nFrame=5,szName="万花·黑棋",nTime=0,key="万花·黑棋",},{nClass=1,nIcon=13670,nFrame=6,szName="万花·黑棋1",nTime=12,key="万花·黑棋",},},},</v>
      </c>
      <c r="AN100" t="s">
        <v>2654</v>
      </c>
      <c r="AO100" t="s">
        <v>2655</v>
      </c>
    </row>
    <row r="101" spans="1:41" x14ac:dyDescent="0.15">
      <c r="C101">
        <v>24138</v>
      </c>
      <c r="D101">
        <v>1</v>
      </c>
      <c r="F101">
        <v>13669</v>
      </c>
      <c r="G101" t="s">
        <v>2656</v>
      </c>
      <c r="I101">
        <v>1</v>
      </c>
      <c r="J101" t="s">
        <v>2149</v>
      </c>
      <c r="K101" t="s">
        <v>2657</v>
      </c>
      <c r="L101" t="s">
        <v>2143</v>
      </c>
      <c r="T101">
        <v>1</v>
      </c>
      <c r="AM101" t="str">
        <f t="shared" si="1"/>
        <v>{dwID=24138,nLevel=1,nIcon=13669,szName="白1",nScrutinyType=1,tKungFu={["SKILL#10021"]=true,["SKILL#10028"]=true,},szNote="万花·白子1",col={255,255,0,},[1]={bBuffList=true,},[2]={},tCountdown={{nClass=2,nIcon=13669,nFrame=5,szName="万花·白棋",nTime=0,key="万花·白棋",},{nClass=1,nIcon=13669,nFrame=6,szName="万花·白棋1",nTime=12,key="万花·白棋",},},},</v>
      </c>
      <c r="AN101" t="s">
        <v>2658</v>
      </c>
      <c r="AO101" t="s">
        <v>2659</v>
      </c>
    </row>
    <row r="102" spans="1:41" x14ac:dyDescent="0.15">
      <c r="C102">
        <v>10962</v>
      </c>
      <c r="D102">
        <v>1</v>
      </c>
      <c r="I102">
        <v>1</v>
      </c>
      <c r="L102" t="s">
        <v>2143</v>
      </c>
      <c r="AM102" t="str">
        <f t="shared" si="1"/>
        <v>{dwID=10962,nLevel=1,nScrutinyType=1,col={255,255,0,},[1]={},[2]={},tCountdown={{nClass=1,nIcon=115,nFrame=5,szName="阿飞送货·开始",nTime=2,key="阿飞送货",},{nClass=2,nIcon=115,nFrame=5,szName="阿飞送货·完成",nTime=2,key="阿飞送货",},},},</v>
      </c>
      <c r="AN102" t="s">
        <v>2660</v>
      </c>
      <c r="AO102" t="s">
        <v>2661</v>
      </c>
    </row>
    <row r="103" spans="1:41" x14ac:dyDescent="0.15">
      <c r="C103">
        <v>23936</v>
      </c>
      <c r="D103">
        <v>1</v>
      </c>
      <c r="AM103" t="str">
        <f t="shared" si="1"/>
        <v>{dwID=23936,nLevel=1,[1]={},[2]={},tCountdown={{nClass=1,nIcon=4545,nFrame=5,szName="准备进入·战场",nTime=30,nRefresh=600,key="战场·排队",},{nClass=2,nIcon=4545,nFrame=5,szName="战场·排队",nTime=0,key="战场·排队",},},},</v>
      </c>
      <c r="AN103" t="s">
        <v>2711</v>
      </c>
      <c r="AO103" t="s">
        <v>2712</v>
      </c>
    </row>
    <row r="104" spans="1:41" x14ac:dyDescent="0.15">
      <c r="C104">
        <v>12784</v>
      </c>
      <c r="D104">
        <v>1</v>
      </c>
      <c r="K104" t="s">
        <v>385</v>
      </c>
      <c r="AD104" t="s">
        <v>2667</v>
      </c>
      <c r="AE104">
        <v>30</v>
      </c>
      <c r="AH104">
        <v>255</v>
      </c>
      <c r="AM104" t="str">
        <f t="shared" si="1"/>
        <v>{dwID=12784,nLevel=1,szNote="逃兵",[1]={},[2]={},aCataclysmBuff={{szReminder="逃 无法参加部分PVP玩法",nPriority=30,nColAlpha=255,},},},</v>
      </c>
    </row>
    <row r="105" spans="1:41" x14ac:dyDescent="0.15">
      <c r="C105">
        <v>12800</v>
      </c>
      <c r="D105">
        <v>2</v>
      </c>
      <c r="H105">
        <v>1</v>
      </c>
      <c r="K105" t="s">
        <v>385</v>
      </c>
      <c r="AD105" t="s">
        <v>2668</v>
      </c>
      <c r="AE105">
        <v>30</v>
      </c>
      <c r="AH105">
        <v>255</v>
      </c>
      <c r="AM105" t="str">
        <f t="shared" si="1"/>
        <v>{dwID=12800,nLevel=2,bCheckLevel=true,szNote="逃兵",[1]={},[2]={},aCataclysmBuff={{szReminder="逃 战场无法排队",nPriority=30,nColAlpha=255,},},},</v>
      </c>
    </row>
    <row r="106" spans="1:41" x14ac:dyDescent="0.15">
      <c r="C106">
        <v>12821</v>
      </c>
      <c r="D106">
        <v>1</v>
      </c>
      <c r="K106" t="s">
        <v>385</v>
      </c>
      <c r="AD106" t="s">
        <v>2668</v>
      </c>
      <c r="AE106">
        <v>30</v>
      </c>
      <c r="AH106">
        <v>255</v>
      </c>
      <c r="AM106" t="str">
        <f t="shared" si="1"/>
        <v>{dwID=12821,nLevel=1,szNote="逃兵",[1]={},[2]={},aCataclysmBuff={{szReminder="逃 战场无法排队",nPriority=30,nColAlpha=255,},},},</v>
      </c>
    </row>
    <row r="107" spans="1:41" x14ac:dyDescent="0.15">
      <c r="C107">
        <v>15082</v>
      </c>
      <c r="D107">
        <v>1</v>
      </c>
      <c r="K107" t="s">
        <v>385</v>
      </c>
      <c r="AD107" t="s">
        <v>2669</v>
      </c>
      <c r="AE107">
        <v>30</v>
      </c>
      <c r="AH107">
        <v>255</v>
      </c>
      <c r="AM107" t="str">
        <f t="shared" si="1"/>
        <v>{dwID=15082,nLevel=1,szNote="逃兵",[1]={},[2]={},aCataclysmBuff={{szReminder="逃 野狸岛无法排队",nPriority=30,nColAlpha=255,},},},</v>
      </c>
    </row>
    <row r="108" spans="1:41" x14ac:dyDescent="0.15">
      <c r="C108">
        <v>15084</v>
      </c>
      <c r="D108">
        <v>1</v>
      </c>
      <c r="K108" t="s">
        <v>385</v>
      </c>
      <c r="AD108" t="s">
        <v>2669</v>
      </c>
      <c r="AE108">
        <v>30</v>
      </c>
      <c r="AH108">
        <v>255</v>
      </c>
      <c r="AM108" t="str">
        <f t="shared" si="1"/>
        <v>{dwID=15084,nLevel=1,szNote="逃兵",[1]={},[2]={},aCataclysmBuff={{szReminder="逃 野狸岛无法排队",nPriority=30,nColAlpha=255,},},},</v>
      </c>
    </row>
    <row r="109" spans="1:41" x14ac:dyDescent="0.15">
      <c r="C109">
        <v>11880</v>
      </c>
      <c r="D109">
        <v>1</v>
      </c>
      <c r="AD109" t="s">
        <v>2713</v>
      </c>
      <c r="AH109">
        <v>255</v>
      </c>
      <c r="AM109" t="str">
        <f t="shared" si="1"/>
        <v>{dwID=11880,nLevel=1,[1]={},[2]={},aCataclysmBuff={{szReminder="逃 竞技场无法排队",nColAlpha=255,},},},</v>
      </c>
    </row>
    <row r="110" spans="1:41" x14ac:dyDescent="0.15">
      <c r="C110">
        <v>16723</v>
      </c>
      <c r="D110">
        <v>1</v>
      </c>
      <c r="F110">
        <v>8850</v>
      </c>
      <c r="G110" t="s">
        <v>2714</v>
      </c>
      <c r="K110" t="s">
        <v>495</v>
      </c>
      <c r="L110" t="s">
        <v>2168</v>
      </c>
      <c r="T110">
        <v>1</v>
      </c>
      <c r="Y110">
        <v>1</v>
      </c>
      <c r="AM110" t="str">
        <f t="shared" si="1"/>
        <v>{dwID=16723,nLevel=1,nIcon=8850,szName="金蛋",szNote="元旦活动_特殊金蛋产出",col={0,255,0,},[1]={bBuffList=true,},[2]={bCenterAlarm=true,},},</v>
      </c>
    </row>
    <row r="111" spans="1:41" x14ac:dyDescent="0.15">
      <c r="C111">
        <v>16715</v>
      </c>
      <c r="D111">
        <v>1</v>
      </c>
      <c r="F111">
        <v>2296</v>
      </c>
      <c r="G111" t="s">
        <v>2715</v>
      </c>
      <c r="K111" t="s">
        <v>494</v>
      </c>
      <c r="L111" t="s">
        <v>2143</v>
      </c>
      <c r="T111">
        <v>1</v>
      </c>
      <c r="AM111" t="str">
        <f t="shared" si="1"/>
        <v>{dwID=16715,nLevel=1,nIcon=2296,szName="拾取CD",szNote="元旦活动_拾取限制",col={255,255,0,},[1]={bBuffList=true,},[2]={},tCountdown={{nClass=1,nIcon=2296,nFrame=5,szName="元旦·金蛋",nTime=0,key="元旦·金蛋",},},},</v>
      </c>
      <c r="AN111" t="s">
        <v>2716</v>
      </c>
    </row>
    <row r="112" spans="1:41" x14ac:dyDescent="0.15">
      <c r="C112">
        <v>3670</v>
      </c>
      <c r="D112">
        <v>1</v>
      </c>
      <c r="F112">
        <v>136</v>
      </c>
      <c r="G112" t="s">
        <v>2717</v>
      </c>
      <c r="I112">
        <v>4</v>
      </c>
      <c r="K112" t="s">
        <v>361</v>
      </c>
      <c r="L112" t="s">
        <v>2718</v>
      </c>
      <c r="R112">
        <v>1</v>
      </c>
      <c r="T112">
        <v>1</v>
      </c>
      <c r="AM112" t="str">
        <f t="shared" si="1"/>
        <v>{dwID=3670,nLevel=1,nIcon=136,szName="运功中",nScrutinyType=4,szNote="元旦活动_宝箱独占buff",col={255,255,100,},[1]={bScreenHead=true,bBuffList=true,},[2]={},},</v>
      </c>
    </row>
    <row r="113" spans="1:41" x14ac:dyDescent="0.15">
      <c r="C113">
        <v>1726</v>
      </c>
      <c r="D113">
        <v>1</v>
      </c>
      <c r="I113">
        <v>1</v>
      </c>
      <c r="L113" t="s">
        <v>2143</v>
      </c>
      <c r="T113">
        <v>1</v>
      </c>
      <c r="AM113" t="str">
        <f t="shared" si="1"/>
        <v>{dwID=1726,nLevel=1,nScrutinyType=1,col={255,255,0,},[1]={bBuffList=true,},[2]={},tCountdown={{nClass=1,nIcon=1244,nFrame=6,szName="",nTime="60,科举考试·60秒;90,科举考试·90秒",nRefresh=0,key="科举考试",},{nClass=2,nIcon=1244,nFrame=5,szName="科举考试",nTime=0,key="科举考试",},},},</v>
      </c>
      <c r="AN113" t="s">
        <v>2719</v>
      </c>
      <c r="AO113" t="s">
        <v>2720</v>
      </c>
    </row>
    <row r="114" spans="1:41" x14ac:dyDescent="0.15">
      <c r="A114" t="s">
        <v>2327</v>
      </c>
      <c r="B114">
        <v>-1</v>
      </c>
      <c r="AM114" t="str">
        <f t="shared" si="1"/>
        <v>},[-1]={</v>
      </c>
    </row>
    <row r="115" spans="1:41" x14ac:dyDescent="0.15">
      <c r="C115">
        <v>20554</v>
      </c>
      <c r="D115">
        <v>1</v>
      </c>
      <c r="J115" t="s">
        <v>2721</v>
      </c>
      <c r="L115" t="s">
        <v>2181</v>
      </c>
      <c r="R115">
        <v>1</v>
      </c>
      <c r="S115">
        <v>1</v>
      </c>
      <c r="T115">
        <v>1</v>
      </c>
      <c r="U115">
        <v>1</v>
      </c>
      <c r="AD115" t="s">
        <v>2722</v>
      </c>
      <c r="AE115">
        <v>6</v>
      </c>
      <c r="AF115" t="s">
        <v>2205</v>
      </c>
      <c r="AH115">
        <v>255</v>
      </c>
      <c r="AM115" t="str">
        <f t="shared" si="1"/>
        <v>{dwID=20554,nLevel=1,tKungFu={["SKILL#10028"]=true,["SKILL#10080"]=true,["SKILL#10176"]=true,["SKILL#10448"]=true,["SKILL#10626"]=true,},col={255,150,0,},[1]={bScreenHead=true,bPartyBuffList=true,bBuffList=true,bTeamPanel=true,},[2]={},aCataclysmBuff={{szReminder="枯",nPriority=6,col="#FF9600FF",nColAlpha=255,},},tCountdown={{nClass=1,nIcon=15422,nFrame=6,szName="1,奶[{$receiver}];2,奶[{$receiver}];3,奶[{$receiver}];30,奶[{$receiver}];",nTime="1,奶【{$receiver}】;2,奶【{$receiver}】;3,奶【{$receiver}】;30,奶【{$receiver}】",key="枯木{$receiver}",},{nClass=2,nIcon=15422,nFrame=5,szName="",nTime=0,key="枯木{$receiver}",},},},</v>
      </c>
      <c r="AN115" t="s">
        <v>2723</v>
      </c>
      <c r="AO115" t="s">
        <v>2724</v>
      </c>
    </row>
    <row r="116" spans="1:41" x14ac:dyDescent="0.15">
      <c r="C116">
        <v>21953</v>
      </c>
      <c r="D116">
        <v>1</v>
      </c>
      <c r="J116" t="s">
        <v>2721</v>
      </c>
      <c r="L116" t="s">
        <v>2181</v>
      </c>
      <c r="R116">
        <v>1</v>
      </c>
      <c r="S116">
        <v>1</v>
      </c>
      <c r="T116">
        <v>1</v>
      </c>
      <c r="U116">
        <v>1</v>
      </c>
      <c r="AD116" t="s">
        <v>2722</v>
      </c>
      <c r="AE116">
        <v>6</v>
      </c>
      <c r="AF116" t="s">
        <v>2725</v>
      </c>
      <c r="AH116">
        <v>255</v>
      </c>
      <c r="AM116" t="str">
        <f t="shared" si="1"/>
        <v>{dwID=21953,nLevel=1,tKungFu={["SKILL#10028"]=true,["SKILL#10080"]=true,["SKILL#10176"]=true,["SKILL#10448"]=true,["SKILL#10626"]=true,},col={255,150,0,},[1]={bScreenHead=true,bPartyBuffList=true,bBuffList=true,bTeamPanel=true,},[2]={},aCataclysmBuff={{szReminder="枯",nPriority=6,col="#FA9B00FF",nColAlpha=255,},},tCountdown={{nClass=1,nIcon=15422,nFrame=6,szName="1,奶【{$receiver}】;2,奶【{$receiver}】;3,奶【{$receiver}】;30,奶【{$receiver}】;",nTime="1,奶【{$receiver}】;2,奶【{$receiver}】;3,奶【{$receiver}】;30,奶【{$receiver}】",key="枯木{$receiver}",},{nClass=2,nIcon=15422,nFrame=6,szName="",nTime=0,key="枯木{$receiver}",},},},</v>
      </c>
      <c r="AN116" t="s">
        <v>2726</v>
      </c>
      <c r="AO116" t="s">
        <v>2727</v>
      </c>
    </row>
    <row r="117" spans="1:41" x14ac:dyDescent="0.15">
      <c r="C117">
        <v>12691</v>
      </c>
      <c r="D117">
        <v>1</v>
      </c>
      <c r="F117">
        <v>256</v>
      </c>
      <c r="G117" t="s">
        <v>318</v>
      </c>
      <c r="T117">
        <v>1</v>
      </c>
      <c r="AM117" t="str">
        <f t="shared" si="1"/>
        <v>{dwID=12691,nLevel=1,nIcon=256,szName="剧毒",[1]={bBuffList=true,},[2]={},},</v>
      </c>
    </row>
    <row r="118" spans="1:41" x14ac:dyDescent="0.15">
      <c r="C118">
        <v>15803</v>
      </c>
      <c r="D118">
        <v>1</v>
      </c>
      <c r="I118">
        <v>1</v>
      </c>
      <c r="J118" t="s">
        <v>2344</v>
      </c>
      <c r="AM118" t="str">
        <f t="shared" si="1"/>
        <v>{dwID=15803,nLevel=1,nScrutinyType=1,tKungFu={["SKILL#10175"]=true,["SKILL#10176"]=true,},[1]={},[2]={},tCountdown={{nClass=1,nIcon=2758,nFrame=5,szName="",nTime=0,key="宠物存在",},{nClass=2,nIcon=2758,nFrame=2,szName="宠物消失",nTime=2,nRefresh=2,key="宠物存在",},},},</v>
      </c>
      <c r="AN118" t="s">
        <v>2728</v>
      </c>
      <c r="AO118" t="s">
        <v>2729</v>
      </c>
    </row>
    <row r="119" spans="1:41" x14ac:dyDescent="0.15">
      <c r="C119">
        <v>3448</v>
      </c>
      <c r="D119">
        <v>1</v>
      </c>
      <c r="I119">
        <v>1</v>
      </c>
      <c r="L119" t="s">
        <v>2676</v>
      </c>
      <c r="AM119" t="str">
        <f t="shared" si="1"/>
        <v>{dwID=3448,nLevel=1,nScrutinyType=1,col={255,50,50,},[1]={},[2]={},tCountdown={{nClass=1,nIcon=2747,nFrame=5,szName="仙王蛊鼎",nTime=0,key="仙王蛊鼎",},},},</v>
      </c>
      <c r="AN119" t="s">
        <v>2730</v>
      </c>
    </row>
    <row r="120" spans="1:41" x14ac:dyDescent="0.15">
      <c r="C120">
        <v>25191</v>
      </c>
      <c r="D120">
        <v>1</v>
      </c>
      <c r="T120">
        <v>1</v>
      </c>
      <c r="U120">
        <v>1</v>
      </c>
      <c r="AM120" t="str">
        <f t="shared" si="1"/>
        <v>{dwID=25191,nLevel=1,[1]={bBuffList=true,bTeamPanel=true,},[2]={},},</v>
      </c>
    </row>
    <row r="121" spans="1:41" x14ac:dyDescent="0.15">
      <c r="C121">
        <v>24143</v>
      </c>
      <c r="D121">
        <v>1</v>
      </c>
      <c r="F121">
        <v>13670</v>
      </c>
      <c r="G121" t="s">
        <v>2652</v>
      </c>
      <c r="I121">
        <v>1</v>
      </c>
      <c r="J121" t="s">
        <v>2149</v>
      </c>
      <c r="K121" t="s">
        <v>2653</v>
      </c>
      <c r="L121" t="s">
        <v>2143</v>
      </c>
      <c r="T121">
        <v>1</v>
      </c>
      <c r="AM121" t="str">
        <f t="shared" si="1"/>
        <v>{dwID=24143,nLevel=1,nIcon=13670,szName="黑1",nScrutinyType=1,tKungFu={["SKILL#10021"]=true,["SKILL#10028"]=true,},szNote="万花·黑子1",col={255,255,0,},[1]={bBuffList=true,},[2]={},tCountdown={{nClass=2,nIcon=13670,nFrame=5,szName="万花·黑棋",nTime=0,key="万花·黑棋",},{nClass=1,nIcon=13670,nFrame=6,szName="万花·黑棋1",nTime=12,key="万花·黑棋",},},},</v>
      </c>
      <c r="AN121" t="s">
        <v>2654</v>
      </c>
      <c r="AO121" t="s">
        <v>2655</v>
      </c>
    </row>
    <row r="122" spans="1:41" x14ac:dyDescent="0.15">
      <c r="C122">
        <v>24144</v>
      </c>
      <c r="D122">
        <v>1</v>
      </c>
      <c r="F122">
        <v>13670</v>
      </c>
      <c r="G122" t="s">
        <v>2731</v>
      </c>
      <c r="I122">
        <v>1</v>
      </c>
      <c r="J122" t="s">
        <v>2149</v>
      </c>
      <c r="K122" t="s">
        <v>2732</v>
      </c>
      <c r="L122" t="s">
        <v>2143</v>
      </c>
      <c r="T122">
        <v>1</v>
      </c>
      <c r="AM122" t="str">
        <f t="shared" si="1"/>
        <v>{dwID=24144,nLevel=1,nIcon=13670,szName="黑2",nScrutinyType=1,tKungFu={["SKILL#10021"]=true,["SKILL#10028"]=true,},szNote="万花·黑子2",col={255,255,0,},[1]={bBuffList=true,},[2]={},},</v>
      </c>
    </row>
    <row r="123" spans="1:41" x14ac:dyDescent="0.15">
      <c r="C123">
        <v>24145</v>
      </c>
      <c r="D123">
        <v>1</v>
      </c>
      <c r="F123">
        <v>13670</v>
      </c>
      <c r="G123" t="s">
        <v>2733</v>
      </c>
      <c r="I123">
        <v>1</v>
      </c>
      <c r="J123" t="s">
        <v>2149</v>
      </c>
      <c r="K123" t="s">
        <v>2734</v>
      </c>
      <c r="L123" t="s">
        <v>2143</v>
      </c>
      <c r="T123">
        <v>1</v>
      </c>
      <c r="AM123" t="str">
        <f t="shared" si="1"/>
        <v>{dwID=24145,nLevel=1,nIcon=13670,szName="黑3",nScrutinyType=1,tKungFu={["SKILL#10021"]=true,["SKILL#10028"]=true,},szNote="万花·黑子3",col={255,255,0,},[1]={bBuffList=true,},[2]={},},</v>
      </c>
    </row>
    <row r="124" spans="1:41" x14ac:dyDescent="0.15">
      <c r="C124">
        <v>24146</v>
      </c>
      <c r="D124">
        <v>1</v>
      </c>
      <c r="F124">
        <v>13670</v>
      </c>
      <c r="G124" t="s">
        <v>2735</v>
      </c>
      <c r="I124">
        <v>1</v>
      </c>
      <c r="J124" t="s">
        <v>2149</v>
      </c>
      <c r="K124" t="s">
        <v>2736</v>
      </c>
      <c r="L124" t="s">
        <v>2143</v>
      </c>
      <c r="T124">
        <v>1</v>
      </c>
      <c r="AM124" t="str">
        <f t="shared" si="1"/>
        <v>{dwID=24146,nLevel=1,nIcon=13670,szName="黑4",nScrutinyType=1,tKungFu={["SKILL#10021"]=true,["SKILL#10028"]=true,},szNote="万花·黑子4",col={255,255,0,},[1]={bBuffList=true,},[2]={},},</v>
      </c>
    </row>
    <row r="125" spans="1:41" x14ac:dyDescent="0.15">
      <c r="C125">
        <v>24147</v>
      </c>
      <c r="D125">
        <v>1</v>
      </c>
      <c r="F125">
        <v>13670</v>
      </c>
      <c r="G125" t="s">
        <v>2737</v>
      </c>
      <c r="I125">
        <v>1</v>
      </c>
      <c r="J125" t="s">
        <v>2149</v>
      </c>
      <c r="K125" t="s">
        <v>2738</v>
      </c>
      <c r="L125" t="s">
        <v>2143</v>
      </c>
      <c r="T125">
        <v>1</v>
      </c>
      <c r="AM125" t="str">
        <f t="shared" si="1"/>
        <v>{dwID=24147,nLevel=1,nIcon=13670,szName="黑5",nScrutinyType=1,tKungFu={["SKILL#10021"]=true,["SKILL#10028"]=true,},szNote="万花·黑子5",col={255,255,0,},[1]={bBuffList=true,},[2]={},},</v>
      </c>
    </row>
    <row r="126" spans="1:41" x14ac:dyDescent="0.15">
      <c r="C126">
        <v>24138</v>
      </c>
      <c r="D126">
        <v>1</v>
      </c>
      <c r="F126">
        <v>13669</v>
      </c>
      <c r="G126" t="s">
        <v>2656</v>
      </c>
      <c r="I126">
        <v>1</v>
      </c>
      <c r="J126" t="s">
        <v>2149</v>
      </c>
      <c r="K126" t="s">
        <v>2657</v>
      </c>
      <c r="L126" t="s">
        <v>2143</v>
      </c>
      <c r="T126">
        <v>1</v>
      </c>
      <c r="AM126" t="str">
        <f t="shared" si="1"/>
        <v>{dwID=24138,nLevel=1,nIcon=13669,szName="白1",nScrutinyType=1,tKungFu={["SKILL#10021"]=true,["SKILL#10028"]=true,},szNote="万花·白子1",col={255,255,0,},[1]={bBuffList=true,},[2]={},tCountdown={{nClass=2,nIcon=13669,nFrame=5,szName="万花·白棋",nTime=0,key="万花·白棋",},{nClass=1,nIcon=13669,nFrame=6,szName="万花·白棋1",nTime=12,key="万花·白棋",},},},</v>
      </c>
      <c r="AN126" t="s">
        <v>2658</v>
      </c>
      <c r="AO126" t="s">
        <v>2659</v>
      </c>
    </row>
    <row r="127" spans="1:41" x14ac:dyDescent="0.15">
      <c r="C127">
        <v>24139</v>
      </c>
      <c r="D127">
        <v>1</v>
      </c>
      <c r="F127">
        <v>13669</v>
      </c>
      <c r="G127" t="s">
        <v>2739</v>
      </c>
      <c r="I127">
        <v>1</v>
      </c>
      <c r="J127" t="s">
        <v>2149</v>
      </c>
      <c r="K127" t="s">
        <v>2740</v>
      </c>
      <c r="L127" t="s">
        <v>2143</v>
      </c>
      <c r="T127">
        <v>1</v>
      </c>
      <c r="AM127" t="str">
        <f t="shared" si="1"/>
        <v>{dwID=24139,nLevel=1,nIcon=13669,szName="白2",nScrutinyType=1,tKungFu={["SKILL#10021"]=true,["SKILL#10028"]=true,},szNote="万花·白子2",col={255,255,0,},[1]={bBuffList=true,},[2]={},},</v>
      </c>
    </row>
    <row r="128" spans="1:41" x14ac:dyDescent="0.15">
      <c r="C128">
        <v>24140</v>
      </c>
      <c r="D128">
        <v>1</v>
      </c>
      <c r="F128">
        <v>13669</v>
      </c>
      <c r="G128" t="s">
        <v>2741</v>
      </c>
      <c r="I128">
        <v>1</v>
      </c>
      <c r="J128" t="s">
        <v>2149</v>
      </c>
      <c r="K128" t="s">
        <v>2742</v>
      </c>
      <c r="L128" t="s">
        <v>2143</v>
      </c>
      <c r="T128">
        <v>1</v>
      </c>
      <c r="AM128" t="str">
        <f t="shared" si="1"/>
        <v>{dwID=24140,nLevel=1,nIcon=13669,szName="白3",nScrutinyType=1,tKungFu={["SKILL#10021"]=true,["SKILL#10028"]=true,},szNote="万花·白子3",col={255,255,0,},[1]={bBuffList=true,},[2]={},},</v>
      </c>
    </row>
    <row r="129" spans="3:41" x14ac:dyDescent="0.15">
      <c r="C129">
        <v>24141</v>
      </c>
      <c r="D129">
        <v>1</v>
      </c>
      <c r="F129">
        <v>13669</v>
      </c>
      <c r="G129" t="s">
        <v>2743</v>
      </c>
      <c r="I129">
        <v>1</v>
      </c>
      <c r="J129" t="s">
        <v>2149</v>
      </c>
      <c r="K129" t="s">
        <v>2744</v>
      </c>
      <c r="L129" t="s">
        <v>2143</v>
      </c>
      <c r="T129">
        <v>1</v>
      </c>
      <c r="AM129" t="str">
        <f t="shared" si="1"/>
        <v>{dwID=24141,nLevel=1,nIcon=13669,szName="白4",nScrutinyType=1,tKungFu={["SKILL#10021"]=true,["SKILL#10028"]=true,},szNote="万花·白子4",col={255,255,0,},[1]={bBuffList=true,},[2]={},},</v>
      </c>
    </row>
    <row r="130" spans="3:41" x14ac:dyDescent="0.15">
      <c r="C130">
        <v>24142</v>
      </c>
      <c r="D130">
        <v>1</v>
      </c>
      <c r="F130">
        <v>13669</v>
      </c>
      <c r="G130" t="s">
        <v>2745</v>
      </c>
      <c r="I130">
        <v>1</v>
      </c>
      <c r="J130" t="s">
        <v>2149</v>
      </c>
      <c r="K130" t="s">
        <v>2746</v>
      </c>
      <c r="L130" t="s">
        <v>2143</v>
      </c>
      <c r="T130">
        <v>1</v>
      </c>
      <c r="AM130" t="str">
        <f t="shared" ref="AM130:AM193" si="2">IF(B130&lt;&gt;"",IF(IFERROR(VALUE(C129),0)&lt;=0,"["&amp;B130&amp;"]={","},["&amp;B130&amp;"]={"),IF(C130&gt;0,"{dwID="&amp;C130&amp;","&amp;"nLevel="&amp;D130&amp;","&amp;IF(E130&gt;0,"nCount="&amp;E130&amp;",","")&amp;IF(F130&gt;0,"nIcon="&amp;F130&amp;",","")&amp;IF(G130&lt;&gt;"","szName="""&amp;G130&amp;""",","")&amp;IF(H130&gt;0,"bCheckLevel=true,","")&amp;IF(I130&gt;0,"nScrutinyType="&amp;I130&amp;",","")&amp;IF(J130&lt;&gt;"","tKungFu={"&amp;J130&amp;"},","")&amp;IF(K130&lt;&gt;"","szNote="""&amp;K130&amp;""",","")&amp;IF(L130&lt;&gt;"","col={"&amp;L130&amp;"},","")&amp;"[1]={"&amp;IF(M130&lt;&gt;"","tMark={"&amp;M130&amp;"},","")&amp;IF(N130&lt;&gt;"","szVoice="""&amp;N130&amp;""",","")&amp;IF(O130&gt;0,"bCheckLevel=true,","")&amp;IF(P130&gt;0,"bWhisperChannel=true,","")&amp;IF(Q130&gt;0,"bCenterAlarm=true,","")&amp;IF(R130&gt;0,"bScreenHead=true,","")&amp;IF(S130&gt;0,"bPartyBuffList=true,","")&amp;IF(T130&gt;0,"bBuffList=true,","")&amp;IF(U130&gt;0,"bTeamPanel=true,","")&amp;IF(V130&gt;0,"bOnlySelfSrc=true,","")&amp;"},"&amp;"[2]={"&amp;IF(W130&gt;0,"bCheckLevel=true,","")&amp;IF(X130&gt;0,"bWhisperChannel=true,","")&amp;IF(Y130&gt;0,"bCenterAlarm=true,","")&amp;"},"&amp;IF(OR(Z130&gt;0,AD130&lt;&gt;"",AE130&gt;0,AF130&lt;&gt;"",AG130&lt;&gt;"",AH130&gt;0,AI130&gt;0,AJ130&gt;0,AK130&gt;0),"aCataclysmBuff={{"&amp;IF(Z130&gt;0,"nStackNum="&amp;Z130&amp;",","")&amp;IF(AA130&lt;&gt;"","szStackOp="""&amp;AA130&amp;""",","")&amp;IF(AB130&gt;0,"bOnlyMine=true,","")&amp;IF(AC130&gt;0,"bOnlyMe=true,","")&amp;IF(AD130&lt;&gt;"","szReminder="""&amp;AD130&amp;""",","")&amp;IF(AE130&gt;0,"nPriority="&amp;AE130&amp;",","")&amp;IF(AF130&lt;&gt;"","col="""&amp;AF130&amp;""",","")&amp;IF(AG130&lt;&gt;"","colScreenHead="""&amp;AG130&amp;""",","")&amp;IF(AH130&gt;0,"nColAlpha="&amp;AH130&amp;",","")&amp;IF(AI130&gt;0,"bAttention=true,","")&amp;IF(AJ130&gt;0,"bCaution=true,","")&amp;IF(AK130&gt;0,"bScreenHead=true,","")&amp;"},"&amp;AL130&amp;"},","")&amp;IF(AN130&lt;&gt;"","tCountdown={"&amp;_xlfn.TEXTJOIN("",TRUE,AN130:ZY130)&amp;"},","")&amp;"},",IF(C129&gt;0,"},","")&amp;IF(AND(B130="",C130="",OR(B129&lt;&gt;"",C129&lt;&gt;"")),"},}","")))</f>
        <v>{dwID=24142,nLevel=1,nIcon=13669,szName="白5",nScrutinyType=1,tKungFu={["SKILL#10021"]=true,["SKILL#10028"]=true,},szNote="万花·白子5",col={255,255,0,},[1]={bBuffList=true,},[2]={},},</v>
      </c>
    </row>
    <row r="131" spans="3:41" x14ac:dyDescent="0.15">
      <c r="C131">
        <v>24245</v>
      </c>
      <c r="D131">
        <v>1</v>
      </c>
      <c r="I131">
        <v>1</v>
      </c>
      <c r="J131" t="s">
        <v>2747</v>
      </c>
      <c r="L131" t="s">
        <v>2152</v>
      </c>
      <c r="T131">
        <v>1</v>
      </c>
      <c r="AM131" t="str">
        <f t="shared" si="2"/>
        <v>{dwID=24245,nLevel=1,nScrutinyType=1,tKungFu={["SKILL#10028"]=true,},col={0,255,255,},[1]={bBuffList=true,},[2]={},tCountdown={{nClass=1,nIcon=3010,nFrame=6,szName="水逝·10s水月爆发",nTime=10,key="水逝",},{nClass=2,nIcon=3010,nFrame=5,szName="水逝",nTime=0,key="水逝",},},},</v>
      </c>
      <c r="AN131" t="s">
        <v>2748</v>
      </c>
      <c r="AO131" t="s">
        <v>2749</v>
      </c>
    </row>
    <row r="132" spans="3:41" x14ac:dyDescent="0.15">
      <c r="C132">
        <v>6266</v>
      </c>
      <c r="D132">
        <v>1</v>
      </c>
      <c r="I132">
        <v>1</v>
      </c>
      <c r="J132" t="s">
        <v>2747</v>
      </c>
      <c r="L132" t="s">
        <v>2168</v>
      </c>
      <c r="T132">
        <v>1</v>
      </c>
      <c r="AM132" t="str">
        <f t="shared" si="2"/>
        <v>{dwID=6266,nLevel=1,nScrutinyType=1,tKungFu={["SKILL#10028"]=true,},col={0,255,0,},[1]={bBuffList=true,},[2]={},},</v>
      </c>
    </row>
    <row r="133" spans="3:41" x14ac:dyDescent="0.15">
      <c r="C133">
        <v>16497</v>
      </c>
      <c r="D133">
        <v>2</v>
      </c>
      <c r="I133">
        <v>1</v>
      </c>
      <c r="J133" t="s">
        <v>2149</v>
      </c>
      <c r="K133" t="s">
        <v>2750</v>
      </c>
      <c r="L133" t="s">
        <v>2143</v>
      </c>
      <c r="T133">
        <v>1</v>
      </c>
      <c r="AM133" t="str">
        <f t="shared" si="2"/>
        <v>{dwID=16497,nLevel=2,nScrutinyType=1,tKungFu={["SKILL#10021"]=true,["SKILL#10028"]=true,},szNote="为爆炸范围内玩家目标",col={255,255,0,},[1]={bBuffList=true,},[2]={},tCountdown={{nClass=2,nIcon=2941,nFrame=5,szName="为爆炸范围内玩家目标NPC添加等级为1持续时间为8秒的静寂之美",nTime=0,key="静寂之美",},},},</v>
      </c>
      <c r="AN133" t="s">
        <v>2751</v>
      </c>
    </row>
    <row r="134" spans="3:41" x14ac:dyDescent="0.15">
      <c r="C134">
        <v>16678</v>
      </c>
      <c r="D134">
        <v>1</v>
      </c>
      <c r="G134" t="s">
        <v>490</v>
      </c>
      <c r="I134">
        <v>1</v>
      </c>
      <c r="J134" t="s">
        <v>2149</v>
      </c>
      <c r="K134" t="s">
        <v>2752</v>
      </c>
      <c r="AM134" t="str">
        <f t="shared" si="2"/>
        <v>{dwID=16678,nLevel=1,szName="静寂之美",nScrutinyType=1,tKungFu={["SKILL#10021"]=true,["SKILL#10028"]=true,},szNote="静寂之美实际效果",[1]={},[2]={},},</v>
      </c>
    </row>
    <row r="135" spans="3:41" x14ac:dyDescent="0.15">
      <c r="C135">
        <v>16705</v>
      </c>
      <c r="D135">
        <v>1</v>
      </c>
      <c r="G135" t="s">
        <v>2753</v>
      </c>
      <c r="I135">
        <v>1</v>
      </c>
      <c r="J135" t="s">
        <v>2149</v>
      </c>
      <c r="K135" t="s">
        <v>2754</v>
      </c>
      <c r="AM135" t="str">
        <f t="shared" si="2"/>
        <v>{dwID=16705,nLevel=1,szName="标记BUFF",nScrutinyType=1,tKungFu={["SKILL#10021"]=true,["SKILL#10028"]=true,},szNote="万花特殊武器_标记",[1]={},[2]={},},</v>
      </c>
    </row>
    <row r="136" spans="3:41" x14ac:dyDescent="0.15">
      <c r="C136">
        <v>16872</v>
      </c>
      <c r="D136">
        <v>1</v>
      </c>
      <c r="G136" t="s">
        <v>2755</v>
      </c>
      <c r="I136">
        <v>1</v>
      </c>
      <c r="J136" t="s">
        <v>2149</v>
      </c>
      <c r="K136" t="s">
        <v>2755</v>
      </c>
      <c r="AM136" t="str">
        <f t="shared" si="2"/>
        <v>{dwID=16872,nLevel=1,szName="人数记录BUFF",nScrutinyType=1,tKungFu={["SKILL#10021"]=true,["SKILL#10028"]=true,},szNote="人数记录BUFF",[1]={},[2]={},},</v>
      </c>
    </row>
    <row r="137" spans="3:41" x14ac:dyDescent="0.15">
      <c r="C137">
        <v>15380</v>
      </c>
      <c r="D137">
        <v>1</v>
      </c>
      <c r="J137" t="s">
        <v>2149</v>
      </c>
      <c r="AM137" t="str">
        <f t="shared" si="2"/>
        <v>{dwID=15380,nLevel=1,tKungFu={["SKILL#10021"]=true,["SKILL#10028"]=true,},[1]={},[2]={},},</v>
      </c>
    </row>
    <row r="138" spans="3:41" x14ac:dyDescent="0.15">
      <c r="C138">
        <v>3097</v>
      </c>
      <c r="D138">
        <v>1</v>
      </c>
      <c r="J138" t="s">
        <v>2149</v>
      </c>
      <c r="AM138" t="str">
        <f t="shared" si="2"/>
        <v>{dwID=3097,nLevel=1,tKungFu={["SKILL#10021"]=true,["SKILL#10028"]=true,},[1]={},[2]={},},</v>
      </c>
    </row>
    <row r="139" spans="3:41" x14ac:dyDescent="0.15">
      <c r="C139">
        <v>15381</v>
      </c>
      <c r="D139">
        <v>1</v>
      </c>
      <c r="J139" t="s">
        <v>2149</v>
      </c>
      <c r="AM139" t="str">
        <f t="shared" si="2"/>
        <v>{dwID=15381,nLevel=1,tKungFu={["SKILL#10021"]=true,["SKILL#10028"]=true,},[1]={},[2]={},},</v>
      </c>
    </row>
    <row r="140" spans="3:41" x14ac:dyDescent="0.15">
      <c r="C140">
        <v>15377</v>
      </c>
      <c r="D140">
        <v>1</v>
      </c>
      <c r="J140" t="s">
        <v>2149</v>
      </c>
      <c r="AM140" t="str">
        <f t="shared" si="2"/>
        <v>{dwID=15377,nLevel=1,tKungFu={["SKILL#10021"]=true,["SKILL#10028"]=true,},[1]={},[2]={},},</v>
      </c>
    </row>
    <row r="141" spans="3:41" x14ac:dyDescent="0.15">
      <c r="C141">
        <v>6004</v>
      </c>
      <c r="D141">
        <v>1</v>
      </c>
      <c r="F141">
        <v>630</v>
      </c>
      <c r="G141" t="s">
        <v>2756</v>
      </c>
      <c r="I141">
        <v>2</v>
      </c>
      <c r="L141" t="s">
        <v>2348</v>
      </c>
      <c r="T141">
        <v>1</v>
      </c>
      <c r="U141">
        <v>1</v>
      </c>
      <c r="AD141" t="s">
        <v>2757</v>
      </c>
      <c r="AE141">
        <v>1</v>
      </c>
      <c r="AF141" t="s">
        <v>2169</v>
      </c>
      <c r="AG141" t="s">
        <v>2170</v>
      </c>
      <c r="AH141">
        <v>255</v>
      </c>
      <c r="AM141" t="str">
        <f t="shared" si="2"/>
        <v>{dwID=6004,nLevel=1,nIcon=630,szName="切奇穴",nScrutinyType=2,col={255,255,50,},[1]={bBuffList=true,bTeamPanel=true,},[2]={},aCataclysmBuff={{szReminder="切 切换奇穴",nPriority=1,col="#00FF00FF",colScreenHead="#00FF00",nColAlpha=255,},},},</v>
      </c>
    </row>
    <row r="142" spans="3:41" x14ac:dyDescent="0.15">
      <c r="C142">
        <v>15759</v>
      </c>
      <c r="D142">
        <v>1</v>
      </c>
      <c r="I142">
        <v>1</v>
      </c>
      <c r="AM142" t="str">
        <f t="shared" si="2"/>
        <v>{dwID=15759,nLevel=1,nScrutinyType=1,[1]={},[2]={},tCountdown={{nClass=1,nIcon=12373,nFrame=5,szName="机缘·良伴·宠物奇遇",nTime=10,nRefresh=9999,key="机缘",},},},</v>
      </c>
      <c r="AN142" t="s">
        <v>2758</v>
      </c>
    </row>
    <row r="143" spans="3:41" x14ac:dyDescent="0.15">
      <c r="C143">
        <v>9154</v>
      </c>
      <c r="D143">
        <v>1</v>
      </c>
      <c r="T143">
        <v>1</v>
      </c>
      <c r="U143">
        <v>1</v>
      </c>
      <c r="AM143" t="str">
        <f t="shared" si="2"/>
        <v>{dwID=9154,nLevel=1,[1]={bBuffList=true,bTeamPanel=true,},[2]={},tCountdown={{nClass=1,nIcon=3448,nFrame=5,szName="【{$sender}】→【{$receiver}】",nTime=20,key="波涛浩荡",},},},</v>
      </c>
      <c r="AN143" t="s">
        <v>2759</v>
      </c>
    </row>
    <row r="144" spans="3:41" x14ac:dyDescent="0.15">
      <c r="C144">
        <v>24281</v>
      </c>
      <c r="D144">
        <v>1</v>
      </c>
      <c r="F144">
        <v>15667</v>
      </c>
      <c r="G144" t="s">
        <v>2760</v>
      </c>
      <c r="I144">
        <v>1</v>
      </c>
      <c r="J144" t="s">
        <v>2149</v>
      </c>
      <c r="AM144" t="str">
        <f t="shared" si="2"/>
        <v>{dwID=24281,nLevel=1,nIcon=15667,szName="万花进战",nScrutinyType=1,tKungFu={["SKILL#10021"]=true,["SKILL#10028"]=true,},[1]={},[2]={},tCountdown={{nClass=2,nIcon=403,nFrame=5,szName="KEY·秋肃",nTime=0,key="KEY·秋肃",},},},</v>
      </c>
      <c r="AN144" t="s">
        <v>2761</v>
      </c>
    </row>
    <row r="145" spans="3:41" x14ac:dyDescent="0.15">
      <c r="C145">
        <v>24277</v>
      </c>
      <c r="D145">
        <v>1</v>
      </c>
      <c r="F145">
        <v>15667</v>
      </c>
      <c r="G145" t="s">
        <v>2762</v>
      </c>
      <c r="I145">
        <v>1</v>
      </c>
      <c r="J145" t="s">
        <v>2149</v>
      </c>
      <c r="AM145" t="str">
        <f t="shared" si="2"/>
        <v>{dwID=24277,nLevel=1,nIcon=15667,szName="万花脱战",nScrutinyType=1,tKungFu={["SKILL#10021"]=true,["SKILL#10028"]=true,},[1]={},[2]={},tCountdown={{nClass=1,nIcon=403,nFrame=5,szName="KEY·秋肃",nTime=0,key="KEY·秋肃",},},},</v>
      </c>
      <c r="AN145" t="s">
        <v>2763</v>
      </c>
    </row>
    <row r="146" spans="3:41" x14ac:dyDescent="0.15">
      <c r="C146">
        <v>1263</v>
      </c>
      <c r="D146">
        <v>1</v>
      </c>
      <c r="F146">
        <v>2111</v>
      </c>
      <c r="G146" t="s">
        <v>314</v>
      </c>
      <c r="L146" t="s">
        <v>2168</v>
      </c>
      <c r="R146">
        <v>1</v>
      </c>
      <c r="U146">
        <v>1</v>
      </c>
      <c r="AD146" t="s">
        <v>2764</v>
      </c>
      <c r="AE146">
        <v>3</v>
      </c>
      <c r="AF146" t="s">
        <v>2169</v>
      </c>
      <c r="AH146">
        <v>255</v>
      </c>
      <c r="AK146">
        <v>1</v>
      </c>
      <c r="AM146" t="str">
        <f t="shared" si="2"/>
        <v>{dwID=1263,nLevel=1,nIcon=2111,szName="传功",col={0,255,0,},[1]={bScreenHead=true,bTeamPanel=true,},[2]={},aCataclysmBuff={{szReminder="传",nPriority=3,col="#00FF00FF",nColAlpha=255,bScreenHead=true,},},tCountdown={{nClass=2,nIcon=2111,nFrame=5,szName="",nTime=0,key="传功·{$sender}",},},},</v>
      </c>
      <c r="AN146" t="s">
        <v>2765</v>
      </c>
    </row>
    <row r="147" spans="3:41" x14ac:dyDescent="0.15">
      <c r="C147">
        <v>7246</v>
      </c>
      <c r="D147">
        <v>1</v>
      </c>
      <c r="F147">
        <v>3443</v>
      </c>
      <c r="G147" t="s">
        <v>466</v>
      </c>
      <c r="T147">
        <v>1</v>
      </c>
      <c r="AM147" t="str">
        <f t="shared" si="2"/>
        <v>{dwID=7246,nLevel=1,nIcon=3443,szName="禁足",[1]={bBuffList=true,},[2]={},},</v>
      </c>
    </row>
    <row r="148" spans="3:41" x14ac:dyDescent="0.15">
      <c r="C148">
        <v>23703</v>
      </c>
      <c r="D148">
        <v>1</v>
      </c>
      <c r="F148">
        <v>5958</v>
      </c>
      <c r="G148" t="s">
        <v>2766</v>
      </c>
      <c r="I148">
        <v>1</v>
      </c>
      <c r="L148" t="s">
        <v>2143</v>
      </c>
      <c r="T148">
        <v>1</v>
      </c>
      <c r="AM148" t="str">
        <f t="shared" si="2"/>
        <v>{dwID=23703,nLevel=1,nIcon=5958,szName="召请",nScrutinyType=1,col={255,255,0,},[1]={bBuffList=true,},[2]={},tCountdown={{nClass=2,nIcon=5958,nFrame=5,szName="侠客召请",nTime=0,key="侠客召请",},},},</v>
      </c>
      <c r="AN148" t="s">
        <v>2767</v>
      </c>
    </row>
    <row r="149" spans="3:41" x14ac:dyDescent="0.15">
      <c r="C149">
        <v>13406</v>
      </c>
      <c r="D149">
        <v>1</v>
      </c>
      <c r="F149">
        <v>2546</v>
      </c>
      <c r="G149" t="s">
        <v>465</v>
      </c>
      <c r="K149" t="s">
        <v>465</v>
      </c>
      <c r="Y149">
        <v>1</v>
      </c>
      <c r="AM149" t="str">
        <f t="shared" si="2"/>
        <v>{dwID=13406,nLevel=1,nIcon=2546,szName="雪雪乘船CD",szNote="雪雪乘船CD",[1]={},[2]={bCenterAlarm=true,},tCountdown={{nClass=1,nIcon=2546,nFrame=4,szName="雪雪乘船CD",nTime=2,nRefresh=7200,key="雪雪乘船CD",},{nClass=2,nIcon=2546,nFrame=6,szName="雪雪乘船CD·消失",nTime=5,key="雪雪乘船CD",},},},</v>
      </c>
      <c r="AN149" t="s">
        <v>2768</v>
      </c>
      <c r="AO149" t="s">
        <v>2769</v>
      </c>
    </row>
    <row r="150" spans="3:41" x14ac:dyDescent="0.15">
      <c r="C150">
        <v>11584</v>
      </c>
      <c r="D150">
        <v>1</v>
      </c>
      <c r="I150">
        <v>1</v>
      </c>
      <c r="K150" t="s">
        <v>2680</v>
      </c>
      <c r="L150" t="s">
        <v>2181</v>
      </c>
      <c r="Y150">
        <v>1</v>
      </c>
      <c r="AM150" t="str">
        <f t="shared" si="2"/>
        <v>{dwID=11584,nLevel=1,nScrutinyType=1,szNote="雪山恩仇",col={255,150,0,},[1]={},[2]={bCenterAlarm=true,},tCountdown={{nClass=2,nIcon=4514,nFrame=0,szName="奇遇·雪山恩仇·解封",nTime=10,key="奇遇·封印",},{nClass=2,nIcon=4514,nFrame=0,szName="普通空雾峰·莫菲菲·传功",nTime=10.1,key="奇遇·解封",},},},</v>
      </c>
      <c r="AN150" t="s">
        <v>2770</v>
      </c>
      <c r="AO150" t="s">
        <v>2771</v>
      </c>
    </row>
    <row r="151" spans="3:41" x14ac:dyDescent="0.15">
      <c r="C151">
        <v>23136</v>
      </c>
      <c r="D151">
        <v>1</v>
      </c>
      <c r="I151">
        <v>1</v>
      </c>
      <c r="K151" t="s">
        <v>2681</v>
      </c>
      <c r="Y151">
        <v>1</v>
      </c>
      <c r="AM151" t="str">
        <f t="shared" si="2"/>
        <v>{dwID=23136,nLevel=1,nScrutinyType=1,szNote="鸠雀记",[1]={},[2]={bCenterAlarm=true,},tCountdown={{nClass=2,nIcon=2399,nFrame=7,szName="奇遇·鸠雀记·解封",nTime=10,key="奇遇·封印",},{nClass=2,nIcon=2399,nFrame=7,szName="扬州·再来镇·张百炼",nTime=10.1,key="奇遇·解封",},},},</v>
      </c>
      <c r="AN151" t="s">
        <v>2772</v>
      </c>
      <c r="AO151" t="s">
        <v>2773</v>
      </c>
    </row>
    <row r="152" spans="3:41" x14ac:dyDescent="0.15">
      <c r="C152">
        <v>9119</v>
      </c>
      <c r="D152">
        <v>1</v>
      </c>
      <c r="I152">
        <v>1</v>
      </c>
      <c r="K152" t="s">
        <v>416</v>
      </c>
      <c r="Y152">
        <v>1</v>
      </c>
      <c r="AM152" t="str">
        <f t="shared" si="2"/>
        <v>{dwID=9119,nLevel=1,nScrutinyType=1,szNote="少年行",[1]={},[2]={bCenterAlarm=true,},tCountdown={{nClass=2,nIcon=1475,nFrame=7,szName="奇遇·少年行·解封",nTime=10,key="奇遇·封印",},{nClass=2,nIcon=1475,nFrame=7,szName="奇遇·解封",nTime=0,key="奇遇·解封",},},},</v>
      </c>
      <c r="AN152" t="s">
        <v>2774</v>
      </c>
      <c r="AO152" t="s">
        <v>2775</v>
      </c>
    </row>
    <row r="153" spans="3:41" x14ac:dyDescent="0.15">
      <c r="C153">
        <v>9124</v>
      </c>
      <c r="D153">
        <v>1</v>
      </c>
      <c r="F153">
        <v>105</v>
      </c>
      <c r="G153" t="s">
        <v>2682</v>
      </c>
      <c r="I153">
        <v>1</v>
      </c>
      <c r="K153" t="s">
        <v>417</v>
      </c>
      <c r="Y153">
        <v>1</v>
      </c>
      <c r="AM153" t="str">
        <f t="shared" si="2"/>
        <v>{dwID=9124,nLevel=1,nIcon=105,szName="茶馆奇缘",nScrutinyType=1,szNote="茶馆奇缘_CD",[1]={},[2]={bCenterAlarm=true,},tCountdown={{nClass=2,nIcon=105,nFrame=7,szName="奇遇·茶馆奇缘·解封",nTime=10,key="奇遇·封印",},{nClass=2,nIcon=105,nFrame=7,szName="长安·战乱·茶馆·秋画扇",nTime=10.1,key="奇遇·解封",},},},</v>
      </c>
      <c r="AN153" t="s">
        <v>2776</v>
      </c>
      <c r="AO153" t="s">
        <v>2777</v>
      </c>
    </row>
    <row r="154" spans="3:41" x14ac:dyDescent="0.15">
      <c r="C154">
        <v>13982</v>
      </c>
      <c r="D154">
        <v>1</v>
      </c>
      <c r="F154">
        <v>11208</v>
      </c>
      <c r="G154" t="s">
        <v>2683</v>
      </c>
      <c r="I154">
        <v>1</v>
      </c>
      <c r="K154" t="s">
        <v>470</v>
      </c>
      <c r="Y154">
        <v>1</v>
      </c>
      <c r="AM154" t="str">
        <f t="shared" si="2"/>
        <v>{dwID=13982,nLevel=1,nIcon=11208,szName="秘宝图",nScrutinyType=1,szNote="秘宝图_计时_BUFF",[1]={},[2]={bCenterAlarm=true,},tCountdown={{nClass=2,nIcon=11208,nFrame=7,szName="奇遇·秘宝图·解封",nTime=10,key="奇遇·封印",},{nClass=2,nIcon=11208,nFrame=7,szName="侠客岛·安平村村口·光圈",nTime=10.1,key="奇遇·解封",},},},</v>
      </c>
      <c r="AN154" t="s">
        <v>2778</v>
      </c>
      <c r="AO154" t="s">
        <v>2779</v>
      </c>
    </row>
    <row r="155" spans="3:41" x14ac:dyDescent="0.15">
      <c r="C155">
        <v>11901</v>
      </c>
      <c r="D155">
        <v>1</v>
      </c>
      <c r="F155">
        <v>9246</v>
      </c>
      <c r="G155" t="s">
        <v>2684</v>
      </c>
      <c r="I155">
        <v>1</v>
      </c>
      <c r="K155" t="s">
        <v>457</v>
      </c>
      <c r="Y155">
        <v>1</v>
      </c>
      <c r="AM155" t="str">
        <f t="shared" si="2"/>
        <v>{dwID=11901,nLevel=1,nIcon=9246,szName="北行镖",nScrutinyType=1,szNote="北行镖_隔天CD",[1]={},[2]={bCenterAlarm=true,},tCountdown={{nClass=2,nIcon=9246,nFrame=7,szName="奇遇·北行镖·解封",nTime=10,key="奇遇·封印",},{nClass=2,nIcon=9246,nFrame=7,szName="洛阳城·同文书馆·李文绮",nTime=10.1,key="奇遇·解封",},},},</v>
      </c>
      <c r="AN155" t="s">
        <v>2780</v>
      </c>
      <c r="AO155" t="s">
        <v>2781</v>
      </c>
    </row>
    <row r="156" spans="3:41" x14ac:dyDescent="0.15">
      <c r="C156">
        <v>10753</v>
      </c>
      <c r="D156">
        <v>1</v>
      </c>
      <c r="F156">
        <v>8134</v>
      </c>
      <c r="G156" t="s">
        <v>2685</v>
      </c>
      <c r="I156">
        <v>1</v>
      </c>
      <c r="K156" t="s">
        <v>435</v>
      </c>
      <c r="Y156">
        <v>1</v>
      </c>
      <c r="AM156" t="str">
        <f t="shared" si="2"/>
        <v>{dwID=10753,nLevel=1,nIcon=8134,szName="石敢当",nScrutinyType=1,szNote="石敢当奇遇日常buff",[1]={},[2]={bCenterAlarm=true,},tCountdown={{nClass=2,nIcon=8134,nFrame=7,szName="奇遇·石敢当·解封",nTime=10,key="奇遇·封印",},{nClass=2,nIcon=8134,nFrame=7,szName="成都·吴为有",nTime=10.1,key="奇遇·解封",},},},</v>
      </c>
      <c r="AN156" t="s">
        <v>2782</v>
      </c>
      <c r="AO156" t="s">
        <v>2783</v>
      </c>
    </row>
    <row r="157" spans="3:41" x14ac:dyDescent="0.15">
      <c r="C157">
        <v>12830</v>
      </c>
      <c r="D157">
        <v>1</v>
      </c>
      <c r="F157">
        <v>10052</v>
      </c>
      <c r="G157" t="s">
        <v>2686</v>
      </c>
      <c r="I157">
        <v>1</v>
      </c>
      <c r="K157" t="s">
        <v>463</v>
      </c>
      <c r="Y157">
        <v>1</v>
      </c>
      <c r="AM157" t="str">
        <f t="shared" si="2"/>
        <v>{dwID=12830,nLevel=1,nIcon=10052,szName="戎马边",nScrutinyType=1,szNote="戎马边_定时_BUFF",[1]={},[2]={bCenterAlarm=true,},tCountdown={{nClass=2,nIcon=10052,nFrame=7,szName="奇遇·戎马边·解封",nTime=10,key="奇遇·封印",},{nClass=2,nIcon=10052,nFrame=7,szName="太原·怀德门·栾志辉",nTime=10.1,key="奇遇·解封",},},},</v>
      </c>
      <c r="AN157" t="s">
        <v>2784</v>
      </c>
      <c r="AO157" t="s">
        <v>2785</v>
      </c>
    </row>
    <row r="158" spans="3:41" x14ac:dyDescent="0.15">
      <c r="C158">
        <v>11894</v>
      </c>
      <c r="D158">
        <v>1</v>
      </c>
      <c r="I158">
        <v>1</v>
      </c>
      <c r="K158" t="s">
        <v>456</v>
      </c>
      <c r="Y158">
        <v>1</v>
      </c>
      <c r="AM158" t="str">
        <f t="shared" si="2"/>
        <v>{dwID=11894,nLevel=1,nScrutinyType=1,szNote="东海客_隔日CD",[1]={},[2]={bCenterAlarm=true,},tCountdown={{nClass=2,nIcon=1372,nFrame=7,szName="奇遇·东海客·解封",nTime=10,key="奇遇·封印",},{nClass=2,nIcon=1372,nFrame=7,szName="五毒·无心岭·达久婆婆",nTime=10.1,key="奇遇·解封",},},},</v>
      </c>
      <c r="AN158" t="s">
        <v>2786</v>
      </c>
      <c r="AO158" t="s">
        <v>2787</v>
      </c>
    </row>
    <row r="159" spans="3:41" x14ac:dyDescent="0.15">
      <c r="C159">
        <v>11393</v>
      </c>
      <c r="D159">
        <v>1</v>
      </c>
      <c r="F159">
        <v>8591</v>
      </c>
      <c r="G159" t="s">
        <v>2687</v>
      </c>
      <c r="H159">
        <v>1</v>
      </c>
      <c r="I159">
        <v>1</v>
      </c>
      <c r="K159" t="s">
        <v>449</v>
      </c>
      <c r="Y159">
        <v>1</v>
      </c>
      <c r="AM159" t="str">
        <f t="shared" si="2"/>
        <v>{dwID=11393,nLevel=1,nIcon=8591,szName="稚子心",bCheckLevel=true,nScrutinyType=1,szNote="稚子心_标记_buff",[1]={},[2]={bCenterAlarm=true,},tCountdown={{nClass=2,nIcon=8591,nFrame=7,szName="奇遇·稚子心·解封1",nTime=10,key="奇遇·封印",},{nClass=2,nIcon=8591,nFrame=7,szName="丐帮·君山·苏临渊",nTime=10.1,key="奇遇·解封",},},},</v>
      </c>
      <c r="AN159" t="s">
        <v>2788</v>
      </c>
      <c r="AO159" t="s">
        <v>2789</v>
      </c>
    </row>
    <row r="160" spans="3:41" x14ac:dyDescent="0.15">
      <c r="C160">
        <v>11393</v>
      </c>
      <c r="D160">
        <v>2</v>
      </c>
      <c r="F160">
        <v>8591</v>
      </c>
      <c r="G160" t="s">
        <v>2687</v>
      </c>
      <c r="H160">
        <v>1</v>
      </c>
      <c r="I160">
        <v>1</v>
      </c>
      <c r="K160" t="s">
        <v>449</v>
      </c>
      <c r="Y160">
        <v>1</v>
      </c>
      <c r="AM160" t="str">
        <f t="shared" si="2"/>
        <v>{dwID=11393,nLevel=2,nIcon=8591,szName="稚子心",bCheckLevel=true,nScrutinyType=1,szNote="稚子心_标记_buff",[1]={},[2]={bCenterAlarm=true,},tCountdown={{nClass=2,nIcon=8591,nFrame=7,szName="奇遇·稚子心·解封2",nTime=10,key="奇遇·封印",},{nClass=2,nIcon=8591,nFrame=7,szName="扬州·内城杂货区·哈德罗德",nTime=10.1,key="奇遇·解封",},},},</v>
      </c>
      <c r="AN160" t="s">
        <v>2790</v>
      </c>
      <c r="AO160" t="s">
        <v>2791</v>
      </c>
    </row>
    <row r="161" spans="3:50" x14ac:dyDescent="0.15">
      <c r="C161">
        <v>11393</v>
      </c>
      <c r="D161">
        <v>3</v>
      </c>
      <c r="F161">
        <v>8591</v>
      </c>
      <c r="G161" t="s">
        <v>2687</v>
      </c>
      <c r="H161">
        <v>1</v>
      </c>
      <c r="I161">
        <v>1</v>
      </c>
      <c r="K161" t="s">
        <v>449</v>
      </c>
      <c r="Y161">
        <v>1</v>
      </c>
      <c r="AM161" t="str">
        <f t="shared" si="2"/>
        <v>{dwID=11393,nLevel=3,nIcon=8591,szName="稚子心",bCheckLevel=true,nScrutinyType=1,szNote="稚子心_标记_buff",[1]={},[2]={bCenterAlarm=true,},tCountdown={{nClass=2,nIcon=8591,nFrame=7,szName="奇遇·稚子心·解封3",nTime=10,key="奇遇·封印",},{nClass=2,nIcon=8591,nFrame=7,szName="丐帮·集市·苏临渊",nTime=10.1,key="奇遇·解封",},},},</v>
      </c>
      <c r="AN161" t="s">
        <v>2792</v>
      </c>
      <c r="AO161" t="s">
        <v>2793</v>
      </c>
    </row>
    <row r="162" spans="3:50" x14ac:dyDescent="0.15">
      <c r="C162">
        <v>19565</v>
      </c>
      <c r="D162">
        <v>1</v>
      </c>
      <c r="F162">
        <v>15096</v>
      </c>
      <c r="G162" t="s">
        <v>2688</v>
      </c>
      <c r="I162">
        <v>1</v>
      </c>
      <c r="K162" t="s">
        <v>532</v>
      </c>
      <c r="Y162">
        <v>1</v>
      </c>
      <c r="AM162" t="str">
        <f t="shared" si="2"/>
        <v>{dwID=19565,nLevel=1,nIcon=15096,szName="丹青记",nScrutinyType=1,szNote="丹青记_拿樱桃CD",[1]={},[2]={bCenterAlarm=true,},tCountdown={{nClass=2,nIcon=15096,nFrame=7,szName="奇遇·丹青记·解封",nTime=10,key="奇遇·封印",},{nClass=2,nIcon=15096,nFrame=7,szName="九寨沟·镜海·神山乡关·白六娘",nTime=10.1,key="奇遇·解封",},},},</v>
      </c>
      <c r="AN162" t="s">
        <v>2794</v>
      </c>
      <c r="AO162" t="s">
        <v>2795</v>
      </c>
    </row>
    <row r="163" spans="3:50" x14ac:dyDescent="0.15">
      <c r="C163">
        <v>10197</v>
      </c>
      <c r="D163">
        <v>1</v>
      </c>
      <c r="F163">
        <v>7925</v>
      </c>
      <c r="G163" t="s">
        <v>2689</v>
      </c>
      <c r="I163">
        <v>1</v>
      </c>
      <c r="K163" t="s">
        <v>430</v>
      </c>
      <c r="Y163">
        <v>1</v>
      </c>
      <c r="AM163" t="str">
        <f t="shared" si="2"/>
        <v>{dwID=10197,nLevel=1,nIcon=7925,szName="清茗经",nScrutinyType=1,szNote="清茗经_记录_BUFF",[1]={},[2]={bCenterAlarm=true,},tCountdown={{nClass=2,nIcon=7925,nFrame=7,szName="奇遇·清茗经·解封",nTime=10,key="奇遇·封印",},{nClass=2,nIcon=7925,nFrame=7,szName="1日·五台山·台怀镇·婆娑僧",nTime=10.1,key="奇遇·解封1",},{nClass=2,nIcon=7925,nFrame=7,szName="2日·五台山·缘居林·梵叶禅师",nTime=10.1,key="奇遇·解封2",},},},</v>
      </c>
      <c r="AN163" t="s">
        <v>2796</v>
      </c>
      <c r="AO163" t="s">
        <v>2797</v>
      </c>
      <c r="AP163" t="s">
        <v>2798</v>
      </c>
    </row>
    <row r="164" spans="3:50" x14ac:dyDescent="0.15">
      <c r="C164">
        <v>21849</v>
      </c>
      <c r="D164">
        <v>1</v>
      </c>
      <c r="I164">
        <v>1</v>
      </c>
      <c r="K164" t="s">
        <v>561</v>
      </c>
      <c r="Y164">
        <v>1</v>
      </c>
      <c r="AM164" t="str">
        <f t="shared" si="2"/>
        <v>{dwID=21849,nLevel=1,nScrutinyType=1,szNote="凌云梯_切磋3天Buff",[1]={},[2]={bCenterAlarm=true,},tCountdown={{nClass=2,nIcon=9,nFrame=7,szName="奇遇·凌云梯·解封",nTime=10,key="奇遇·封印",},{nClass=2,nIcon=9,nFrame=7,szName="成都·擂台·楚辞岩",nTime=10.1,key="奇遇·解封",},},},</v>
      </c>
      <c r="AN164" t="s">
        <v>2799</v>
      </c>
      <c r="AO164" t="s">
        <v>2800</v>
      </c>
    </row>
    <row r="165" spans="3:50" x14ac:dyDescent="0.15">
      <c r="C165">
        <v>15444</v>
      </c>
      <c r="D165">
        <v>1</v>
      </c>
      <c r="F165">
        <v>8317</v>
      </c>
      <c r="G165" t="s">
        <v>2690</v>
      </c>
      <c r="I165">
        <v>1</v>
      </c>
      <c r="K165" t="s">
        <v>478</v>
      </c>
      <c r="Y165">
        <v>1</v>
      </c>
      <c r="AM165" t="str">
        <f t="shared" si="2"/>
        <v>{dwID=15444,nLevel=1,nIcon=8317,szName="虎啸CD",nScrutinyType=1,szNote="静静_CD_BUFF",[1]={},[2]={bCenterAlarm=true,},},</v>
      </c>
    </row>
    <row r="166" spans="3:50" x14ac:dyDescent="0.15">
      <c r="C166">
        <v>4408</v>
      </c>
      <c r="D166">
        <v>1</v>
      </c>
      <c r="F166">
        <v>6124</v>
      </c>
      <c r="G166" t="s">
        <v>2801</v>
      </c>
      <c r="I166">
        <v>1</v>
      </c>
      <c r="K166" t="s">
        <v>371</v>
      </c>
      <c r="L166" t="s">
        <v>2143</v>
      </c>
      <c r="T166">
        <v>1</v>
      </c>
      <c r="AM166" t="str">
        <f t="shared" si="2"/>
        <v>{dwID=4408,nLevel=1,nIcon=6124,szName="召宠",nScrutinyType=1,szNote="张岩召唤宠物CD",col={255,255,0,},[1]={bBuffList=true,},[2]={},},</v>
      </c>
    </row>
    <row r="167" spans="3:50" x14ac:dyDescent="0.15">
      <c r="C167">
        <v>6674</v>
      </c>
      <c r="D167">
        <v>1</v>
      </c>
      <c r="F167">
        <v>2019</v>
      </c>
      <c r="G167" t="s">
        <v>288</v>
      </c>
      <c r="K167" t="s">
        <v>399</v>
      </c>
      <c r="T167">
        <v>1</v>
      </c>
      <c r="AM167" t="str">
        <f t="shared" si="2"/>
        <v>{dwID=6674,nLevel=1,nIcon=2019,szName="眩晕",szNote="呕吐表现",[1]={bBuffList=true,},[2]={},},</v>
      </c>
    </row>
    <row r="168" spans="3:50" x14ac:dyDescent="0.15">
      <c r="C168">
        <v>7616</v>
      </c>
      <c r="D168">
        <v>1</v>
      </c>
      <c r="F168">
        <v>13172</v>
      </c>
      <c r="G168" t="s">
        <v>370</v>
      </c>
      <c r="K168" t="s">
        <v>2802</v>
      </c>
      <c r="T168">
        <v>1</v>
      </c>
      <c r="AM168" t="str">
        <f t="shared" si="2"/>
        <v>{dwID=7616,nLevel=1,nIcon=13172,szName="僵直",szNote="锁操作_御兽",[1]={bBuffList=true,},[2]={},},</v>
      </c>
    </row>
    <row r="169" spans="3:50" x14ac:dyDescent="0.15">
      <c r="C169">
        <v>8475</v>
      </c>
      <c r="D169">
        <v>1</v>
      </c>
      <c r="F169">
        <v>6700</v>
      </c>
      <c r="G169" t="s">
        <v>2803</v>
      </c>
      <c r="H169">
        <v>1</v>
      </c>
      <c r="I169">
        <v>1</v>
      </c>
      <c r="K169" t="s">
        <v>2804</v>
      </c>
      <c r="AM169" t="str">
        <f t="shared" si="2"/>
        <v>{dwID=8475,nLevel=1,nIcon=6700,szName="乘骑中",bCheckLevel=true,nScrutinyType=1,szNote="乘骑监控",[1]={},[2]={},tCountdown={{nClass=2,nIcon=1465,nFrame=-1,szName="　",nTime=0.001,nRefresh=300,key="骑御·劲足",},{nClass=2,nIcon=6491,nFrame=5,szName="骑御·劲足",nTime=-1,key="骑御·劲足",},{nClass=2,nIcon=6678,nFrame=6,szName="骑御·调息",nTime=-1,key="骑御·调息",},},},</v>
      </c>
      <c r="AN169" t="s">
        <v>2157</v>
      </c>
      <c r="AO169" t="s">
        <v>2158</v>
      </c>
      <c r="AP169" t="s">
        <v>2096</v>
      </c>
    </row>
    <row r="170" spans="3:50" x14ac:dyDescent="0.15">
      <c r="C170">
        <v>14253</v>
      </c>
      <c r="D170">
        <v>1</v>
      </c>
      <c r="F170">
        <v>15678</v>
      </c>
      <c r="G170" t="s">
        <v>2572</v>
      </c>
      <c r="I170">
        <v>1</v>
      </c>
      <c r="K170" t="s">
        <v>474</v>
      </c>
      <c r="L170" t="s">
        <v>2143</v>
      </c>
      <c r="T170">
        <v>1</v>
      </c>
      <c r="AM170" t="str">
        <f t="shared" si="2"/>
        <v>{dwID=14253,nLevel=1,nIcon=15678,szName="成就",nScrutinyType=1,szNote="成就排名申请CD",col={255,255,0,},[1]={bBuffList=true,},[2]={},},</v>
      </c>
    </row>
    <row r="171" spans="3:50" x14ac:dyDescent="0.15">
      <c r="C171">
        <v>11582</v>
      </c>
      <c r="D171">
        <v>1</v>
      </c>
      <c r="I171">
        <v>1</v>
      </c>
      <c r="K171" t="s">
        <v>2680</v>
      </c>
      <c r="L171" t="s">
        <v>2143</v>
      </c>
      <c r="AM171" t="str">
        <f t="shared" si="2"/>
        <v>{dwID=11582,nLevel=1,nScrutinyType=1,szNote="雪山恩仇",col={255,255,0,},[1]={},[2]={},tCountdown={{nClass=1,nIcon=17135,nFrame=7,szName="请返回门派·寻找·掌事者",nTime=30,nRefresh=7200,key="雪山恩仇·首次提示",},{nClass=1,nIcon=13693,nFrame=5,szName="少林·玄  正|万花·孙思邈",nTime=30,nRefresh=7200,key="雪山恩仇·提示1",},{nClass=1,nIcon=13695,nFrame=5,szName="天策·李承恩|纯阳·李忘生",nTime=30,nRefresh=7200,key="雪山恩仇·提示2",},{nClass=1,nIcon=13697,nFrame=5,szName="七秀·萧白胭|五毒·艾  黎",nTime=30,nRefresh=7200,key="雪山恩仇·提示3",},{nClass=1,nIcon=13700,nFrame=5,szName="唐门·唐老太|藏剑·叶  晖",nTime=30,nRefresh=7200,key="雪山恩仇·提示4",},{nClass=1,nIcon=13702,nFrame=5,szName="丐帮·郭  岩|明教·陆危楼",nTime=30,nRefresh=7200,key="雪山恩仇·提示5",},{nClass=1,nIcon=13703,nFrame=5,szName="苍云·长孙忘情|长歌·杨逸飞",nTime=30,nRefresh=7200,key="雪山恩仇·提示6",},{nClass=1,nIcon=13705,nFrame=5,szName="霸刀·柳静海|蓬莱·方  乾",nTime=30,nRefresh=7200,key="雪山恩仇·提示7",},{nClass=1,nIcon=13707,nFrame=5,szName="凌雪·林白轩|衍天·萧卿云",nTime=30,nRefresh=7200,key="雪山恩仇·提示8",},{nClass=1,nIcon=15593,nFrame=5,szName="药宗·陈  月|刀宗·谢云流",nTime=30,nRefresh=7200,key="雪山恩仇·提示9",},{nClass=1,nIcon=19664,nFrame=5,szName="万灵·颂少风",nTime=30,nRefresh=7200,key="雪山恩仇·提示10",},},},</v>
      </c>
      <c r="AN171" t="s">
        <v>2805</v>
      </c>
      <c r="AO171" t="s">
        <v>2806</v>
      </c>
      <c r="AP171" t="s">
        <v>2807</v>
      </c>
      <c r="AQ171" t="s">
        <v>2808</v>
      </c>
      <c r="AR171" t="s">
        <v>2809</v>
      </c>
      <c r="AS171" t="s">
        <v>2810</v>
      </c>
      <c r="AT171" t="s">
        <v>2811</v>
      </c>
      <c r="AU171" t="s">
        <v>2812</v>
      </c>
      <c r="AV171" t="s">
        <v>2813</v>
      </c>
      <c r="AW171" t="s">
        <v>2814</v>
      </c>
      <c r="AX171" t="s">
        <v>2815</v>
      </c>
    </row>
    <row r="172" spans="3:50" x14ac:dyDescent="0.15">
      <c r="C172">
        <v>1821</v>
      </c>
      <c r="D172">
        <v>1</v>
      </c>
      <c r="F172">
        <v>6226</v>
      </c>
      <c r="G172" t="s">
        <v>2816</v>
      </c>
      <c r="I172">
        <v>1</v>
      </c>
      <c r="K172" t="s">
        <v>331</v>
      </c>
      <c r="AM172" t="str">
        <f t="shared" si="2"/>
        <v>{dwID=1821,nLevel=1,nIcon=6226,szName="罗盘冷却",nScrutinyType=1,szNote="挖宝_寻宝CD控制",[1]={},[2]={},},</v>
      </c>
    </row>
    <row r="173" spans="3:50" x14ac:dyDescent="0.15">
      <c r="C173">
        <v>7922</v>
      </c>
      <c r="D173">
        <v>1</v>
      </c>
      <c r="G173" t="s">
        <v>2817</v>
      </c>
      <c r="I173">
        <v>1</v>
      </c>
      <c r="L173" t="s">
        <v>2143</v>
      </c>
      <c r="AM173" t="str">
        <f t="shared" si="2"/>
        <v>{dwID=7922,nLevel=1,szName="挖掘",nScrutinyType=1,col={255,255,0,},[1]={},[2]={},},</v>
      </c>
    </row>
    <row r="174" spans="3:50" x14ac:dyDescent="0.15">
      <c r="C174">
        <v>1895</v>
      </c>
      <c r="D174">
        <v>1</v>
      </c>
      <c r="F174">
        <v>2409</v>
      </c>
      <c r="G174" t="s">
        <v>2818</v>
      </c>
      <c r="I174">
        <v>1</v>
      </c>
      <c r="K174" t="s">
        <v>333</v>
      </c>
      <c r="L174" t="s">
        <v>2143</v>
      </c>
      <c r="AM174" t="str">
        <f t="shared" si="2"/>
        <v>{dwID=1895,nLevel=1,nIcon=2409,szName="挖宝状态",nScrutinyType=1,szNote="挖宝_挖宝玩家状态",col={255,255,0,},[1]={},[2]={},tCountdown={{nClass=1,nIcon=2409,nFrame=5,szName="挖宝·CD",nTime=60,nRefresh=59,key="挖宝·CD",},},},</v>
      </c>
      <c r="AN174" t="s">
        <v>2819</v>
      </c>
    </row>
    <row r="175" spans="3:50" x14ac:dyDescent="0.15">
      <c r="C175">
        <v>7923</v>
      </c>
      <c r="D175">
        <v>1</v>
      </c>
      <c r="G175" t="s">
        <v>2820</v>
      </c>
      <c r="H175">
        <v>1</v>
      </c>
      <c r="I175">
        <v>1</v>
      </c>
      <c r="K175" t="s">
        <v>2821</v>
      </c>
      <c r="L175" t="s">
        <v>2168</v>
      </c>
      <c r="T175">
        <v>1</v>
      </c>
      <c r="AM175" t="str">
        <f t="shared" si="2"/>
        <v>{dwID=7923,nLevel=1,szName="1级",bCheckLevel=true,nScrutinyType=1,szNote="时来运转2%",col={0,255,0,},[1]={bBuffList=true,},[2]={},},</v>
      </c>
    </row>
    <row r="176" spans="3:50" x14ac:dyDescent="0.15">
      <c r="C176">
        <v>7923</v>
      </c>
      <c r="D176">
        <v>2</v>
      </c>
      <c r="G176" t="s">
        <v>2822</v>
      </c>
      <c r="H176">
        <v>1</v>
      </c>
      <c r="I176">
        <v>1</v>
      </c>
      <c r="K176" t="s">
        <v>2823</v>
      </c>
      <c r="L176" t="s">
        <v>2168</v>
      </c>
      <c r="T176">
        <v>1</v>
      </c>
      <c r="AM176" t="str">
        <f t="shared" si="2"/>
        <v>{dwID=7923,nLevel=2,szName="2级",bCheckLevel=true,nScrutinyType=1,szNote="顺风顺水4%",col={0,255,0,},[1]={bBuffList=true,},[2]={},},</v>
      </c>
    </row>
    <row r="177" spans="3:41" x14ac:dyDescent="0.15">
      <c r="C177">
        <v>7923</v>
      </c>
      <c r="D177">
        <v>3</v>
      </c>
      <c r="G177" t="s">
        <v>2824</v>
      </c>
      <c r="H177">
        <v>1</v>
      </c>
      <c r="I177">
        <v>1</v>
      </c>
      <c r="K177" t="s">
        <v>2825</v>
      </c>
      <c r="L177" t="s">
        <v>2168</v>
      </c>
      <c r="T177">
        <v>1</v>
      </c>
      <c r="AM177" t="str">
        <f t="shared" si="2"/>
        <v>{dwID=7923,nLevel=3,szName="3级",bCheckLevel=true,nScrutinyType=1,szNote="好运连连6%",col={0,255,0,},[1]={bBuffList=true,},[2]={},},</v>
      </c>
    </row>
    <row r="178" spans="3:41" x14ac:dyDescent="0.15">
      <c r="C178">
        <v>7923</v>
      </c>
      <c r="D178">
        <v>4</v>
      </c>
      <c r="G178" t="s">
        <v>2826</v>
      </c>
      <c r="H178">
        <v>1</v>
      </c>
      <c r="I178">
        <v>1</v>
      </c>
      <c r="K178" t="s">
        <v>2827</v>
      </c>
      <c r="L178" t="s">
        <v>2168</v>
      </c>
      <c r="T178">
        <v>1</v>
      </c>
      <c r="AM178" t="str">
        <f t="shared" si="2"/>
        <v>{dwID=7923,nLevel=4,szName="4级",bCheckLevel=true,nScrutinyType=1,szNote="鸿运当头8%",col={0,255,0,},[1]={bBuffList=true,},[2]={},},</v>
      </c>
    </row>
    <row r="179" spans="3:41" x14ac:dyDescent="0.15">
      <c r="C179">
        <v>7923</v>
      </c>
      <c r="D179">
        <v>5</v>
      </c>
      <c r="G179" t="s">
        <v>2828</v>
      </c>
      <c r="H179">
        <v>1</v>
      </c>
      <c r="I179">
        <v>1</v>
      </c>
      <c r="K179" t="s">
        <v>2829</v>
      </c>
      <c r="L179" t="s">
        <v>2168</v>
      </c>
      <c r="T179">
        <v>1</v>
      </c>
      <c r="AM179" t="str">
        <f t="shared" si="2"/>
        <v>{dwID=7923,nLevel=5,szName="5级",bCheckLevel=true,nScrutinyType=1,szNote="紫气东来8%",col={0,255,0,},[1]={bBuffList=true,},[2]={},},</v>
      </c>
    </row>
    <row r="180" spans="3:41" x14ac:dyDescent="0.15">
      <c r="C180">
        <v>11486</v>
      </c>
      <c r="D180">
        <v>1</v>
      </c>
      <c r="F180">
        <v>4606</v>
      </c>
      <c r="G180" t="s">
        <v>452</v>
      </c>
      <c r="I180">
        <v>1</v>
      </c>
      <c r="K180" t="s">
        <v>2695</v>
      </c>
      <c r="Y180">
        <v>1</v>
      </c>
      <c r="AM180" t="str">
        <f t="shared" si="2"/>
        <v>{dwID=11486,nLevel=1,nIcon=4606,szName="缘灭",nScrutinyType=1,szNote="福德齐天·CD",[1]={},[2]={bCenterAlarm=true,},tCountdown={{nClass=2,nIcon=4606,nFrame=7,szName="成就·福德齐天·CD消除",nTime=10,key="福德齐天·封印",},},},</v>
      </c>
      <c r="AN180" t="s">
        <v>2830</v>
      </c>
    </row>
    <row r="181" spans="3:41" x14ac:dyDescent="0.15">
      <c r="C181">
        <v>27779</v>
      </c>
      <c r="D181">
        <v>1</v>
      </c>
      <c r="I181">
        <v>1</v>
      </c>
      <c r="L181" t="s">
        <v>2168</v>
      </c>
      <c r="T181">
        <v>1</v>
      </c>
      <c r="AM181" t="str">
        <f t="shared" si="2"/>
        <v>{dwID=27779,nLevel=1,nScrutinyType=1,col={0,255,0,},[1]={bBuffList=true,},[2]={},},</v>
      </c>
    </row>
    <row r="182" spans="3:41" x14ac:dyDescent="0.15">
      <c r="C182">
        <v>27613</v>
      </c>
      <c r="D182">
        <v>1</v>
      </c>
      <c r="F182">
        <v>2678</v>
      </c>
      <c r="G182" t="s">
        <v>2831</v>
      </c>
      <c r="I182">
        <v>1</v>
      </c>
      <c r="L182" t="s">
        <v>2168</v>
      </c>
      <c r="R182">
        <v>1</v>
      </c>
      <c r="T182">
        <v>1</v>
      </c>
      <c r="AM182" t="str">
        <f t="shared" si="2"/>
        <v>{dwID=27613,nLevel=1,nIcon=2678,szName="快收杆",nScrutinyType=1,col={0,255,0,},[1]={bScreenHead=true,bBuffList=true,},[2]={},},</v>
      </c>
    </row>
    <row r="183" spans="3:41" x14ac:dyDescent="0.15">
      <c r="C183">
        <v>27477</v>
      </c>
      <c r="D183">
        <v>1</v>
      </c>
      <c r="F183">
        <v>2678</v>
      </c>
      <c r="G183" t="s">
        <v>342</v>
      </c>
      <c r="I183">
        <v>1</v>
      </c>
      <c r="L183" t="s">
        <v>2168</v>
      </c>
      <c r="T183">
        <v>1</v>
      </c>
      <c r="AM183" t="str">
        <f t="shared" si="2"/>
        <v>{dwID=27477,nLevel=1,nIcon=2678,szName="钓鱼",nScrutinyType=1,col={0,255,0,},[1]={bBuffList=true,},[2]={},tCountdown={{nClass=1,nIcon=2678,nFrame=5,szName="正在钓鱼",nTime=60,key="钓鱼提示",},{nClass=2,nIcon=13,nFrame=5,szName="",nTime=0,key="钓鱼提示",},},},</v>
      </c>
      <c r="AN183" t="s">
        <v>2832</v>
      </c>
      <c r="AO183" t="s">
        <v>2833</v>
      </c>
    </row>
    <row r="184" spans="3:41" x14ac:dyDescent="0.15">
      <c r="C184">
        <v>28197</v>
      </c>
      <c r="D184">
        <v>1</v>
      </c>
      <c r="I184">
        <v>1</v>
      </c>
      <c r="AM184" t="str">
        <f t="shared" si="2"/>
        <v>{dwID=28197,nLevel=1,nScrutinyType=1,[1]={},[2]={},tCountdown={{nClass=1,nIcon=12371,nFrame=1,szName="机缘·会逢·普通奇遇",nTime=10,nRefresh=9999,key="机缘",},},},</v>
      </c>
      <c r="AN184" t="s">
        <v>2834</v>
      </c>
    </row>
    <row r="185" spans="3:41" x14ac:dyDescent="0.15">
      <c r="C185">
        <v>28198</v>
      </c>
      <c r="D185">
        <v>1</v>
      </c>
      <c r="I185">
        <v>1</v>
      </c>
      <c r="AM185" t="str">
        <f t="shared" si="2"/>
        <v>{dwID=28198,nLevel=1,nScrutinyType=1,[1]={},[2]={},tCountdown={{nClass=1,nIcon=12372,nFrame=3,szName="机缘·无双·绝世奇遇",nTime=10,nRefresh=9999,key="机缘",},},},</v>
      </c>
      <c r="AN185" t="s">
        <v>2835</v>
      </c>
    </row>
    <row r="186" spans="3:41" x14ac:dyDescent="0.15">
      <c r="C186">
        <v>27384</v>
      </c>
      <c r="D186">
        <v>1</v>
      </c>
      <c r="F186">
        <v>2999</v>
      </c>
      <c r="G186" t="s">
        <v>2836</v>
      </c>
      <c r="I186">
        <v>1</v>
      </c>
      <c r="J186" t="s">
        <v>2837</v>
      </c>
      <c r="L186" t="s">
        <v>2168</v>
      </c>
      <c r="T186">
        <v>1</v>
      </c>
      <c r="AM186" t="str">
        <f t="shared" si="2"/>
        <v>{dwID=27384,nLevel=1,nIcon=2999,szName="青歌",nScrutinyType=1,tKungFu={["SKILL#10021"]=true,},col={0,255,0,},[1]={bBuffList=true,},[2]={},},</v>
      </c>
    </row>
    <row r="187" spans="3:41" x14ac:dyDescent="0.15">
      <c r="C187">
        <v>2316</v>
      </c>
      <c r="D187">
        <v>1</v>
      </c>
      <c r="K187" t="s">
        <v>341</v>
      </c>
      <c r="L187" t="s">
        <v>2367</v>
      </c>
      <c r="AB187">
        <v>1</v>
      </c>
      <c r="AD187" t="s">
        <v>2679</v>
      </c>
      <c r="AE187">
        <v>5</v>
      </c>
      <c r="AF187" t="s">
        <v>2368</v>
      </c>
      <c r="AH187">
        <v>255</v>
      </c>
      <c r="AI187">
        <v>1</v>
      </c>
      <c r="AM187" t="str">
        <f t="shared" si="2"/>
        <v>{dwID=2316,nLevel=1,szNote="蛊惑众生",col={31,238,255,},[1]={},[2]={},aCataclysmBuff={{bOnlyMine=true,szReminder="蛊 奶毒技能蛊惑增疗",nPriority=5,col="#1FEEFFFF",nColAlpha=255,bAttention=true,},},},</v>
      </c>
    </row>
    <row r="188" spans="3:41" x14ac:dyDescent="0.15">
      <c r="C188">
        <v>26986</v>
      </c>
      <c r="D188">
        <v>1</v>
      </c>
      <c r="K188" t="s">
        <v>2838</v>
      </c>
      <c r="L188" t="s">
        <v>2366</v>
      </c>
      <c r="AB188">
        <v>1</v>
      </c>
      <c r="AD188" t="s">
        <v>2678</v>
      </c>
      <c r="AE188">
        <v>5</v>
      </c>
      <c r="AF188" t="s">
        <v>2196</v>
      </c>
      <c r="AH188">
        <v>255</v>
      </c>
      <c r="AI188">
        <v>1</v>
      </c>
      <c r="AM188" t="str">
        <f t="shared" si="2"/>
        <v>{dwID=26986,nLevel=1,szNote="音尘",col={0,238,0,},[1]={},[2]={},aCataclysmBuff={{bOnlyMine=true,szReminder="音 奶歌奇穴音尘标记",nPriority=5,col="#00EE00FF",nColAlpha=255,bAttention=true,},},},</v>
      </c>
    </row>
    <row r="189" spans="3:41" x14ac:dyDescent="0.15">
      <c r="C189">
        <v>562</v>
      </c>
      <c r="D189">
        <v>1</v>
      </c>
      <c r="K189" t="s">
        <v>2839</v>
      </c>
      <c r="L189" t="s">
        <v>2228</v>
      </c>
      <c r="AD189" t="s">
        <v>2840</v>
      </c>
      <c r="AE189">
        <v>15</v>
      </c>
      <c r="AF189" t="s">
        <v>2230</v>
      </c>
      <c r="AH189">
        <v>255</v>
      </c>
      <c r="AM189" t="str">
        <f t="shared" si="2"/>
        <v>{dwID=562,nLevel=1,szNote="封轻功",col={31,63,255,},[1]={},[2]={},aCataclysmBuff={{szReminder="轻 通用封轻功",nPriority=15,col="#1F3FFFFF",nColAlpha=255,},},},</v>
      </c>
    </row>
    <row r="190" spans="3:41" x14ac:dyDescent="0.15">
      <c r="C190">
        <v>692</v>
      </c>
      <c r="D190">
        <v>1</v>
      </c>
      <c r="K190" t="s">
        <v>311</v>
      </c>
      <c r="L190" t="s">
        <v>2133</v>
      </c>
      <c r="R190">
        <v>1</v>
      </c>
      <c r="AD190" t="s">
        <v>2841</v>
      </c>
      <c r="AE190">
        <v>4</v>
      </c>
      <c r="AF190" t="s">
        <v>2135</v>
      </c>
      <c r="AG190" t="s">
        <v>2136</v>
      </c>
      <c r="AH190">
        <v>255</v>
      </c>
      <c r="AI190">
        <v>1</v>
      </c>
      <c r="AJ190">
        <v>1</v>
      </c>
      <c r="AK190">
        <v>1</v>
      </c>
      <c r="AM190" t="str">
        <f t="shared" si="2"/>
        <v>{dwID=692,nLevel=1,szNote="沉默",col={165,96,232,},[1]={bScreenHead=true,},[2]={},aCataclysmBuff={{szReminder="默",nPriority=4,col="#FF0055FF",colScreenHead="#A560E8",nColAlpha=255,bAttention=true,bCaution=true,bScreenHead=true,},},},</v>
      </c>
    </row>
    <row r="191" spans="3:41" x14ac:dyDescent="0.15">
      <c r="C191">
        <v>15552</v>
      </c>
      <c r="D191">
        <v>1</v>
      </c>
      <c r="K191" t="s">
        <v>311</v>
      </c>
      <c r="L191" t="s">
        <v>2133</v>
      </c>
      <c r="R191">
        <v>1</v>
      </c>
      <c r="AD191" t="s">
        <v>2842</v>
      </c>
      <c r="AE191">
        <v>4</v>
      </c>
      <c r="AF191" t="s">
        <v>2135</v>
      </c>
      <c r="AG191" t="s">
        <v>2136</v>
      </c>
      <c r="AH191">
        <v>255</v>
      </c>
      <c r="AI191">
        <v>1</v>
      </c>
      <c r="AJ191">
        <v>1</v>
      </c>
      <c r="AK191">
        <v>1</v>
      </c>
      <c r="AM191" t="str">
        <f t="shared" si="2"/>
        <v>{dwID=15552,nLevel=1,szNote="沉默",col={165,96,232,},[1]={bScreenHead=true,},[2]={},aCataclysmBuff={{szReminder="默 通用沉默",nPriority=4,col="#FF0055FF",colScreenHead="#A560E8",nColAlpha=255,bAttention=true,bCaution=true,bScreenHead=true,},},},</v>
      </c>
    </row>
    <row r="192" spans="3:41" x14ac:dyDescent="0.15">
      <c r="C192">
        <v>19519</v>
      </c>
      <c r="D192">
        <v>1</v>
      </c>
      <c r="K192" t="s">
        <v>311</v>
      </c>
      <c r="L192" t="s">
        <v>2133</v>
      </c>
      <c r="R192">
        <v>1</v>
      </c>
      <c r="AD192" t="s">
        <v>2841</v>
      </c>
      <c r="AE192">
        <v>4</v>
      </c>
      <c r="AF192" t="s">
        <v>2135</v>
      </c>
      <c r="AG192" t="s">
        <v>2136</v>
      </c>
      <c r="AH192">
        <v>255</v>
      </c>
      <c r="AI192">
        <v>1</v>
      </c>
      <c r="AJ192">
        <v>1</v>
      </c>
      <c r="AK192">
        <v>1</v>
      </c>
      <c r="AM192" t="str">
        <f t="shared" si="2"/>
        <v>{dwID=19519,nLevel=1,szNote="沉默",col={165,96,232,},[1]={bScreenHead=true,},[2]={},aCataclysmBuff={{szReminder="默",nPriority=4,col="#FF0055FF",colScreenHead="#A560E8",nColAlpha=255,bAttention=true,bCaution=true,bScreenHead=true,},},},</v>
      </c>
    </row>
    <row r="193" spans="3:39" x14ac:dyDescent="0.15">
      <c r="C193">
        <v>8000</v>
      </c>
      <c r="D193">
        <v>1</v>
      </c>
      <c r="K193" t="s">
        <v>293</v>
      </c>
      <c r="L193" t="s">
        <v>2228</v>
      </c>
      <c r="R193">
        <v>1</v>
      </c>
      <c r="AD193" t="s">
        <v>373</v>
      </c>
      <c r="AE193">
        <v>12</v>
      </c>
      <c r="AF193" t="s">
        <v>2230</v>
      </c>
      <c r="AG193" t="s">
        <v>2231</v>
      </c>
      <c r="AH193">
        <v>255</v>
      </c>
      <c r="AK193">
        <v>1</v>
      </c>
      <c r="AM193" t="str">
        <f t="shared" si="2"/>
        <v>{dwID=8000,nLevel=1,szNote="定身",col={31,63,255,},[1]={bScreenHead=true,},[2]={},aCataclysmBuff={{szReminder="定",nPriority=12,col="#1F3FFFFF",colScreenHead="#1F3FFF",nColAlpha=255,bScreenHead=true,},},},</v>
      </c>
    </row>
    <row r="194" spans="3:39" x14ac:dyDescent="0.15">
      <c r="C194">
        <v>8156</v>
      </c>
      <c r="D194">
        <v>1</v>
      </c>
      <c r="K194" t="s">
        <v>293</v>
      </c>
      <c r="L194" t="s">
        <v>2228</v>
      </c>
      <c r="R194">
        <v>1</v>
      </c>
      <c r="AD194" t="s">
        <v>373</v>
      </c>
      <c r="AE194">
        <v>12</v>
      </c>
      <c r="AF194" t="s">
        <v>2230</v>
      </c>
      <c r="AG194" t="s">
        <v>2231</v>
      </c>
      <c r="AH194">
        <v>255</v>
      </c>
      <c r="AK194">
        <v>1</v>
      </c>
      <c r="AM194" t="str">
        <f t="shared" ref="AM194:AM257" si="3">IF(B194&lt;&gt;"",IF(IFERROR(VALUE(C193),0)&lt;=0,"["&amp;B194&amp;"]={","},["&amp;B194&amp;"]={"),IF(C194&gt;0,"{dwID="&amp;C194&amp;","&amp;"nLevel="&amp;D194&amp;","&amp;IF(E194&gt;0,"nCount="&amp;E194&amp;",","")&amp;IF(F194&gt;0,"nIcon="&amp;F194&amp;",","")&amp;IF(G194&lt;&gt;"","szName="""&amp;G194&amp;""",","")&amp;IF(H194&gt;0,"bCheckLevel=true,","")&amp;IF(I194&gt;0,"nScrutinyType="&amp;I194&amp;",","")&amp;IF(J194&lt;&gt;"","tKungFu={"&amp;J194&amp;"},","")&amp;IF(K194&lt;&gt;"","szNote="""&amp;K194&amp;""",","")&amp;IF(L194&lt;&gt;"","col={"&amp;L194&amp;"},","")&amp;"[1]={"&amp;IF(M194&lt;&gt;"","tMark={"&amp;M194&amp;"},","")&amp;IF(N194&lt;&gt;"","szVoice="""&amp;N194&amp;""",","")&amp;IF(O194&gt;0,"bCheckLevel=true,","")&amp;IF(P194&gt;0,"bWhisperChannel=true,","")&amp;IF(Q194&gt;0,"bCenterAlarm=true,","")&amp;IF(R194&gt;0,"bScreenHead=true,","")&amp;IF(S194&gt;0,"bPartyBuffList=true,","")&amp;IF(T194&gt;0,"bBuffList=true,","")&amp;IF(U194&gt;0,"bTeamPanel=true,","")&amp;IF(V194&gt;0,"bOnlySelfSrc=true,","")&amp;"},"&amp;"[2]={"&amp;IF(W194&gt;0,"bCheckLevel=true,","")&amp;IF(X194&gt;0,"bWhisperChannel=true,","")&amp;IF(Y194&gt;0,"bCenterAlarm=true,","")&amp;"},"&amp;IF(OR(Z194&gt;0,AD194&lt;&gt;"",AE194&gt;0,AF194&lt;&gt;"",AG194&lt;&gt;"",AH194&gt;0,AI194&gt;0,AJ194&gt;0,AK194&gt;0),"aCataclysmBuff={{"&amp;IF(Z194&gt;0,"nStackNum="&amp;Z194&amp;",","")&amp;IF(AA194&lt;&gt;"","szStackOp="""&amp;AA194&amp;""",","")&amp;IF(AB194&gt;0,"bOnlyMine=true,","")&amp;IF(AC194&gt;0,"bOnlyMe=true,","")&amp;IF(AD194&lt;&gt;"","szReminder="""&amp;AD194&amp;""",","")&amp;IF(AE194&gt;0,"nPriority="&amp;AE194&amp;",","")&amp;IF(AF194&lt;&gt;"","col="""&amp;AF194&amp;""",","")&amp;IF(AG194&lt;&gt;"","colScreenHead="""&amp;AG194&amp;""",","")&amp;IF(AH194&gt;0,"nColAlpha="&amp;AH194&amp;",","")&amp;IF(AI194&gt;0,"bAttention=true,","")&amp;IF(AJ194&gt;0,"bCaution=true,","")&amp;IF(AK194&gt;0,"bScreenHead=true,","")&amp;"},"&amp;AL194&amp;"},","")&amp;IF(AN194&lt;&gt;"","tCountdown={"&amp;_xlfn.TEXTJOIN("",TRUE,AN194:ZY194)&amp;"},","")&amp;"},",IF(C193&gt;0,"},","")&amp;IF(AND(B194="",C194="",OR(B193&lt;&gt;"",C193&lt;&gt;"")),"},}","")))</f>
        <v>{dwID=8156,nLevel=1,szNote="定身",col={31,63,255,},[1]={bScreenHead=true,},[2]={},aCataclysmBuff={{szReminder="定",nPriority=12,col="#1F3FFFFF",colScreenHead="#1F3FFF",nColAlpha=255,bScreenHead=true,},},},</v>
      </c>
    </row>
    <row r="195" spans="3:39" x14ac:dyDescent="0.15">
      <c r="C195">
        <v>9056</v>
      </c>
      <c r="D195">
        <v>1</v>
      </c>
      <c r="K195" t="s">
        <v>293</v>
      </c>
      <c r="L195" t="s">
        <v>2228</v>
      </c>
      <c r="R195">
        <v>1</v>
      </c>
      <c r="AD195" t="s">
        <v>373</v>
      </c>
      <c r="AE195">
        <v>12</v>
      </c>
      <c r="AF195" t="s">
        <v>2230</v>
      </c>
      <c r="AG195" t="s">
        <v>2231</v>
      </c>
      <c r="AH195">
        <v>255</v>
      </c>
      <c r="AK195">
        <v>1</v>
      </c>
      <c r="AM195" t="str">
        <f t="shared" si="3"/>
        <v>{dwID=9056,nLevel=1,szNote="定身",col={31,63,255,},[1]={bScreenHead=true,},[2]={},aCataclysmBuff={{szReminder="定",nPriority=12,col="#1F3FFFFF",colScreenHead="#1F3FFF",nColAlpha=255,bScreenHead=true,},},},</v>
      </c>
    </row>
    <row r="196" spans="3:39" x14ac:dyDescent="0.15">
      <c r="C196">
        <v>20635</v>
      </c>
      <c r="D196">
        <v>1</v>
      </c>
      <c r="K196" t="s">
        <v>293</v>
      </c>
      <c r="L196" t="s">
        <v>2228</v>
      </c>
      <c r="R196">
        <v>1</v>
      </c>
      <c r="AD196" t="s">
        <v>373</v>
      </c>
      <c r="AE196">
        <v>12</v>
      </c>
      <c r="AF196" t="s">
        <v>2230</v>
      </c>
      <c r="AG196" t="s">
        <v>2231</v>
      </c>
      <c r="AH196">
        <v>255</v>
      </c>
      <c r="AK196">
        <v>1</v>
      </c>
      <c r="AM196" t="str">
        <f t="shared" si="3"/>
        <v>{dwID=20635,nLevel=1,szNote="定身",col={31,63,255,},[1]={bScreenHead=true,},[2]={},aCataclysmBuff={{szReminder="定",nPriority=12,col="#1F3FFFFF",colScreenHead="#1F3FFF",nColAlpha=255,bScreenHead=true,},},},</v>
      </c>
    </row>
    <row r="197" spans="3:39" x14ac:dyDescent="0.15">
      <c r="C197">
        <v>25956</v>
      </c>
      <c r="D197">
        <v>1</v>
      </c>
      <c r="K197" t="s">
        <v>293</v>
      </c>
      <c r="L197" t="s">
        <v>2228</v>
      </c>
      <c r="R197">
        <v>1</v>
      </c>
      <c r="AD197" t="s">
        <v>373</v>
      </c>
      <c r="AE197">
        <v>12</v>
      </c>
      <c r="AF197" t="s">
        <v>2230</v>
      </c>
      <c r="AG197" t="s">
        <v>2231</v>
      </c>
      <c r="AH197">
        <v>255</v>
      </c>
      <c r="AK197">
        <v>1</v>
      </c>
      <c r="AM197" t="str">
        <f t="shared" si="3"/>
        <v>{dwID=25956,nLevel=1,szNote="定身",col={31,63,255,},[1]={bScreenHead=true,},[2]={},aCataclysmBuff={{szReminder="定",nPriority=12,col="#1F3FFFFF",colScreenHead="#1F3FFF",nColAlpha=255,bScreenHead=true,},},},</v>
      </c>
    </row>
    <row r="198" spans="3:39" x14ac:dyDescent="0.15">
      <c r="C198">
        <v>415</v>
      </c>
      <c r="D198">
        <v>1</v>
      </c>
      <c r="K198" t="s">
        <v>288</v>
      </c>
      <c r="L198" t="s">
        <v>2228</v>
      </c>
      <c r="R198">
        <v>1</v>
      </c>
      <c r="AD198" t="s">
        <v>319</v>
      </c>
      <c r="AE198">
        <v>12</v>
      </c>
      <c r="AF198" t="s">
        <v>2230</v>
      </c>
      <c r="AG198" t="s">
        <v>2231</v>
      </c>
      <c r="AH198">
        <v>255</v>
      </c>
      <c r="AK198">
        <v>1</v>
      </c>
      <c r="AM198" t="str">
        <f t="shared" si="3"/>
        <v>{dwID=415,nLevel=1,szNote="眩晕",col={31,63,255,},[1]={bScreenHead=true,},[2]={},aCataclysmBuff={{szReminder="晕",nPriority=12,col="#1F3FFFFF",colScreenHead="#1F3FFF",nColAlpha=255,bScreenHead=true,},},},</v>
      </c>
    </row>
    <row r="199" spans="3:39" x14ac:dyDescent="0.15">
      <c r="C199">
        <v>417</v>
      </c>
      <c r="D199">
        <v>1</v>
      </c>
      <c r="K199" t="s">
        <v>288</v>
      </c>
      <c r="L199" t="s">
        <v>2228</v>
      </c>
      <c r="R199">
        <v>1</v>
      </c>
      <c r="AD199" t="s">
        <v>319</v>
      </c>
      <c r="AE199">
        <v>12</v>
      </c>
      <c r="AF199" t="s">
        <v>2230</v>
      </c>
      <c r="AG199" t="s">
        <v>2231</v>
      </c>
      <c r="AH199">
        <v>255</v>
      </c>
      <c r="AK199">
        <v>1</v>
      </c>
      <c r="AM199" t="str">
        <f t="shared" si="3"/>
        <v>{dwID=417,nLevel=1,szNote="眩晕",col={31,63,255,},[1]={bScreenHead=true,},[2]={},aCataclysmBuff={{szReminder="晕",nPriority=12,col="#1F3FFFFF",colScreenHead="#1F3FFF",nColAlpha=255,bScreenHead=true,},},},</v>
      </c>
    </row>
    <row r="200" spans="3:39" x14ac:dyDescent="0.15">
      <c r="C200">
        <v>424</v>
      </c>
      <c r="D200">
        <v>1</v>
      </c>
      <c r="K200" t="s">
        <v>288</v>
      </c>
      <c r="L200" t="s">
        <v>2228</v>
      </c>
      <c r="R200">
        <v>1</v>
      </c>
      <c r="AD200" t="s">
        <v>319</v>
      </c>
      <c r="AE200">
        <v>12</v>
      </c>
      <c r="AF200" t="s">
        <v>2230</v>
      </c>
      <c r="AG200" t="s">
        <v>2231</v>
      </c>
      <c r="AH200">
        <v>255</v>
      </c>
      <c r="AK200">
        <v>1</v>
      </c>
      <c r="AM200" t="str">
        <f t="shared" si="3"/>
        <v>{dwID=424,nLevel=1,szNote="眩晕",col={31,63,255,},[1]={bScreenHead=true,},[2]={},aCataclysmBuff={{szReminder="晕",nPriority=12,col="#1F3FFFFF",colScreenHead="#1F3FFF",nColAlpha=255,bScreenHead=true,},},},</v>
      </c>
    </row>
    <row r="201" spans="3:39" x14ac:dyDescent="0.15">
      <c r="C201">
        <v>13236</v>
      </c>
      <c r="D201">
        <v>1</v>
      </c>
      <c r="K201" t="s">
        <v>464</v>
      </c>
      <c r="L201" t="s">
        <v>2228</v>
      </c>
      <c r="R201">
        <v>1</v>
      </c>
      <c r="AD201" t="s">
        <v>319</v>
      </c>
      <c r="AE201">
        <v>12</v>
      </c>
      <c r="AF201" t="s">
        <v>2230</v>
      </c>
      <c r="AG201" t="s">
        <v>2231</v>
      </c>
      <c r="AH201">
        <v>255</v>
      </c>
      <c r="AK201">
        <v>1</v>
      </c>
      <c r="AM201" t="str">
        <f t="shared" si="3"/>
        <v>{dwID=13236,nLevel=1,szNote="呛烟",col={31,63,255,},[1]={bScreenHead=true,},[2]={},aCataclysmBuff={{szReminder="晕",nPriority=12,col="#1F3FFFFF",colScreenHead="#1F3FFF",nColAlpha=255,bScreenHead=true,},},},</v>
      </c>
    </row>
    <row r="202" spans="3:39" x14ac:dyDescent="0.15">
      <c r="C202">
        <v>994</v>
      </c>
      <c r="D202">
        <v>1</v>
      </c>
      <c r="K202" t="s">
        <v>320</v>
      </c>
      <c r="L202" t="s">
        <v>2228</v>
      </c>
      <c r="R202">
        <v>1</v>
      </c>
      <c r="AD202" t="s">
        <v>2843</v>
      </c>
      <c r="AE202">
        <v>12</v>
      </c>
      <c r="AF202" t="s">
        <v>2230</v>
      </c>
      <c r="AG202" t="s">
        <v>2231</v>
      </c>
      <c r="AH202">
        <v>255</v>
      </c>
      <c r="AK202">
        <v>1</v>
      </c>
      <c r="AM202" t="str">
        <f t="shared" si="3"/>
        <v>{dwID=994,nLevel=1,szNote="倒地",col={31,63,255,},[1]={bScreenHead=true,},[2]={},aCataclysmBuff={{szReminder="倒",nPriority=12,col="#1F3FFFFF",colScreenHead="#1F3FFF",nColAlpha=255,bScreenHead=true,},},},</v>
      </c>
    </row>
    <row r="203" spans="3:39" x14ac:dyDescent="0.15">
      <c r="C203">
        <v>70006</v>
      </c>
      <c r="D203">
        <v>1</v>
      </c>
      <c r="K203" t="s">
        <v>286</v>
      </c>
      <c r="L203" t="s">
        <v>2133</v>
      </c>
      <c r="AD203" t="s">
        <v>2844</v>
      </c>
      <c r="AE203">
        <v>13</v>
      </c>
      <c r="AF203" t="s">
        <v>2459</v>
      </c>
      <c r="AH203">
        <v>255</v>
      </c>
      <c r="AM203" t="str">
        <f t="shared" si="3"/>
        <v>{dwID=70006,nLevel=1,szNote="霹雳",col={165,96,232,},[1]={},[2]={},aCataclysmBuff={{szReminder="疗 减疗50%",nPriority=13,col="#A560E8FF",nColAlpha=255,},},},</v>
      </c>
    </row>
    <row r="204" spans="3:39" x14ac:dyDescent="0.15">
      <c r="C204">
        <v>70029</v>
      </c>
      <c r="D204">
        <v>1</v>
      </c>
      <c r="K204" t="s">
        <v>288</v>
      </c>
      <c r="L204" t="s">
        <v>2228</v>
      </c>
      <c r="R204">
        <v>1</v>
      </c>
      <c r="AD204" t="s">
        <v>2845</v>
      </c>
      <c r="AE204">
        <v>12</v>
      </c>
      <c r="AF204" t="s">
        <v>2230</v>
      </c>
      <c r="AG204" t="s">
        <v>2231</v>
      </c>
      <c r="AH204">
        <v>255</v>
      </c>
      <c r="AK204">
        <v>1</v>
      </c>
      <c r="AM204" t="str">
        <f t="shared" si="3"/>
        <v>{dwID=70029,nLevel=1,szNote="眩晕",col={31,63,255,},[1]={bScreenHead=true,},[2]={},aCataclysmBuff={{szReminder="晕 无界眩晕",nPriority=12,col="#1F3FFFFF",colScreenHead="#1F3FFF",nColAlpha=255,bScreenHead=true,},},},</v>
      </c>
    </row>
    <row r="205" spans="3:39" x14ac:dyDescent="0.15">
      <c r="C205">
        <v>20814</v>
      </c>
      <c r="D205">
        <v>1</v>
      </c>
      <c r="K205" t="s">
        <v>550</v>
      </c>
      <c r="L205" t="s">
        <v>2115</v>
      </c>
      <c r="R205">
        <v>1</v>
      </c>
      <c r="AD205" t="s">
        <v>2846</v>
      </c>
      <c r="AE205">
        <v>2</v>
      </c>
      <c r="AF205" t="s">
        <v>2117</v>
      </c>
      <c r="AG205" t="s">
        <v>2132</v>
      </c>
      <c r="AH205">
        <v>255</v>
      </c>
      <c r="AK205">
        <v>1</v>
      </c>
      <c r="AM205" t="str">
        <f t="shared" si="3"/>
        <v>{dwID=20814,nLevel=1,szNote="守拙",col={255,204,0,},[1]={bScreenHead=true,},[2]={},aCataclysmBuff={{szReminder="锢 奇穴守拙禁锢无敌",nPriority=2,col="#FFCC00FF",colScreenHead="#FFCC00",nColAlpha=255,bScreenHead=true,},},},</v>
      </c>
    </row>
    <row r="206" spans="3:39" x14ac:dyDescent="0.15">
      <c r="C206">
        <v>9175</v>
      </c>
      <c r="D206">
        <v>1</v>
      </c>
      <c r="G206" t="s">
        <v>359</v>
      </c>
      <c r="K206" t="s">
        <v>359</v>
      </c>
      <c r="L206" t="s">
        <v>2847</v>
      </c>
      <c r="R206">
        <v>1</v>
      </c>
      <c r="AD206" t="s">
        <v>2848</v>
      </c>
      <c r="AE206">
        <v>3</v>
      </c>
      <c r="AF206" t="s">
        <v>2849</v>
      </c>
      <c r="AG206" t="s">
        <v>2850</v>
      </c>
      <c r="AH206">
        <v>255</v>
      </c>
      <c r="AI206">
        <v>1</v>
      </c>
      <c r="AK206">
        <v>1</v>
      </c>
      <c r="AM206" t="str">
        <f t="shared" si="3"/>
        <v>{dwID=9175,nLevel=1,szName="禁疗",szNote="禁疗",col={170,170,170,},[1]={bScreenHead=true,},[2]={},aCataclysmBuff={{szReminder="禁 花间奇穴兰舟生息禁疗",nPriority=3,col="#AAAAAAFF",colScreenHead="#AAAAAA",nColAlpha=255,bAttention=true,bScreenHead=true,},},},</v>
      </c>
    </row>
    <row r="207" spans="3:39" x14ac:dyDescent="0.15">
      <c r="C207">
        <v>666</v>
      </c>
      <c r="D207">
        <v>1</v>
      </c>
      <c r="K207" t="s">
        <v>304</v>
      </c>
      <c r="L207" t="s">
        <v>2639</v>
      </c>
      <c r="AD207" t="s">
        <v>2851</v>
      </c>
      <c r="AE207">
        <v>13</v>
      </c>
      <c r="AF207" t="s">
        <v>2641</v>
      </c>
      <c r="AH207">
        <v>255</v>
      </c>
      <c r="AM207" t="str">
        <f t="shared" si="3"/>
        <v>{dwID=666,nLevel=1,szNote="商阳指",col={255,153,204,},[1]={},[2]={},aCataclysmBuff={{szReminder="商 技能商阳指dot",nPriority=13,col="#FF99CCFF",nColAlpha=255,},},},</v>
      </c>
    </row>
    <row r="208" spans="3:39" x14ac:dyDescent="0.15">
      <c r="C208">
        <v>711</v>
      </c>
      <c r="D208">
        <v>1</v>
      </c>
      <c r="K208" t="s">
        <v>313</v>
      </c>
      <c r="L208" t="s">
        <v>2639</v>
      </c>
      <c r="AD208" t="s">
        <v>2852</v>
      </c>
      <c r="AE208">
        <v>13</v>
      </c>
      <c r="AF208" t="s">
        <v>2641</v>
      </c>
      <c r="AH208">
        <v>255</v>
      </c>
      <c r="AM208" t="str">
        <f t="shared" si="3"/>
        <v>{dwID=711,nLevel=1,szNote="兰摧玉折",col={255,153,204,},[1]={},[2]={},aCataclysmBuff={{szReminder="兰 花间技能兰摧dot",nPriority=13,col="#FF99CCFF",nColAlpha=255,},},},</v>
      </c>
    </row>
    <row r="209" spans="3:39" x14ac:dyDescent="0.15">
      <c r="C209">
        <v>712</v>
      </c>
      <c r="D209">
        <v>1</v>
      </c>
      <c r="K209" t="s">
        <v>313</v>
      </c>
      <c r="L209" t="s">
        <v>2639</v>
      </c>
      <c r="AD209" t="s">
        <v>2853</v>
      </c>
      <c r="AE209">
        <v>4</v>
      </c>
      <c r="AF209" t="s">
        <v>2641</v>
      </c>
      <c r="AH209">
        <v>255</v>
      </c>
      <c r="AI209">
        <v>1</v>
      </c>
      <c r="AJ209">
        <v>1</v>
      </c>
      <c r="AM209" t="str">
        <f t="shared" si="3"/>
        <v>{dwID=712,nLevel=1,szNote="兰摧玉折",col={255,153,204,},[1]={},[2]={},aCataclysmBuff={{szReminder="默 花间技能兰摧沉默dot驱散惩罚",nPriority=4,col="#FF99CCFF",nColAlpha=255,bAttention=true,bCaution=true,},},},</v>
      </c>
    </row>
    <row r="210" spans="3:39" x14ac:dyDescent="0.15">
      <c r="C210">
        <v>714</v>
      </c>
      <c r="D210">
        <v>1</v>
      </c>
      <c r="K210" t="s">
        <v>305</v>
      </c>
      <c r="L210" t="s">
        <v>2639</v>
      </c>
      <c r="AD210" t="s">
        <v>2854</v>
      </c>
      <c r="AE210">
        <v>14</v>
      </c>
      <c r="AF210" t="s">
        <v>2641</v>
      </c>
      <c r="AH210">
        <v>255</v>
      </c>
      <c r="AM210" t="str">
        <f t="shared" si="3"/>
        <v>{dwID=714,nLevel=1,szNote="钟林毓秀",col={255,153,204,},[1]={},[2]={},aCataclysmBuff={{szReminder="毓 技能钟林毓秀dot",nPriority=14,col="#FF99CCFF",nColAlpha=255,},},},</v>
      </c>
    </row>
    <row r="211" spans="3:39" x14ac:dyDescent="0.15">
      <c r="C211">
        <v>17913</v>
      </c>
      <c r="D211">
        <v>1</v>
      </c>
      <c r="K211" t="s">
        <v>516</v>
      </c>
      <c r="L211" t="s">
        <v>2133</v>
      </c>
      <c r="R211">
        <v>1</v>
      </c>
      <c r="AD211" t="s">
        <v>2855</v>
      </c>
      <c r="AE211">
        <v>4</v>
      </c>
      <c r="AF211" t="s">
        <v>2135</v>
      </c>
      <c r="AG211" t="s">
        <v>2136</v>
      </c>
      <c r="AH211">
        <v>255</v>
      </c>
      <c r="AI211">
        <v>1</v>
      </c>
      <c r="AJ211">
        <v>1</v>
      </c>
      <c r="AK211">
        <v>1</v>
      </c>
      <c r="AM211" t="str">
        <f t="shared" si="3"/>
        <v>{dwID=17913,nLevel=1,szNote="龙蛇",col={165,96,232,},[1]={bScreenHead=true,},[2]={},aCataclysmBuff={{szReminder="默 花间奇穴洛川沉默",nPriority=4,col="#FF0055FF",colScreenHead="#A560E8",nColAlpha=255,bAttention=true,bCaution=true,bScreenHead=true,},},},</v>
      </c>
    </row>
    <row r="212" spans="3:39" x14ac:dyDescent="0.15">
      <c r="C212">
        <v>585</v>
      </c>
      <c r="D212">
        <v>1</v>
      </c>
      <c r="K212" t="s">
        <v>302</v>
      </c>
      <c r="L212" t="s">
        <v>2133</v>
      </c>
      <c r="R212">
        <v>1</v>
      </c>
      <c r="AD212" t="s">
        <v>2856</v>
      </c>
      <c r="AE212">
        <v>4</v>
      </c>
      <c r="AF212" t="s">
        <v>2135</v>
      </c>
      <c r="AG212" t="s">
        <v>2136</v>
      </c>
      <c r="AH212">
        <v>255</v>
      </c>
      <c r="AI212">
        <v>1</v>
      </c>
      <c r="AK212">
        <v>1</v>
      </c>
      <c r="AM212" t="str">
        <f t="shared" si="3"/>
        <v>{dwID=585,nLevel=1,szNote="厥阴指",col={165,96,232,},[1]={bScreenHead=true,},[2]={},aCataclysmBuff={{szReminder="封 奇穴厥阴封内",nPriority=4,col="#FF0055FF",colScreenHead="#A560E8",nColAlpha=255,bAttention=true,bScreenHead=true,},},},</v>
      </c>
    </row>
    <row r="213" spans="3:39" x14ac:dyDescent="0.15">
      <c r="C213">
        <v>1674</v>
      </c>
      <c r="D213">
        <v>1</v>
      </c>
      <c r="K213" t="s">
        <v>328</v>
      </c>
      <c r="AD213" t="s">
        <v>2857</v>
      </c>
      <c r="AE213">
        <v>30</v>
      </c>
      <c r="AH213">
        <v>255</v>
      </c>
      <c r="AM213" t="str">
        <f t="shared" si="3"/>
        <v>{dwID=1674,nLevel=1,szNote="涓埃",[1]={},[2]={},aCataclysmBuff={{szReminder="埃 春泥获得cd",nPriority=30,nColAlpha=255,},},},</v>
      </c>
    </row>
    <row r="214" spans="3:39" x14ac:dyDescent="0.15">
      <c r="C214">
        <v>675</v>
      </c>
      <c r="D214">
        <v>1</v>
      </c>
      <c r="K214" t="s">
        <v>306</v>
      </c>
      <c r="L214" t="s">
        <v>2228</v>
      </c>
      <c r="R214">
        <v>1</v>
      </c>
      <c r="AD214" t="s">
        <v>2858</v>
      </c>
      <c r="AE214">
        <v>12</v>
      </c>
      <c r="AF214" t="s">
        <v>2230</v>
      </c>
      <c r="AG214" t="s">
        <v>2231</v>
      </c>
      <c r="AH214">
        <v>255</v>
      </c>
      <c r="AK214">
        <v>1</v>
      </c>
      <c r="AM214" t="str">
        <f t="shared" si="3"/>
        <v>{dwID=675,nLevel=1,szNote="芙蓉并蒂",col={31,63,255,},[1]={bScreenHead=true,},[2]={},aCataclysmBuff={{szReminder="定 花间技能芙蓉定身",nPriority=12,col="#1F3FFFFF",colScreenHead="#1F3FFF",nColAlpha=255,bScreenHead=true,},},},</v>
      </c>
    </row>
    <row r="215" spans="3:39" x14ac:dyDescent="0.15">
      <c r="C215">
        <v>20725</v>
      </c>
      <c r="D215">
        <v>1</v>
      </c>
      <c r="K215" t="s">
        <v>546</v>
      </c>
      <c r="L215" t="s">
        <v>2228</v>
      </c>
      <c r="AD215" t="s">
        <v>2859</v>
      </c>
      <c r="AE215">
        <v>12</v>
      </c>
      <c r="AF215" t="s">
        <v>2230</v>
      </c>
      <c r="AH215">
        <v>255</v>
      </c>
      <c r="AM215" t="str">
        <f t="shared" si="3"/>
        <v>{dwID=20725,nLevel=1,szNote="立眩",col={31,63,255,},[1]={},[2]={},aCataclysmBuff={{szReminder="晕 奇穴天工甲士眩晕",nPriority=12,col="#1F3FFFFF",nColAlpha=255,},},},</v>
      </c>
    </row>
    <row r="216" spans="3:39" x14ac:dyDescent="0.15">
      <c r="C216">
        <v>17908</v>
      </c>
      <c r="D216">
        <v>1</v>
      </c>
      <c r="K216" t="s">
        <v>515</v>
      </c>
      <c r="L216" t="s">
        <v>2639</v>
      </c>
      <c r="R216">
        <v>1</v>
      </c>
      <c r="AD216" t="s">
        <v>2860</v>
      </c>
      <c r="AE216">
        <v>14</v>
      </c>
      <c r="AF216" t="s">
        <v>2641</v>
      </c>
      <c r="AG216" t="s">
        <v>2642</v>
      </c>
      <c r="AH216">
        <v>255</v>
      </c>
      <c r="AI216">
        <v>1</v>
      </c>
      <c r="AJ216">
        <v>1</v>
      </c>
      <c r="AK216">
        <v>1</v>
      </c>
      <c r="AM216" t="str">
        <f t="shared" si="3"/>
        <v>{dwID=17908,nLevel=1,szNote="洛川神韵",col={255,153,204,},[1]={bScreenHead=true,},[2]={},aCataclysmBuff={{szReminder="洛 花间奇穴洛川连线",nPriority=14,col="#FF99CCFF",colScreenHead="#FF99CC",nColAlpha=255,bAttention=true,bCaution=true,bScreenHead=true,},},},</v>
      </c>
    </row>
    <row r="217" spans="3:39" x14ac:dyDescent="0.15">
      <c r="C217">
        <v>17907</v>
      </c>
      <c r="D217">
        <v>1</v>
      </c>
      <c r="K217" t="s">
        <v>514</v>
      </c>
      <c r="L217" t="s">
        <v>2639</v>
      </c>
      <c r="R217">
        <v>1</v>
      </c>
      <c r="AD217" t="s">
        <v>2861</v>
      </c>
      <c r="AE217">
        <v>15</v>
      </c>
      <c r="AF217" t="s">
        <v>2641</v>
      </c>
      <c r="AG217" t="s">
        <v>2642</v>
      </c>
      <c r="AH217">
        <v>255</v>
      </c>
      <c r="AK217">
        <v>1</v>
      </c>
      <c r="AM217" t="str">
        <f t="shared" si="3"/>
        <v>{dwID=17907,nLevel=1,szNote="乘墨由心",col={255,153,204,},[1]={bScreenHead=true,},[2]={},aCataclysmBuff={{szReminder="乘 花间奇穴乘墨由心降命中-驱散混元",nPriority=15,col="#FF99CCFF",colScreenHead="#FF99CC",nColAlpha=255,bScreenHead=true,},},},</v>
      </c>
    </row>
    <row r="218" spans="3:39" x14ac:dyDescent="0.15">
      <c r="C218">
        <v>25870</v>
      </c>
      <c r="D218">
        <v>1</v>
      </c>
      <c r="K218" t="s">
        <v>363</v>
      </c>
      <c r="L218" t="s">
        <v>2639</v>
      </c>
      <c r="AD218" t="s">
        <v>2862</v>
      </c>
      <c r="AE218">
        <v>15</v>
      </c>
      <c r="AF218" t="s">
        <v>2641</v>
      </c>
      <c r="AH218">
        <v>255</v>
      </c>
      <c r="AM218" t="str">
        <f t="shared" si="3"/>
        <v>{dwID=25870,nLevel=1,szNote="逐月",col={255,153,204,},[1]={},[2]={},aCataclysmBuff={{szReminder="逐 奶花奇穴逐月降命中-驱散用",nPriority=15,col="#FF99CCFF",nColAlpha=255,},},},</v>
      </c>
    </row>
    <row r="219" spans="3:39" x14ac:dyDescent="0.15">
      <c r="C219">
        <v>998</v>
      </c>
      <c r="D219">
        <v>1</v>
      </c>
      <c r="K219" t="s">
        <v>321</v>
      </c>
      <c r="L219" t="s">
        <v>2228</v>
      </c>
      <c r="AD219" t="s">
        <v>2863</v>
      </c>
      <c r="AE219">
        <v>15</v>
      </c>
      <c r="AF219" t="s">
        <v>2230</v>
      </c>
      <c r="AH219">
        <v>255</v>
      </c>
      <c r="AM219" t="str">
        <f t="shared" si="3"/>
        <v>{dwID=998,nLevel=1,szNote="太阴指",col={31,63,255,},[1]={},[2]={},aCataclysmBuff={{szReminder="定 太阴指定身",nPriority=15,col="#1F3FFFFF",nColAlpha=255,},},},</v>
      </c>
    </row>
    <row r="220" spans="3:39" x14ac:dyDescent="0.15">
      <c r="C220">
        <v>5694</v>
      </c>
      <c r="D220">
        <v>1</v>
      </c>
      <c r="K220" t="s">
        <v>321</v>
      </c>
      <c r="L220" t="s">
        <v>2228</v>
      </c>
      <c r="AD220" t="s">
        <v>2864</v>
      </c>
      <c r="AE220">
        <v>15</v>
      </c>
      <c r="AF220" t="s">
        <v>2230</v>
      </c>
      <c r="AH220">
        <v>255</v>
      </c>
      <c r="AM220" t="str">
        <f t="shared" si="3"/>
        <v>{dwID=5694,nLevel=1,szNote="太阴指",col={31,63,255,},[1]={},[2]={},aCataclysmBuff={{szReminder="定 太阴指锁足-驱散点穴",nPriority=15,col="#1F3FFFFF",nColAlpha=255,},},},</v>
      </c>
    </row>
    <row r="221" spans="3:39" x14ac:dyDescent="0.15">
      <c r="C221">
        <v>26984</v>
      </c>
      <c r="D221">
        <v>1</v>
      </c>
      <c r="K221" t="s">
        <v>2865</v>
      </c>
      <c r="L221" t="s">
        <v>2639</v>
      </c>
      <c r="AD221" t="s">
        <v>2866</v>
      </c>
      <c r="AE221">
        <v>14</v>
      </c>
      <c r="AF221" t="s">
        <v>2641</v>
      </c>
      <c r="AH221">
        <v>255</v>
      </c>
      <c r="AM221" t="str">
        <f t="shared" si="3"/>
        <v>{dwID=26984,nLevel=1,szNote="游斤",col={255,153,204,},[1]={},[2]={},aCataclysmBuff={{szReminder="斤 花间奇穴游斤减速禁跳跃",nPriority=14,col="#FF99CCFF",nColAlpha=255,},},},</v>
      </c>
    </row>
    <row r="222" spans="3:39" x14ac:dyDescent="0.15">
      <c r="C222">
        <v>28282</v>
      </c>
      <c r="D222">
        <v>1</v>
      </c>
      <c r="K222" t="s">
        <v>2867</v>
      </c>
      <c r="L222" t="s">
        <v>2228</v>
      </c>
      <c r="AD222" t="s">
        <v>2859</v>
      </c>
      <c r="AE222">
        <v>12</v>
      </c>
      <c r="AF222" t="s">
        <v>2230</v>
      </c>
      <c r="AH222">
        <v>255</v>
      </c>
      <c r="AM222" t="str">
        <f t="shared" si="3"/>
        <v>{dwID=28282,nLevel=1,szNote="风欲催",col={31,63,255,},[1]={},[2]={},aCataclysmBuff={{szReminder="晕 奇穴天工甲士眩晕",nPriority=12,col="#1F3FFFFF",nColAlpha=255,},},},</v>
      </c>
    </row>
    <row r="223" spans="3:39" x14ac:dyDescent="0.15">
      <c r="C223">
        <v>70041</v>
      </c>
      <c r="D223">
        <v>1</v>
      </c>
      <c r="K223" t="s">
        <v>2868</v>
      </c>
      <c r="L223" t="s">
        <v>2639</v>
      </c>
      <c r="AD223" t="s">
        <v>2869</v>
      </c>
      <c r="AE223">
        <v>13</v>
      </c>
      <c r="AF223" t="s">
        <v>2641</v>
      </c>
      <c r="AH223">
        <v>255</v>
      </c>
      <c r="AM223" t="str">
        <f t="shared" si="3"/>
        <v>{dwID=70041,nLevel=1,szNote="兰摧",col={255,153,204,},[1]={},[2]={},aCataclysmBuff={{szReminder="兰 无界花间技能兰摧dot",nPriority=13,col="#FF99CCFF",nColAlpha=255,},},},</v>
      </c>
    </row>
    <row r="224" spans="3:39" x14ac:dyDescent="0.15">
      <c r="C224">
        <v>682</v>
      </c>
      <c r="D224">
        <v>1</v>
      </c>
      <c r="K224" t="s">
        <v>308</v>
      </c>
      <c r="L224" t="s">
        <v>2228</v>
      </c>
      <c r="R224">
        <v>1</v>
      </c>
      <c r="AD224" t="s">
        <v>2870</v>
      </c>
      <c r="AE224">
        <v>12</v>
      </c>
      <c r="AF224" t="s">
        <v>2230</v>
      </c>
      <c r="AG224" t="s">
        <v>2231</v>
      </c>
      <c r="AH224">
        <v>255</v>
      </c>
      <c r="AI224">
        <v>1</v>
      </c>
      <c r="AK224">
        <v>1</v>
      </c>
      <c r="AM224" t="str">
        <f t="shared" si="3"/>
        <v>{dwID=682,nLevel=1,szNote="雷霆震怒",col={31,63,255,},[1]={bScreenHead=true,},[2]={},aCataclysmBuff={{szReminder="晕 技能雷霆眩晕",nPriority=12,col="#1F3FFFFF",colScreenHead="#1F3FFF",nColAlpha=255,bAttention=true,bScreenHead=true,},},},</v>
      </c>
    </row>
    <row r="225" spans="3:39" x14ac:dyDescent="0.15">
      <c r="C225">
        <v>2838</v>
      </c>
      <c r="D225">
        <v>1</v>
      </c>
      <c r="K225" t="s">
        <v>351</v>
      </c>
      <c r="L225" t="s">
        <v>2133</v>
      </c>
      <c r="R225">
        <v>1</v>
      </c>
      <c r="AD225" t="s">
        <v>2871</v>
      </c>
      <c r="AE225">
        <v>4</v>
      </c>
      <c r="AF225" t="s">
        <v>2135</v>
      </c>
      <c r="AG225" t="s">
        <v>2136</v>
      </c>
      <c r="AH225">
        <v>255</v>
      </c>
      <c r="AI225">
        <v>1</v>
      </c>
      <c r="AK225">
        <v>1</v>
      </c>
      <c r="AM225" t="str">
        <f t="shared" si="3"/>
        <v>{dwID=2838,nLevel=1,szNote="剑破虚空",col={165,96,232,},[1]={bScreenHead=true,},[2]={},aCataclysmBuff={{szReminder="封 冰心技能剑破封内",nPriority=4,col="#FF0055FF",colScreenHead="#A560E8",nColAlpha=255,bAttention=true,bScreenHead=true,},},},</v>
      </c>
    </row>
    <row r="226" spans="3:39" x14ac:dyDescent="0.15">
      <c r="C226">
        <v>690</v>
      </c>
      <c r="D226">
        <v>1</v>
      </c>
      <c r="K226" t="s">
        <v>310</v>
      </c>
      <c r="L226" t="s">
        <v>2133</v>
      </c>
      <c r="R226">
        <v>1</v>
      </c>
      <c r="AD226" t="s">
        <v>2872</v>
      </c>
      <c r="AE226">
        <v>4</v>
      </c>
      <c r="AF226" t="s">
        <v>2135</v>
      </c>
      <c r="AG226" t="s">
        <v>2136</v>
      </c>
      <c r="AH226">
        <v>255</v>
      </c>
      <c r="AI226">
        <v>1</v>
      </c>
      <c r="AJ226">
        <v>1</v>
      </c>
      <c r="AK226">
        <v>1</v>
      </c>
      <c r="AM226" t="str">
        <f t="shared" si="3"/>
        <v>{dwID=690,nLevel=1,szNote="剑心通明",col={165,96,232,},[1]={bScreenHead=true,},[2]={},aCataclysmBuff={{szReminder="封 冰心奇穴剑心封内",nPriority=4,col="#FF0055FF",colScreenHead="#A560E8",nColAlpha=255,bAttention=true,bCaution=true,bScreenHead=true,},},},</v>
      </c>
    </row>
    <row r="227" spans="3:39" x14ac:dyDescent="0.15">
      <c r="C227">
        <v>17962</v>
      </c>
      <c r="D227">
        <v>1</v>
      </c>
      <c r="K227" t="s">
        <v>518</v>
      </c>
      <c r="L227" t="s">
        <v>2133</v>
      </c>
      <c r="R227">
        <v>1</v>
      </c>
      <c r="AD227" t="s">
        <v>2873</v>
      </c>
      <c r="AE227">
        <v>4</v>
      </c>
      <c r="AF227" t="s">
        <v>2135</v>
      </c>
      <c r="AG227" t="s">
        <v>2136</v>
      </c>
      <c r="AH227">
        <v>255</v>
      </c>
      <c r="AJ227">
        <v>1</v>
      </c>
      <c r="AK227">
        <v>1</v>
      </c>
      <c r="AM227" t="str">
        <f t="shared" si="3"/>
        <v>{dwID=17962,nLevel=1,szNote="绰态",col={165,96,232,},[1]={bScreenHead=true,},[2]={},aCataclysmBuff={{szReminder="默 奶秀奇穴绰态沉默",nPriority=4,col="#FF0055FF",colScreenHead="#A560E8",nColAlpha=255,bCaution=true,bScreenHead=true,},},},</v>
      </c>
    </row>
    <row r="228" spans="3:39" x14ac:dyDescent="0.15">
      <c r="C228">
        <v>17972</v>
      </c>
      <c r="D228">
        <v>1</v>
      </c>
      <c r="K228" t="s">
        <v>519</v>
      </c>
      <c r="L228" t="s">
        <v>2133</v>
      </c>
      <c r="R228">
        <v>1</v>
      </c>
      <c r="AD228" t="s">
        <v>2874</v>
      </c>
      <c r="AE228">
        <v>4</v>
      </c>
      <c r="AF228" t="s">
        <v>2135</v>
      </c>
      <c r="AG228" t="s">
        <v>2136</v>
      </c>
      <c r="AH228">
        <v>255</v>
      </c>
      <c r="AJ228">
        <v>1</v>
      </c>
      <c r="AK228">
        <v>1</v>
      </c>
      <c r="AM228" t="str">
        <f t="shared" si="3"/>
        <v>{dwID=17972,nLevel=1,szNote="月出东山",col={165,96,232,},[1]={bScreenHead=true,},[2]={},aCataclysmBuff={{szReminder="默 冰心奇穴月出东山沉默",nPriority=4,col="#FF0055FF",colScreenHead="#A560E8",nColAlpha=255,bCaution=true,bScreenHead=true,},},},</v>
      </c>
    </row>
    <row r="229" spans="3:39" x14ac:dyDescent="0.15">
      <c r="C229">
        <v>1727</v>
      </c>
      <c r="D229">
        <v>1</v>
      </c>
      <c r="K229" t="s">
        <v>330</v>
      </c>
      <c r="L229" t="s">
        <v>2639</v>
      </c>
      <c r="AD229" t="s">
        <v>2875</v>
      </c>
      <c r="AE229">
        <v>30</v>
      </c>
      <c r="AF229" t="s">
        <v>2641</v>
      </c>
      <c r="AH229">
        <v>255</v>
      </c>
      <c r="AM229" t="str">
        <f t="shared" si="3"/>
        <v>{dwID=1727,nLevel=1,szNote="梦冧",col={255,153,204,},[1]={},[2]={},aCataclysmBuff={{szReminder="冧 奶秀风袖获得cd",nPriority=30,col="#FF99CCFF",nColAlpha=255,},},},</v>
      </c>
    </row>
    <row r="230" spans="3:39" x14ac:dyDescent="0.15">
      <c r="C230">
        <v>686</v>
      </c>
      <c r="D230">
        <v>1</v>
      </c>
      <c r="K230" t="s">
        <v>309</v>
      </c>
      <c r="L230" t="s">
        <v>2228</v>
      </c>
      <c r="R230">
        <v>1</v>
      </c>
      <c r="AD230" t="s">
        <v>2876</v>
      </c>
      <c r="AE230">
        <v>12</v>
      </c>
      <c r="AF230" t="s">
        <v>2230</v>
      </c>
      <c r="AG230" t="s">
        <v>2231</v>
      </c>
      <c r="AH230">
        <v>255</v>
      </c>
      <c r="AK230">
        <v>1</v>
      </c>
      <c r="AM230" t="str">
        <f t="shared" si="3"/>
        <v>{dwID=686,nLevel=1,szNote="帝骖龙翔",col={31,63,255,},[1]={bScreenHead=true,},[2]={},aCataclysmBuff={{szReminder="定 技能帝骖定身",nPriority=12,col="#1F3FFFFF",colScreenHead="#1F3FFF",nColAlpha=255,bScreenHead=true,},},},</v>
      </c>
    </row>
    <row r="231" spans="3:39" x14ac:dyDescent="0.15">
      <c r="C231">
        <v>22714</v>
      </c>
      <c r="D231">
        <v>1</v>
      </c>
      <c r="K231" t="s">
        <v>567</v>
      </c>
      <c r="L231" t="s">
        <v>2228</v>
      </c>
      <c r="AD231" t="s">
        <v>2877</v>
      </c>
      <c r="AE231">
        <v>12</v>
      </c>
      <c r="AF231" t="s">
        <v>2230</v>
      </c>
      <c r="AH231">
        <v>255</v>
      </c>
      <c r="AM231" t="str">
        <f t="shared" si="3"/>
        <v>{dwID=22714,nLevel=1,szNote="霜疾",col={31,63,255,},[1]={},[2]={},aCataclysmBuff={{szReminder="晕 冰心奇穴霜疾眩晕",nPriority=12,col="#1F3FFFFF",nColAlpha=255,},},},</v>
      </c>
    </row>
    <row r="232" spans="3:39" x14ac:dyDescent="0.15">
      <c r="C232">
        <v>24380</v>
      </c>
      <c r="D232">
        <v>1</v>
      </c>
      <c r="K232" t="s">
        <v>594</v>
      </c>
      <c r="L232" t="s">
        <v>2133</v>
      </c>
      <c r="AD232" t="s">
        <v>2878</v>
      </c>
      <c r="AE232">
        <v>13</v>
      </c>
      <c r="AF232" t="s">
        <v>2459</v>
      </c>
      <c r="AH232">
        <v>255</v>
      </c>
      <c r="AM232" t="str">
        <f t="shared" si="3"/>
        <v>{dwID=24380,nLevel=1,szNote="芳尘",col={165,96,232,},[1]={},[2]={},aCataclysmBuff={{szReminder="疗 奶秀奇穴韶景芳尘限疗",nPriority=13,col="#A560E8FF",nColAlpha=255,},},},</v>
      </c>
    </row>
    <row r="233" spans="3:39" x14ac:dyDescent="0.15">
      <c r="C233">
        <v>14506</v>
      </c>
      <c r="D233">
        <v>1</v>
      </c>
      <c r="K233" t="s">
        <v>475</v>
      </c>
      <c r="L233" t="s">
        <v>2639</v>
      </c>
      <c r="AD233" t="s">
        <v>2879</v>
      </c>
      <c r="AE233">
        <v>14</v>
      </c>
      <c r="AF233" t="s">
        <v>2641</v>
      </c>
      <c r="AH233">
        <v>255</v>
      </c>
      <c r="AM233" t="str">
        <f t="shared" si="3"/>
        <v>{dwID=14506,nLevel=1,szNote="霜天剑泠",col={255,153,204,},[1]={},[2]={},aCataclysmBuff={{szReminder="霜 冰心奇穴霜天连线",nPriority=14,col="#FF99CCFF",nColAlpha=255,},},},</v>
      </c>
    </row>
    <row r="234" spans="3:39" x14ac:dyDescent="0.15">
      <c r="C234">
        <v>24266</v>
      </c>
      <c r="D234">
        <v>1</v>
      </c>
      <c r="E234">
        <v>10</v>
      </c>
      <c r="K234" t="s">
        <v>587</v>
      </c>
      <c r="L234" t="s">
        <v>2639</v>
      </c>
      <c r="Z234">
        <v>10</v>
      </c>
      <c r="AA234" t="s">
        <v>2121</v>
      </c>
      <c r="AD234" t="s">
        <v>2880</v>
      </c>
      <c r="AE234">
        <v>14</v>
      </c>
      <c r="AF234" t="s">
        <v>2641</v>
      </c>
      <c r="AH234">
        <v>255</v>
      </c>
      <c r="AL234" t="s">
        <v>2881</v>
      </c>
      <c r="AM234" t="str">
        <f t="shared" si="3"/>
        <v>{dwID=24266,nLevel=1,nCount=10,szNote="凝波",col={255,153,204,},[1]={},[2]={},aCataclysmBuff={{nStackNum=10,szStackOp="&gt;=",szReminder="凝 冰心奇穴合璧知意层数",nPriority=14,col="#FF99CCFF",nColAlpha=255,},{szStackOp="&gt;=",nStackNum=1,szReminder="凝 冰心奇穴合璧知意层数",nPriority=15,nColAlpha=255,col="#FF99CCFF",},},},</v>
      </c>
    </row>
    <row r="235" spans="3:39" x14ac:dyDescent="0.15">
      <c r="C235">
        <v>25896</v>
      </c>
      <c r="D235">
        <v>1</v>
      </c>
      <c r="E235">
        <v>6</v>
      </c>
      <c r="K235" t="s">
        <v>455</v>
      </c>
      <c r="L235" t="s">
        <v>2639</v>
      </c>
      <c r="Z235">
        <v>6</v>
      </c>
      <c r="AA235" t="s">
        <v>2121</v>
      </c>
      <c r="AD235" t="s">
        <v>2882</v>
      </c>
      <c r="AE235">
        <v>14</v>
      </c>
      <c r="AF235" t="s">
        <v>2641</v>
      </c>
      <c r="AH235">
        <v>255</v>
      </c>
      <c r="AL235" t="s">
        <v>2883</v>
      </c>
      <c r="AM235" t="str">
        <f t="shared" si="3"/>
        <v>{dwID=25896,nLevel=1,nCount=6,szNote="凝华",col={255,153,204,},[1]={},[2]={},aCataclysmBuff={{nStackNum=6,szStackOp="&gt;=",szReminder="凝 冰心奇穴凝华层数",nPriority=14,col="#FF99CCFF",nColAlpha=255,},{szStackOp="&gt;=",nStackNum=1,szReminder="凝 冰心奇穴凝华层数",nPriority=15,nColAlpha=255,col="#FF99CCFF",},},},</v>
      </c>
    </row>
    <row r="236" spans="3:39" x14ac:dyDescent="0.15">
      <c r="C236">
        <v>24261</v>
      </c>
      <c r="D236">
        <v>1</v>
      </c>
      <c r="K236" t="s">
        <v>586</v>
      </c>
      <c r="L236" t="s">
        <v>2639</v>
      </c>
      <c r="AD236" t="s">
        <v>2884</v>
      </c>
      <c r="AE236">
        <v>14</v>
      </c>
      <c r="AF236" t="s">
        <v>2641</v>
      </c>
      <c r="AH236">
        <v>255</v>
      </c>
      <c r="AM236" t="str">
        <f t="shared" si="3"/>
        <v>{dwID=24261,nLevel=1,szNote="江海凝波",col={255,153,204,},[1]={},[2]={},aCataclysmBuff={{szReminder="凝 冰心奇穴合璧知意标记",nPriority=14,col="#FF99CCFF",nColAlpha=255,},},},</v>
      </c>
    </row>
    <row r="237" spans="3:39" x14ac:dyDescent="0.15">
      <c r="C237">
        <v>70014</v>
      </c>
      <c r="D237">
        <v>1</v>
      </c>
      <c r="K237" t="s">
        <v>2885</v>
      </c>
      <c r="L237" t="s">
        <v>2228</v>
      </c>
      <c r="R237">
        <v>1</v>
      </c>
      <c r="AD237" t="s">
        <v>2876</v>
      </c>
      <c r="AE237">
        <v>12</v>
      </c>
      <c r="AF237" t="s">
        <v>2230</v>
      </c>
      <c r="AG237" t="s">
        <v>2231</v>
      </c>
      <c r="AH237">
        <v>255</v>
      </c>
      <c r="AK237">
        <v>1</v>
      </c>
      <c r="AM237" t="str">
        <f t="shared" si="3"/>
        <v>{dwID=70014,nLevel=1,szNote="帝骖龙翔·悟",col={31,63,255,},[1]={bScreenHead=true,},[2]={},aCataclysmBuff={{szReminder="定 技能帝骖定身",nPriority=12,col="#1F3FFFFF",colScreenHead="#1F3FFF",nColAlpha=255,bScreenHead=true,},},},</v>
      </c>
    </row>
    <row r="238" spans="3:39" x14ac:dyDescent="0.15">
      <c r="C238">
        <v>70049</v>
      </c>
      <c r="D238">
        <v>1</v>
      </c>
      <c r="K238" t="s">
        <v>2886</v>
      </c>
      <c r="L238" t="s">
        <v>2228</v>
      </c>
      <c r="R238">
        <v>1</v>
      </c>
      <c r="AD238" t="s">
        <v>2887</v>
      </c>
      <c r="AE238">
        <v>12</v>
      </c>
      <c r="AF238" t="s">
        <v>2230</v>
      </c>
      <c r="AG238" t="s">
        <v>2231</v>
      </c>
      <c r="AH238">
        <v>255</v>
      </c>
      <c r="AI238">
        <v>1</v>
      </c>
      <c r="AK238">
        <v>1</v>
      </c>
      <c r="AM238" t="str">
        <f t="shared" si="3"/>
        <v>{dwID=70049,nLevel=1,szNote="雷霆震怒·眩晕",col={31,63,255,},[1]={bScreenHead=true,},[2]={},aCataclysmBuff={{szReminder="晕 无界技能雷霆眩晕",nPriority=12,col="#1F3FFFFF",colScreenHead="#1F3FFF",nColAlpha=255,bAttention=true,bScreenHead=true,},},},</v>
      </c>
    </row>
    <row r="239" spans="3:39" x14ac:dyDescent="0.15">
      <c r="C239">
        <v>16012</v>
      </c>
      <c r="D239">
        <v>1</v>
      </c>
      <c r="K239" t="s">
        <v>488</v>
      </c>
      <c r="L239" t="s">
        <v>2115</v>
      </c>
      <c r="R239">
        <v>1</v>
      </c>
      <c r="AD239" t="s">
        <v>2888</v>
      </c>
      <c r="AE239">
        <v>2</v>
      </c>
      <c r="AF239" t="s">
        <v>2117</v>
      </c>
      <c r="AG239" t="s">
        <v>2132</v>
      </c>
      <c r="AH239">
        <v>255</v>
      </c>
      <c r="AK239">
        <v>1</v>
      </c>
      <c r="AM239" t="str">
        <f t="shared" si="3"/>
        <v>{dwID=16012,nLevel=1,szNote="非梵",col={255,204,0,},[1]={bScreenHead=true,},[2]={},aCataclysmBuff={{szReminder="活 奇穴非梵复活无法移动、免疫治疗",nPriority=2,col="#FFCC00FF",colScreenHead="#FFCC00",nColAlpha=255,bScreenHead=true,},},},</v>
      </c>
    </row>
    <row r="240" spans="3:39" x14ac:dyDescent="0.15">
      <c r="C240">
        <v>445</v>
      </c>
      <c r="D240">
        <v>1</v>
      </c>
      <c r="K240" t="s">
        <v>290</v>
      </c>
      <c r="L240" t="s">
        <v>2133</v>
      </c>
      <c r="R240">
        <v>1</v>
      </c>
      <c r="AD240" t="s">
        <v>2889</v>
      </c>
      <c r="AE240">
        <v>4</v>
      </c>
      <c r="AF240" t="s">
        <v>2135</v>
      </c>
      <c r="AG240" t="s">
        <v>2136</v>
      </c>
      <c r="AH240">
        <v>255</v>
      </c>
      <c r="AI240">
        <v>1</v>
      </c>
      <c r="AJ240">
        <v>1</v>
      </c>
      <c r="AK240">
        <v>1</v>
      </c>
      <c r="AM240" t="str">
        <f t="shared" si="3"/>
        <v>{dwID=445,nLevel=1,szNote="抢珠式",col={165,96,232,},[1]={bScreenHead=true,},[2]={},aCataclysmBuff={{szReminder="封 奇穴抢珠封内",nPriority=4,col="#FF0055FF",colScreenHead="#A560E8",nColAlpha=255,bAttention=true,bCaution=true,bScreenHead=true,},},},</v>
      </c>
    </row>
    <row r="241" spans="3:39" x14ac:dyDescent="0.15">
      <c r="C241">
        <v>24513</v>
      </c>
      <c r="D241">
        <v>1</v>
      </c>
      <c r="K241" t="s">
        <v>599</v>
      </c>
      <c r="L241" t="s">
        <v>2890</v>
      </c>
      <c r="AD241" t="s">
        <v>2891</v>
      </c>
      <c r="AE241">
        <v>4</v>
      </c>
      <c r="AF241" t="s">
        <v>2135</v>
      </c>
      <c r="AH241">
        <v>255</v>
      </c>
      <c r="AM241" t="str">
        <f t="shared" si="3"/>
        <v>{dwID=24513,nLevel=1,szNote="断诛邪见",col={255,0,85,},[1]={},[2]={},aCataclysmBuff={{szReminder="缴 易筋奇穴断诛邪见缴械自身",nPriority=4,col="#FF0055FF",nColAlpha=255,},},},</v>
      </c>
    </row>
    <row r="242" spans="3:39" x14ac:dyDescent="0.15">
      <c r="C242">
        <v>570</v>
      </c>
      <c r="D242">
        <v>1</v>
      </c>
      <c r="K242" t="s">
        <v>299</v>
      </c>
      <c r="L242" t="s">
        <v>2228</v>
      </c>
      <c r="R242">
        <v>1</v>
      </c>
      <c r="AD242" t="s">
        <v>2892</v>
      </c>
      <c r="AE242">
        <v>12</v>
      </c>
      <c r="AF242" t="s">
        <v>2230</v>
      </c>
      <c r="AG242" t="s">
        <v>2231</v>
      </c>
      <c r="AH242">
        <v>255</v>
      </c>
      <c r="AK242">
        <v>1</v>
      </c>
      <c r="AM242" t="str">
        <f t="shared" si="3"/>
        <v>{dwID=570,nLevel=1,szNote="大狮子吼",col={31,63,255,},[1]={bScreenHead=true,},[2]={},aCataclysmBuff={{szReminder="晕 技能大狮子吼眩晕1",nPriority=12,col="#1F3FFFFF",colScreenHead="#1F3FFF",nColAlpha=255,bScreenHead=true,},},},</v>
      </c>
    </row>
    <row r="243" spans="3:39" x14ac:dyDescent="0.15">
      <c r="C243">
        <v>571</v>
      </c>
      <c r="D243">
        <v>1</v>
      </c>
      <c r="K243" t="s">
        <v>299</v>
      </c>
      <c r="L243" t="s">
        <v>2228</v>
      </c>
      <c r="R243">
        <v>1</v>
      </c>
      <c r="AD243" t="s">
        <v>2893</v>
      </c>
      <c r="AE243">
        <v>12</v>
      </c>
      <c r="AF243" t="s">
        <v>2230</v>
      </c>
      <c r="AG243" t="s">
        <v>2231</v>
      </c>
      <c r="AH243">
        <v>255</v>
      </c>
      <c r="AK243">
        <v>1</v>
      </c>
      <c r="AM243" t="str">
        <f t="shared" si="3"/>
        <v>{dwID=571,nLevel=1,szNote="大狮子吼",col={31,63,255,},[1]={bScreenHead=true,},[2]={},aCataclysmBuff={{szReminder="晕 技能大狮子吼眩晕2",nPriority=12,col="#1F3FFFFF",colScreenHead="#1F3FFF",nColAlpha=255,bScreenHead=true,},},},</v>
      </c>
    </row>
    <row r="244" spans="3:39" x14ac:dyDescent="0.15">
      <c r="C244">
        <v>572</v>
      </c>
      <c r="D244">
        <v>1</v>
      </c>
      <c r="K244" t="s">
        <v>299</v>
      </c>
      <c r="L244" t="s">
        <v>2228</v>
      </c>
      <c r="R244">
        <v>1</v>
      </c>
      <c r="AD244" t="s">
        <v>2894</v>
      </c>
      <c r="AE244">
        <v>12</v>
      </c>
      <c r="AF244" t="s">
        <v>2230</v>
      </c>
      <c r="AG244" t="s">
        <v>2231</v>
      </c>
      <c r="AH244">
        <v>255</v>
      </c>
      <c r="AK244">
        <v>1</v>
      </c>
      <c r="AM244" t="str">
        <f t="shared" si="3"/>
        <v>{dwID=572,nLevel=1,szNote="大狮子吼",col={31,63,255,},[1]={bScreenHead=true,},[2]={},aCataclysmBuff={{szReminder="晕 技能大狮子吼眩晕3",nPriority=12,col="#1F3FFFFF",colScreenHead="#1F3FFF",nColAlpha=255,bScreenHead=true,},},},</v>
      </c>
    </row>
    <row r="245" spans="3:39" x14ac:dyDescent="0.15">
      <c r="C245">
        <v>17884</v>
      </c>
      <c r="D245">
        <v>1</v>
      </c>
      <c r="K245" t="s">
        <v>513</v>
      </c>
      <c r="L245" t="s">
        <v>2228</v>
      </c>
      <c r="R245">
        <v>1</v>
      </c>
      <c r="AD245" t="s">
        <v>2895</v>
      </c>
      <c r="AE245">
        <v>12</v>
      </c>
      <c r="AF245" t="s">
        <v>2230</v>
      </c>
      <c r="AG245" t="s">
        <v>2231</v>
      </c>
      <c r="AH245">
        <v>255</v>
      </c>
      <c r="AK245">
        <v>1</v>
      </c>
      <c r="AM245" t="str">
        <f t="shared" si="3"/>
        <v>{dwID=17884,nLevel=1,szNote="灌顶",col={31,63,255,},[1]={bScreenHead=true,},[2]={},aCataclysmBuff={{szReminder="晕 奇穴醍醐灌顶眩晕",nPriority=12,col="#1F3FFFFF",colScreenHead="#1F3FFF",nColAlpha=255,bScreenHead=true,},},},</v>
      </c>
    </row>
    <row r="246" spans="3:39" x14ac:dyDescent="0.15">
      <c r="C246">
        <v>576</v>
      </c>
      <c r="D246">
        <v>1</v>
      </c>
      <c r="K246" t="s">
        <v>301</v>
      </c>
      <c r="L246" t="s">
        <v>2133</v>
      </c>
      <c r="AD246" t="s">
        <v>2896</v>
      </c>
      <c r="AE246">
        <v>13</v>
      </c>
      <c r="AF246" t="s">
        <v>2459</v>
      </c>
      <c r="AH246">
        <v>255</v>
      </c>
      <c r="AM246" t="str">
        <f t="shared" si="3"/>
        <v>{dwID=576,nLevel=1,szNote="尘息",col={165,96,232,},[1]={},[2]={},aCataclysmBuff={{szReminder="疗 易筋奇穴尘息减疗",nPriority=13,col="#A560E8FF",nColAlpha=255,},},},</v>
      </c>
    </row>
    <row r="247" spans="3:39" x14ac:dyDescent="0.15">
      <c r="C247">
        <v>3870</v>
      </c>
      <c r="D247">
        <v>1</v>
      </c>
      <c r="K247" t="s">
        <v>362</v>
      </c>
      <c r="L247" t="s">
        <v>2639</v>
      </c>
      <c r="AD247" t="s">
        <v>2897</v>
      </c>
      <c r="AE247">
        <v>14</v>
      </c>
      <c r="AF247" t="s">
        <v>2641</v>
      </c>
      <c r="AH247">
        <v>255</v>
      </c>
      <c r="AM247" t="str">
        <f t="shared" si="3"/>
        <v>{dwID=3870,nLevel=1,szNote="自在",col={255,153,204,},[1]={},[2]={},aCataclysmBuff={{szReminder="弹 易筋奇穴自在反弹",nPriority=14,col="#FF99CCFF",nColAlpha=255,},},},</v>
      </c>
    </row>
    <row r="248" spans="3:39" x14ac:dyDescent="0.15">
      <c r="C248">
        <v>4368</v>
      </c>
      <c r="D248">
        <v>1</v>
      </c>
      <c r="K248" t="s">
        <v>52</v>
      </c>
      <c r="L248" t="s">
        <v>2228</v>
      </c>
      <c r="R248">
        <v>1</v>
      </c>
      <c r="AD248" t="s">
        <v>2898</v>
      </c>
      <c r="AE248">
        <v>12</v>
      </c>
      <c r="AF248" t="s">
        <v>2230</v>
      </c>
      <c r="AG248" t="s">
        <v>2231</v>
      </c>
      <c r="AH248">
        <v>255</v>
      </c>
      <c r="AK248">
        <v>1</v>
      </c>
      <c r="AM248" t="str">
        <f t="shared" si="3"/>
        <v>{dwID=4368,nLevel=1,szNote="千斤坠",col={31,63,255,},[1]={bScreenHead=true,},[2]={},aCataclysmBuff={{szReminder="坠 小橙武BOSS_少林_千斤坠晕眩",nPriority=12,col="#1F3FFFFF",colScreenHead="#1F3FFF",nColAlpha=255,bScreenHead=true,},},},</v>
      </c>
    </row>
    <row r="249" spans="3:39" x14ac:dyDescent="0.15">
      <c r="C249">
        <v>12010</v>
      </c>
      <c r="D249">
        <v>1</v>
      </c>
      <c r="K249" t="s">
        <v>52</v>
      </c>
      <c r="L249" t="s">
        <v>2228</v>
      </c>
      <c r="R249">
        <v>1</v>
      </c>
      <c r="AD249" t="s">
        <v>2899</v>
      </c>
      <c r="AE249">
        <v>12</v>
      </c>
      <c r="AF249" t="s">
        <v>2230</v>
      </c>
      <c r="AG249" t="s">
        <v>2231</v>
      </c>
      <c r="AH249">
        <v>255</v>
      </c>
      <c r="AK249">
        <v>1</v>
      </c>
      <c r="AM249" t="str">
        <f t="shared" si="3"/>
        <v>{dwID=12010,nLevel=1,szNote="千斤坠",col={31,63,255,},[1]={bScreenHead=true,},[2]={},aCataclysmBuff={{szReminder="坠 新千斤坠技能眩晕",nPriority=12,col="#1F3FFFFF",colScreenHead="#1F3FFF",nColAlpha=255,bScreenHead=true,},},},</v>
      </c>
    </row>
    <row r="250" spans="3:39" x14ac:dyDescent="0.15">
      <c r="C250">
        <v>12012</v>
      </c>
      <c r="D250">
        <v>1</v>
      </c>
      <c r="K250" t="s">
        <v>52</v>
      </c>
      <c r="L250" t="s">
        <v>2120</v>
      </c>
      <c r="R250">
        <v>1</v>
      </c>
      <c r="AD250" t="s">
        <v>2699</v>
      </c>
      <c r="AE250">
        <v>2</v>
      </c>
      <c r="AF250" t="s">
        <v>2123</v>
      </c>
      <c r="AG250" t="s">
        <v>2130</v>
      </c>
      <c r="AH250">
        <v>255</v>
      </c>
      <c r="AK250">
        <v>1</v>
      </c>
      <c r="AM250" t="str">
        <f t="shared" si="3"/>
        <v>{dwID=12012,nLevel=1,szNote="千斤坠",col={179,238,58,},[1]={bScreenHead=true,},[2]={},aCataclysmBuff={{szReminder="蓄 千斤坠蓄力免控",nPriority=2,col="#B3EE3AFF",colScreenHead="#B3EE3A",nColAlpha=255,bScreenHead=true,},},},</v>
      </c>
    </row>
    <row r="251" spans="3:39" x14ac:dyDescent="0.15">
      <c r="C251">
        <v>28215</v>
      </c>
      <c r="D251">
        <v>1</v>
      </c>
      <c r="I251">
        <v>1</v>
      </c>
      <c r="K251" t="s">
        <v>2900</v>
      </c>
      <c r="L251" t="s">
        <v>2639</v>
      </c>
      <c r="R251">
        <v>1</v>
      </c>
      <c r="AC251">
        <v>1</v>
      </c>
      <c r="AD251" t="s">
        <v>2901</v>
      </c>
      <c r="AE251">
        <v>14</v>
      </c>
      <c r="AF251" t="s">
        <v>2641</v>
      </c>
      <c r="AG251" t="s">
        <v>2642</v>
      </c>
      <c r="AH251">
        <v>255</v>
      </c>
      <c r="AK251">
        <v>1</v>
      </c>
      <c r="AM251" t="str">
        <f t="shared" si="3"/>
        <v>{dwID=28215,nLevel=1,nScrutinyType=1,szNote="挂碍",col={255,153,204,},[1]={bScreenHead=true,},[2]={},aCataclysmBuff={{bOnlyMe=true,szReminder="缓 易筋奇穴挂碍降加速",nPriority=14,col="#FF99CCFF",colScreenHead="#FF99CC",nColAlpha=255,bScreenHead=true,},},},</v>
      </c>
    </row>
    <row r="252" spans="3:39" x14ac:dyDescent="0.15">
      <c r="C252">
        <v>453</v>
      </c>
      <c r="D252">
        <v>1</v>
      </c>
      <c r="K252" t="s">
        <v>288</v>
      </c>
      <c r="L252" t="s">
        <v>2228</v>
      </c>
      <c r="R252">
        <v>1</v>
      </c>
      <c r="AD252" t="s">
        <v>2902</v>
      </c>
      <c r="AE252">
        <v>12</v>
      </c>
      <c r="AF252" t="s">
        <v>2230</v>
      </c>
      <c r="AG252" t="s">
        <v>2231</v>
      </c>
      <c r="AH252">
        <v>255</v>
      </c>
      <c r="AK252">
        <v>1</v>
      </c>
      <c r="AM252" t="str">
        <f t="shared" si="3"/>
        <v>{dwID=453,nLevel=1,szNote="眩晕",col={31,63,255,},[1]={bScreenHead=true,},[2]={},aCataclysmBuff={{szReminder="晕 九转归一_眩晕",nPriority=12,col="#1F3FFFFF",colScreenHead="#1F3FFF",nColAlpha=255,bScreenHead=true,},},},</v>
      </c>
    </row>
    <row r="253" spans="3:39" x14ac:dyDescent="0.15">
      <c r="C253">
        <v>573</v>
      </c>
      <c r="D253">
        <v>1</v>
      </c>
      <c r="K253" t="s">
        <v>300</v>
      </c>
      <c r="L253" t="s">
        <v>2133</v>
      </c>
      <c r="R253">
        <v>1</v>
      </c>
      <c r="AD253" t="s">
        <v>2903</v>
      </c>
      <c r="AE253">
        <v>4</v>
      </c>
      <c r="AF253" t="s">
        <v>2135</v>
      </c>
      <c r="AG253" t="s">
        <v>2136</v>
      </c>
      <c r="AH253">
        <v>255</v>
      </c>
      <c r="AJ253">
        <v>1</v>
      </c>
      <c r="AK253">
        <v>1</v>
      </c>
      <c r="AM253" t="str">
        <f t="shared" si="3"/>
        <v>{dwID=573,nLevel=1,szNote="剑飞惊天",col={165,96,232,},[1]={bScreenHead=true,},[2]={},aCataclysmBuff={{szReminder="封 剑纯奇穴剑飞沉默",nPriority=4,col="#FF0055FF",colScreenHead="#A560E8",nColAlpha=255,bCaution=true,bScreenHead=true,},},},</v>
      </c>
    </row>
    <row r="254" spans="3:39" x14ac:dyDescent="0.15">
      <c r="C254">
        <v>726</v>
      </c>
      <c r="D254">
        <v>1</v>
      </c>
      <c r="K254" t="s">
        <v>300</v>
      </c>
      <c r="L254" t="s">
        <v>2133</v>
      </c>
      <c r="R254">
        <v>1</v>
      </c>
      <c r="AD254" t="s">
        <v>2904</v>
      </c>
      <c r="AE254">
        <v>4</v>
      </c>
      <c r="AF254" t="s">
        <v>2135</v>
      </c>
      <c r="AG254" t="s">
        <v>2136</v>
      </c>
      <c r="AH254">
        <v>255</v>
      </c>
      <c r="AJ254">
        <v>1</v>
      </c>
      <c r="AK254">
        <v>1</v>
      </c>
      <c r="AM254" t="str">
        <f t="shared" si="3"/>
        <v>{dwID=726,nLevel=1,szNote="剑飞惊天",col={165,96,232,},[1]={bScreenHead=true,},[2]={},aCataclysmBuff={{szReminder="封 剑纯奇穴剑飞沉默-混元不利",nPriority=4,col="#FF0055FF",colScreenHead="#A560E8",nColAlpha=255,bCaution=true,bScreenHead=true,},},},</v>
      </c>
    </row>
    <row r="255" spans="3:39" x14ac:dyDescent="0.15">
      <c r="C255">
        <v>557</v>
      </c>
      <c r="D255">
        <v>1</v>
      </c>
      <c r="K255" t="s">
        <v>295</v>
      </c>
      <c r="L255" t="s">
        <v>2133</v>
      </c>
      <c r="R255">
        <v>1</v>
      </c>
      <c r="AD255" t="s">
        <v>2905</v>
      </c>
      <c r="AE255">
        <v>4</v>
      </c>
      <c r="AF255" t="s">
        <v>2135</v>
      </c>
      <c r="AG255" t="s">
        <v>2136</v>
      </c>
      <c r="AH255">
        <v>255</v>
      </c>
      <c r="AI255">
        <v>1</v>
      </c>
      <c r="AJ255">
        <v>1</v>
      </c>
      <c r="AK255">
        <v>1</v>
      </c>
      <c r="AM255" t="str">
        <f t="shared" si="3"/>
        <v>{dwID=557,nLevel=1,szNote="八卦洞玄",col={165,96,232,},[1]={bScreenHead=true,},[2]={},aCataclysmBuff={{szReminder="封 气纯奇穴八卦封内",nPriority=4,col="#FF0055FF",colScreenHead="#A560E8",nColAlpha=255,bAttention=true,bCaution=true,bScreenHead=true,},},},</v>
      </c>
    </row>
    <row r="256" spans="3:39" x14ac:dyDescent="0.15">
      <c r="C256">
        <v>2182</v>
      </c>
      <c r="D256">
        <v>1</v>
      </c>
      <c r="K256" t="s">
        <v>295</v>
      </c>
      <c r="L256" t="s">
        <v>2133</v>
      </c>
      <c r="R256">
        <v>1</v>
      </c>
      <c r="AD256" t="s">
        <v>2906</v>
      </c>
      <c r="AE256">
        <v>4</v>
      </c>
      <c r="AF256" t="s">
        <v>2135</v>
      </c>
      <c r="AG256" t="s">
        <v>2136</v>
      </c>
      <c r="AH256">
        <v>255</v>
      </c>
      <c r="AI256">
        <v>1</v>
      </c>
      <c r="AJ256">
        <v>1</v>
      </c>
      <c r="AK256">
        <v>1</v>
      </c>
      <c r="AM256" t="str">
        <f t="shared" si="3"/>
        <v>{dwID=2182,nLevel=1,szNote="八卦洞玄",col={165,96,232,},[1]={bScreenHead=true,},[2]={},aCataclysmBuff={{szReminder="封 气纯奇穴八卦封内-点穴不利",nPriority=4,col="#FF0055FF",colScreenHead="#A560E8",nColAlpha=255,bAttention=true,bCaution=true,bScreenHead=true,},},},</v>
      </c>
    </row>
    <row r="257" spans="3:39" x14ac:dyDescent="0.15">
      <c r="C257">
        <v>17940</v>
      </c>
      <c r="D257">
        <v>1</v>
      </c>
      <c r="K257" t="s">
        <v>517</v>
      </c>
      <c r="L257" t="s">
        <v>2228</v>
      </c>
      <c r="AD257" t="s">
        <v>2907</v>
      </c>
      <c r="AE257">
        <v>12</v>
      </c>
      <c r="AF257" t="s">
        <v>2230</v>
      </c>
      <c r="AH257">
        <v>255</v>
      </c>
      <c r="AM257" t="str">
        <f t="shared" si="3"/>
        <v>{dwID=17940,nLevel=1,szNote="凌云剑",col={31,63,255,},[1]={},[2]={},aCataclysmBuff={{szReminder="定 剑纯奇穴凌云剑定身",nPriority=12,col="#1F3FFFFF",nColAlpha=255,},},},</v>
      </c>
    </row>
    <row r="258" spans="3:39" x14ac:dyDescent="0.15">
      <c r="C258">
        <v>554</v>
      </c>
      <c r="D258">
        <v>1</v>
      </c>
      <c r="K258" t="s">
        <v>292</v>
      </c>
      <c r="L258" t="s">
        <v>2228</v>
      </c>
      <c r="R258">
        <v>1</v>
      </c>
      <c r="AD258" t="s">
        <v>2908</v>
      </c>
      <c r="AE258">
        <v>12</v>
      </c>
      <c r="AF258" t="s">
        <v>2230</v>
      </c>
      <c r="AG258" t="s">
        <v>2231</v>
      </c>
      <c r="AH258">
        <v>255</v>
      </c>
      <c r="AK258">
        <v>1</v>
      </c>
      <c r="AM258" t="str">
        <f t="shared" ref="AM258:AM321" si="4">IF(B258&lt;&gt;"",IF(IFERROR(VALUE(C257),0)&lt;=0,"["&amp;B258&amp;"]={","},["&amp;B258&amp;"]={"),IF(C258&gt;0,"{dwID="&amp;C258&amp;","&amp;"nLevel="&amp;D258&amp;","&amp;IF(E258&gt;0,"nCount="&amp;E258&amp;",","")&amp;IF(F258&gt;0,"nIcon="&amp;F258&amp;",","")&amp;IF(G258&lt;&gt;"","szName="""&amp;G258&amp;""",","")&amp;IF(H258&gt;0,"bCheckLevel=true,","")&amp;IF(I258&gt;0,"nScrutinyType="&amp;I258&amp;",","")&amp;IF(J258&lt;&gt;"","tKungFu={"&amp;J258&amp;"},","")&amp;IF(K258&lt;&gt;"","szNote="""&amp;K258&amp;""",","")&amp;IF(L258&lt;&gt;"","col={"&amp;L258&amp;"},","")&amp;"[1]={"&amp;IF(M258&lt;&gt;"","tMark={"&amp;M258&amp;"},","")&amp;IF(N258&lt;&gt;"","szVoice="""&amp;N258&amp;""",","")&amp;IF(O258&gt;0,"bCheckLevel=true,","")&amp;IF(P258&gt;0,"bWhisperChannel=true,","")&amp;IF(Q258&gt;0,"bCenterAlarm=true,","")&amp;IF(R258&gt;0,"bScreenHead=true,","")&amp;IF(S258&gt;0,"bPartyBuffList=true,","")&amp;IF(T258&gt;0,"bBuffList=true,","")&amp;IF(U258&gt;0,"bTeamPanel=true,","")&amp;IF(V258&gt;0,"bOnlySelfSrc=true,","")&amp;"},"&amp;"[2]={"&amp;IF(W258&gt;0,"bCheckLevel=true,","")&amp;IF(X258&gt;0,"bWhisperChannel=true,","")&amp;IF(Y258&gt;0,"bCenterAlarm=true,","")&amp;"},"&amp;IF(OR(Z258&gt;0,AD258&lt;&gt;"",AE258&gt;0,AF258&lt;&gt;"",AG258&lt;&gt;"",AH258&gt;0,AI258&gt;0,AJ258&gt;0,AK258&gt;0),"aCataclysmBuff={{"&amp;IF(Z258&gt;0,"nStackNum="&amp;Z258&amp;",","")&amp;IF(AA258&lt;&gt;"","szStackOp="""&amp;AA258&amp;""",","")&amp;IF(AB258&gt;0,"bOnlyMine=true,","")&amp;IF(AC258&gt;0,"bOnlyMe=true,","")&amp;IF(AD258&lt;&gt;"","szReminder="""&amp;AD258&amp;""",","")&amp;IF(AE258&gt;0,"nPriority="&amp;AE258&amp;",","")&amp;IF(AF258&lt;&gt;"","col="""&amp;AF258&amp;""",","")&amp;IF(AG258&lt;&gt;"","colScreenHead="""&amp;AG258&amp;""",","")&amp;IF(AH258&gt;0,"nColAlpha="&amp;AH258&amp;",","")&amp;IF(AI258&gt;0,"bAttention=true,","")&amp;IF(AJ258&gt;0,"bCaution=true,","")&amp;IF(AK258&gt;0,"bScreenHead=true,","")&amp;"},"&amp;AL258&amp;"},","")&amp;IF(AN258&lt;&gt;"","tCountdown={"&amp;_xlfn.TEXTJOIN("",TRUE,AN258:ZY258)&amp;"},","")&amp;"},",IF(C257&gt;0,"},","")&amp;IF(AND(B258="",C258="",OR(B257&lt;&gt;"",C257&lt;&gt;"")),"},}","")))</f>
        <v>{dwID=554,nLevel=1,szNote="大道无术",col={31,63,255,},[1]={bScreenHead=true,},[2]={},aCataclysmBuff={{szReminder="定 剑纯技能大道定身-点穴不利",nPriority=12,col="#1F3FFFFF",colScreenHead="#1F3FFF",nColAlpha=255,bScreenHead=true,},},},</v>
      </c>
    </row>
    <row r="259" spans="3:39" x14ac:dyDescent="0.15">
      <c r="C259">
        <v>6082</v>
      </c>
      <c r="D259">
        <v>1</v>
      </c>
      <c r="K259" t="s">
        <v>292</v>
      </c>
      <c r="L259" t="s">
        <v>2228</v>
      </c>
      <c r="R259">
        <v>1</v>
      </c>
      <c r="AD259" t="s">
        <v>2909</v>
      </c>
      <c r="AE259">
        <v>12</v>
      </c>
      <c r="AF259" t="s">
        <v>2230</v>
      </c>
      <c r="AG259" t="s">
        <v>2231</v>
      </c>
      <c r="AH259">
        <v>255</v>
      </c>
      <c r="AK259">
        <v>1</v>
      </c>
      <c r="AM259" t="str">
        <f t="shared" si="4"/>
        <v>{dwID=6082,nLevel=1,szNote="大道无术",col={31,63,255,},[1]={bScreenHead=true,},[2]={},aCataclysmBuff={{szReminder="定 剑纯技能大道定身追加1秒",nPriority=12,col="#1F3FFFFF",colScreenHead="#1F3FFF",nColAlpha=255,bScreenHead=true,},},},</v>
      </c>
    </row>
    <row r="260" spans="3:39" x14ac:dyDescent="0.15">
      <c r="C260">
        <v>13052</v>
      </c>
      <c r="D260">
        <v>1</v>
      </c>
      <c r="K260" t="s">
        <v>292</v>
      </c>
      <c r="L260" t="s">
        <v>2228</v>
      </c>
      <c r="R260">
        <v>1</v>
      </c>
      <c r="AD260" t="s">
        <v>2910</v>
      </c>
      <c r="AE260">
        <v>12</v>
      </c>
      <c r="AF260" t="s">
        <v>2230</v>
      </c>
      <c r="AG260" t="s">
        <v>2231</v>
      </c>
      <c r="AH260">
        <v>255</v>
      </c>
      <c r="AK260">
        <v>1</v>
      </c>
      <c r="AM260" t="str">
        <f t="shared" si="4"/>
        <v>{dwID=13052,nLevel=1,szNote="大道无术",col={31,63,255,},[1]={bScreenHead=true,},[2]={},aCataclysmBuff={{szReminder="定 剑纯技能大道定身减15%化劲",nPriority=12,col="#1F3FFFFF",colScreenHead="#1F3FFF",nColAlpha=255,bScreenHead=true,},},},</v>
      </c>
    </row>
    <row r="261" spans="3:39" x14ac:dyDescent="0.15">
      <c r="C261">
        <v>13053</v>
      </c>
      <c r="D261">
        <v>1</v>
      </c>
      <c r="K261" t="s">
        <v>292</v>
      </c>
      <c r="L261" t="s">
        <v>2228</v>
      </c>
      <c r="R261">
        <v>1</v>
      </c>
      <c r="AD261" t="s">
        <v>2911</v>
      </c>
      <c r="AE261">
        <v>12</v>
      </c>
      <c r="AF261" t="s">
        <v>2230</v>
      </c>
      <c r="AG261" t="s">
        <v>2231</v>
      </c>
      <c r="AH261">
        <v>255</v>
      </c>
      <c r="AK261">
        <v>1</v>
      </c>
      <c r="AM261" t="str">
        <f t="shared" si="4"/>
        <v>{dwID=13053,nLevel=1,szNote="大道无术",col={31,63,255,},[1]={bScreenHead=true,},[2]={},aCataclysmBuff={{szReminder="定 剑纯大道定身减15%化劲强化",nPriority=12,col="#1F3FFFFF",colScreenHead="#1F3FFF",nColAlpha=255,bScreenHead=true,},},},</v>
      </c>
    </row>
    <row r="262" spans="3:39" x14ac:dyDescent="0.15">
      <c r="C262">
        <v>556</v>
      </c>
      <c r="D262">
        <v>1</v>
      </c>
      <c r="K262" t="s">
        <v>294</v>
      </c>
      <c r="L262" t="s">
        <v>2228</v>
      </c>
      <c r="R262">
        <v>1</v>
      </c>
      <c r="AD262" t="s">
        <v>2912</v>
      </c>
      <c r="AE262">
        <v>12</v>
      </c>
      <c r="AF262" t="s">
        <v>2230</v>
      </c>
      <c r="AG262" t="s">
        <v>2231</v>
      </c>
      <c r="AH262">
        <v>255</v>
      </c>
      <c r="AK262">
        <v>1</v>
      </c>
      <c r="AM262" t="str">
        <f t="shared" si="4"/>
        <v>{dwID=556,nLevel=1,szNote="七星拱瑞",col={31,63,255,},[1]={bScreenHead=true,},[2]={},aCataclysmBuff={{szReminder="定 气纯技能七星定身",nPriority=12,col="#1F3FFFFF",colScreenHead="#1F3FFF",nColAlpha=255,bScreenHead=true,},},},</v>
      </c>
    </row>
    <row r="263" spans="3:39" x14ac:dyDescent="0.15">
      <c r="C263">
        <v>852</v>
      </c>
      <c r="D263">
        <v>1</v>
      </c>
      <c r="K263" t="s">
        <v>294</v>
      </c>
      <c r="L263" t="s">
        <v>2228</v>
      </c>
      <c r="R263">
        <v>1</v>
      </c>
      <c r="AD263" t="s">
        <v>2912</v>
      </c>
      <c r="AE263">
        <v>12</v>
      </c>
      <c r="AF263" t="s">
        <v>2230</v>
      </c>
      <c r="AG263" t="s">
        <v>2231</v>
      </c>
      <c r="AH263">
        <v>255</v>
      </c>
      <c r="AK263">
        <v>1</v>
      </c>
      <c r="AM263" t="str">
        <f t="shared" si="4"/>
        <v>{dwID=852,nLevel=1,szNote="七星拱瑞",col={31,63,255,},[1]={bScreenHead=true,},[2]={},aCataclysmBuff={{szReminder="定 气纯技能七星定身",nPriority=12,col="#1F3FFFFF",colScreenHead="#1F3FFF",nColAlpha=255,bScreenHead=true,},},},</v>
      </c>
    </row>
    <row r="264" spans="3:39" x14ac:dyDescent="0.15">
      <c r="C264">
        <v>2832</v>
      </c>
      <c r="D264">
        <v>1</v>
      </c>
      <c r="K264" t="s">
        <v>294</v>
      </c>
      <c r="L264" t="s">
        <v>2228</v>
      </c>
      <c r="R264">
        <v>1</v>
      </c>
      <c r="AD264" t="s">
        <v>2912</v>
      </c>
      <c r="AE264">
        <v>12</v>
      </c>
      <c r="AF264" t="s">
        <v>2230</v>
      </c>
      <c r="AG264" t="s">
        <v>2231</v>
      </c>
      <c r="AH264">
        <v>255</v>
      </c>
      <c r="AK264">
        <v>1</v>
      </c>
      <c r="AM264" t="str">
        <f t="shared" si="4"/>
        <v>{dwID=2832,nLevel=1,szNote="七星拱瑞",col={31,63,255,},[1]={bScreenHead=true,},[2]={},aCataclysmBuff={{szReminder="定 气纯技能七星定身",nPriority=12,col="#1F3FFFFF",colScreenHead="#1F3FFF",nColAlpha=255,bScreenHead=true,},},},</v>
      </c>
    </row>
    <row r="265" spans="3:39" x14ac:dyDescent="0.15">
      <c r="C265">
        <v>2833</v>
      </c>
      <c r="D265">
        <v>1</v>
      </c>
      <c r="K265" t="s">
        <v>294</v>
      </c>
      <c r="L265" t="s">
        <v>2228</v>
      </c>
      <c r="R265">
        <v>1</v>
      </c>
      <c r="AD265" t="s">
        <v>2912</v>
      </c>
      <c r="AE265">
        <v>12</v>
      </c>
      <c r="AF265" t="s">
        <v>2230</v>
      </c>
      <c r="AG265" t="s">
        <v>2231</v>
      </c>
      <c r="AH265">
        <v>255</v>
      </c>
      <c r="AK265">
        <v>1</v>
      </c>
      <c r="AM265" t="str">
        <f t="shared" si="4"/>
        <v>{dwID=2833,nLevel=1,szNote="七星拱瑞",col={31,63,255,},[1]={bScreenHead=true,},[2]={},aCataclysmBuff={{szReminder="定 气纯技能七星定身",nPriority=12,col="#1F3FFFFF",colScreenHead="#1F3FFF",nColAlpha=255,bScreenHead=true,},},},</v>
      </c>
    </row>
    <row r="266" spans="3:39" x14ac:dyDescent="0.15">
      <c r="C266">
        <v>2834</v>
      </c>
      <c r="D266">
        <v>1</v>
      </c>
      <c r="K266" t="s">
        <v>294</v>
      </c>
      <c r="L266" t="s">
        <v>2228</v>
      </c>
      <c r="R266">
        <v>1</v>
      </c>
      <c r="AD266" t="s">
        <v>2912</v>
      </c>
      <c r="AE266">
        <v>12</v>
      </c>
      <c r="AF266" t="s">
        <v>2230</v>
      </c>
      <c r="AG266" t="s">
        <v>2231</v>
      </c>
      <c r="AH266">
        <v>255</v>
      </c>
      <c r="AK266">
        <v>1</v>
      </c>
      <c r="AM266" t="str">
        <f t="shared" si="4"/>
        <v>{dwID=2834,nLevel=1,szNote="七星拱瑞",col={31,63,255,},[1]={bScreenHead=true,},[2]={},aCataclysmBuff={{szReminder="定 气纯技能七星定身",nPriority=12,col="#1F3FFFFF",colScreenHead="#1F3FFF",nColAlpha=255,bScreenHead=true,},},},</v>
      </c>
    </row>
    <row r="267" spans="3:39" x14ac:dyDescent="0.15">
      <c r="C267">
        <v>2835</v>
      </c>
      <c r="D267">
        <v>1</v>
      </c>
      <c r="K267" t="s">
        <v>294</v>
      </c>
      <c r="L267" t="s">
        <v>2228</v>
      </c>
      <c r="R267">
        <v>1</v>
      </c>
      <c r="AD267" t="s">
        <v>2912</v>
      </c>
      <c r="AE267">
        <v>12</v>
      </c>
      <c r="AF267" t="s">
        <v>2230</v>
      </c>
      <c r="AG267" t="s">
        <v>2231</v>
      </c>
      <c r="AH267">
        <v>255</v>
      </c>
      <c r="AK267">
        <v>1</v>
      </c>
      <c r="AM267" t="str">
        <f t="shared" si="4"/>
        <v>{dwID=2835,nLevel=1,szNote="七星拱瑞",col={31,63,255,},[1]={bScreenHead=true,},[2]={},aCataclysmBuff={{szReminder="定 气纯技能七星定身",nPriority=12,col="#1F3FFFFF",colScreenHead="#1F3FFF",nColAlpha=255,bScreenHead=true,},},},</v>
      </c>
    </row>
    <row r="268" spans="3:39" x14ac:dyDescent="0.15">
      <c r="C268">
        <v>9959</v>
      </c>
      <c r="D268">
        <v>1</v>
      </c>
      <c r="K268" t="s">
        <v>294</v>
      </c>
      <c r="L268" t="s">
        <v>2228</v>
      </c>
      <c r="R268">
        <v>1</v>
      </c>
      <c r="AD268" t="s">
        <v>2913</v>
      </c>
      <c r="AE268">
        <v>12</v>
      </c>
      <c r="AF268" t="s">
        <v>2230</v>
      </c>
      <c r="AG268" t="s">
        <v>2231</v>
      </c>
      <c r="AH268">
        <v>255</v>
      </c>
      <c r="AK268">
        <v>1</v>
      </c>
      <c r="AM268" t="str">
        <f t="shared" si="4"/>
        <v>{dwID=9959,nLevel=1,szNote="七星拱瑞",col={31,63,255,},[1]={bScreenHead=true,},[2]={},aCataclysmBuff={{szReminder="定 气纯技能七星定身新",nPriority=12,col="#1F3FFFFF",colScreenHead="#1F3FFF",nColAlpha=255,bScreenHead=true,},},},</v>
      </c>
    </row>
    <row r="269" spans="3:39" x14ac:dyDescent="0.15">
      <c r="C269">
        <v>12478</v>
      </c>
      <c r="D269">
        <v>1</v>
      </c>
      <c r="K269" t="s">
        <v>294</v>
      </c>
      <c r="L269" t="s">
        <v>2228</v>
      </c>
      <c r="R269">
        <v>1</v>
      </c>
      <c r="AD269" t="s">
        <v>2912</v>
      </c>
      <c r="AE269">
        <v>12</v>
      </c>
      <c r="AF269" t="s">
        <v>2230</v>
      </c>
      <c r="AG269" t="s">
        <v>2231</v>
      </c>
      <c r="AH269">
        <v>255</v>
      </c>
      <c r="AK269">
        <v>1</v>
      </c>
      <c r="AM269" t="str">
        <f t="shared" si="4"/>
        <v>{dwID=12478,nLevel=1,szNote="七星拱瑞",col={31,63,255,},[1]={bScreenHead=true,},[2]={},aCataclysmBuff={{szReminder="定 气纯技能七星定身",nPriority=12,col="#1F3FFFFF",colScreenHead="#1F3FFF",nColAlpha=255,bScreenHead=true,},},},</v>
      </c>
    </row>
    <row r="270" spans="3:39" x14ac:dyDescent="0.15">
      <c r="C270">
        <v>20756</v>
      </c>
      <c r="D270">
        <v>1</v>
      </c>
      <c r="K270" t="s">
        <v>2914</v>
      </c>
      <c r="L270" t="s">
        <v>2228</v>
      </c>
      <c r="AD270" t="s">
        <v>2915</v>
      </c>
      <c r="AE270">
        <v>12</v>
      </c>
      <c r="AF270" t="s">
        <v>2230</v>
      </c>
      <c r="AH270">
        <v>255</v>
      </c>
      <c r="AM270" t="str">
        <f t="shared" si="4"/>
        <v>{dwID=20756,nLevel=1,szNote="定迹",col={31,63,255,},[1]={},[2]={},aCataclysmBuff={{szReminder="定 气纯奇穴定迹定身",nPriority=12,col="#1F3FFFFF",nColAlpha=255,},},},</v>
      </c>
    </row>
    <row r="271" spans="3:39" x14ac:dyDescent="0.15">
      <c r="C271">
        <v>2755</v>
      </c>
      <c r="D271">
        <v>1</v>
      </c>
      <c r="K271" t="s">
        <v>349</v>
      </c>
      <c r="L271" t="s">
        <v>2228</v>
      </c>
      <c r="R271">
        <v>1</v>
      </c>
      <c r="AD271" t="s">
        <v>2916</v>
      </c>
      <c r="AE271">
        <v>12</v>
      </c>
      <c r="AF271" t="s">
        <v>2230</v>
      </c>
      <c r="AG271" t="s">
        <v>2231</v>
      </c>
      <c r="AH271">
        <v>255</v>
      </c>
      <c r="AK271">
        <v>1</v>
      </c>
      <c r="AM271" t="str">
        <f t="shared" si="4"/>
        <v>{dwID=2755,nLevel=1,szNote="北斗",col={31,63,255,},[1]={bScreenHead=true,},[2]={},aCataclysmBuff={{szReminder="晕 气纯技能七星眩晕",nPriority=12,col="#1F3FFFFF",colScreenHead="#1F3FFF",nColAlpha=255,bScreenHead=true,},},},</v>
      </c>
    </row>
    <row r="272" spans="3:39" x14ac:dyDescent="0.15">
      <c r="C272">
        <v>14928</v>
      </c>
      <c r="D272">
        <v>1</v>
      </c>
      <c r="K272" t="s">
        <v>476</v>
      </c>
      <c r="L272" t="s">
        <v>2228</v>
      </c>
      <c r="R272">
        <v>1</v>
      </c>
      <c r="AD272" t="s">
        <v>2917</v>
      </c>
      <c r="AE272">
        <v>12</v>
      </c>
      <c r="AF272" t="s">
        <v>2230</v>
      </c>
      <c r="AG272" t="s">
        <v>2231</v>
      </c>
      <c r="AH272">
        <v>255</v>
      </c>
      <c r="AK272">
        <v>1</v>
      </c>
      <c r="AM272" t="str">
        <f t="shared" si="4"/>
        <v>{dwID=14928,nLevel=1,szNote="羽化",col={31,63,255,},[1]={bScreenHead=true,},[2]={},aCataclysmBuff={{szReminder="晕 气纯奇穴羽化眩晕",nPriority=12,col="#1F3FFFFF",colScreenHead="#1F3FFF",nColAlpha=255,bScreenHead=true,},},},</v>
      </c>
    </row>
    <row r="273" spans="3:39" x14ac:dyDescent="0.15">
      <c r="C273">
        <v>22676</v>
      </c>
      <c r="D273">
        <v>1</v>
      </c>
      <c r="K273" t="s">
        <v>565</v>
      </c>
      <c r="L273" t="s">
        <v>2228</v>
      </c>
      <c r="R273">
        <v>1</v>
      </c>
      <c r="AD273" t="s">
        <v>2918</v>
      </c>
      <c r="AE273">
        <v>12</v>
      </c>
      <c r="AF273" t="s">
        <v>2230</v>
      </c>
      <c r="AG273" t="s">
        <v>2231</v>
      </c>
      <c r="AH273">
        <v>255</v>
      </c>
      <c r="AK273">
        <v>1</v>
      </c>
      <c r="AM273" t="str">
        <f t="shared" si="4"/>
        <v>{dwID=22676,nLevel=1,szNote="剑出鸿蒙",col={31,63,255,},[1]={bScreenHead=true,},[2]={},aCataclysmBuff={{szReminder="晕 气纯奇穴剑出鸿蒙眩晕",nPriority=12,col="#1F3FFFFF",colScreenHead="#1F3FFF",nColAlpha=255,bScreenHead=true,},},},</v>
      </c>
    </row>
    <row r="274" spans="3:39" x14ac:dyDescent="0.15">
      <c r="C274">
        <v>2780</v>
      </c>
      <c r="D274">
        <v>1</v>
      </c>
      <c r="K274" t="s">
        <v>143</v>
      </c>
      <c r="L274" t="s">
        <v>2228</v>
      </c>
      <c r="AD274" t="s">
        <v>2919</v>
      </c>
      <c r="AE274">
        <v>12</v>
      </c>
      <c r="AF274" t="s">
        <v>2230</v>
      </c>
      <c r="AH274">
        <v>255</v>
      </c>
      <c r="AM274" t="str">
        <f t="shared" si="4"/>
        <v>{dwID=2780,nLevel=1,szNote="剑冲阴阳",col={31,63,255,},[1]={},[2]={},aCataclysmBuff={{szReminder="晕 剑纯技能剑冲眩晕",nPriority=12,col="#1F3FFFFF",nColAlpha=255,},},},</v>
      </c>
    </row>
    <row r="275" spans="3:39" x14ac:dyDescent="0.15">
      <c r="C275">
        <v>24155</v>
      </c>
      <c r="D275">
        <v>1</v>
      </c>
      <c r="K275" t="s">
        <v>579</v>
      </c>
      <c r="L275" t="s">
        <v>2228</v>
      </c>
      <c r="AD275" t="s">
        <v>2920</v>
      </c>
      <c r="AE275">
        <v>12</v>
      </c>
      <c r="AF275" t="s">
        <v>2230</v>
      </c>
      <c r="AH275">
        <v>255</v>
      </c>
      <c r="AM275" t="str">
        <f t="shared" si="4"/>
        <v>{dwID=24155,nLevel=1,szNote="斗转",col={31,63,255,},[1]={},[2]={},aCataclysmBuff={{szReminder="晕 剑纯奇穴斗转眩晕",nPriority=12,col="#1F3FFFFF",nColAlpha=255,},},},</v>
      </c>
    </row>
    <row r="276" spans="3:39" x14ac:dyDescent="0.15">
      <c r="C276">
        <v>24378</v>
      </c>
      <c r="D276">
        <v>1</v>
      </c>
      <c r="K276" t="s">
        <v>593</v>
      </c>
      <c r="L276" t="s">
        <v>2228</v>
      </c>
      <c r="AD276" t="s">
        <v>2921</v>
      </c>
      <c r="AE276">
        <v>12</v>
      </c>
      <c r="AF276" t="s">
        <v>2230</v>
      </c>
      <c r="AH276">
        <v>255</v>
      </c>
      <c r="AM276" t="str">
        <f t="shared" si="4"/>
        <v>{dwID=24378,nLevel=1,szNote="拘形",col={31,63,255,},[1]={},[2]={},aCataclysmBuff={{szReminder="晕 剑纯奇穴剑道万象眩晕",nPriority=12,col="#1F3FFFFF",nColAlpha=255,},},},</v>
      </c>
    </row>
    <row r="277" spans="3:39" x14ac:dyDescent="0.15">
      <c r="C277">
        <v>25968</v>
      </c>
      <c r="D277">
        <v>1</v>
      </c>
      <c r="K277" t="s">
        <v>610</v>
      </c>
      <c r="L277" t="s">
        <v>2228</v>
      </c>
      <c r="AD277" t="s">
        <v>2922</v>
      </c>
      <c r="AE277">
        <v>12</v>
      </c>
      <c r="AF277" t="s">
        <v>2230</v>
      </c>
      <c r="AH277">
        <v>255</v>
      </c>
      <c r="AM277" t="str">
        <f t="shared" si="4"/>
        <v>{dwID=25968,nLevel=1,szNote="剑入",col={31,63,255,},[1]={},[2]={},aCataclysmBuff={{szReminder="晕 剑纯奇穴剑入眩晕",nPriority=12,col="#1F3FFFFF",nColAlpha=255,},},},</v>
      </c>
    </row>
    <row r="278" spans="3:39" x14ac:dyDescent="0.15">
      <c r="C278">
        <v>16664</v>
      </c>
      <c r="D278">
        <v>1</v>
      </c>
      <c r="K278" t="s">
        <v>291</v>
      </c>
      <c r="L278" t="s">
        <v>2133</v>
      </c>
      <c r="AD278" t="s">
        <v>2923</v>
      </c>
      <c r="AE278">
        <v>13</v>
      </c>
      <c r="AF278" t="s">
        <v>2459</v>
      </c>
      <c r="AH278">
        <v>255</v>
      </c>
      <c r="AM278" t="str">
        <f t="shared" si="4"/>
        <v>{dwID=16664,nLevel=1,szNote="玄一",col={165,96,232,},[1]={},[2]={},aCataclysmBuff={{szReminder="疗 剑纯心法自带减疗",nPriority=13,col="#A560E8FF",nColAlpha=255,},},},</v>
      </c>
    </row>
    <row r="279" spans="3:39" x14ac:dyDescent="0.15">
      <c r="C279">
        <v>20815</v>
      </c>
      <c r="D279">
        <v>1</v>
      </c>
      <c r="K279" t="s">
        <v>291</v>
      </c>
      <c r="L279" t="s">
        <v>2133</v>
      </c>
      <c r="AD279" t="s">
        <v>2923</v>
      </c>
      <c r="AE279">
        <v>13</v>
      </c>
      <c r="AF279" t="s">
        <v>2459</v>
      </c>
      <c r="AH279">
        <v>255</v>
      </c>
      <c r="AM279" t="str">
        <f t="shared" si="4"/>
        <v>{dwID=20815,nLevel=1,szNote="玄一",col={165,96,232,},[1]={},[2]={},aCataclysmBuff={{szReminder="疗 剑纯心法自带减疗",nPriority=13,col="#A560E8FF",nColAlpha=255,},},},</v>
      </c>
    </row>
    <row r="280" spans="3:39" x14ac:dyDescent="0.15">
      <c r="C280">
        <v>748</v>
      </c>
      <c r="D280">
        <v>1</v>
      </c>
      <c r="E280">
        <v>6</v>
      </c>
      <c r="K280" t="s">
        <v>317</v>
      </c>
      <c r="L280" t="s">
        <v>2639</v>
      </c>
      <c r="Z280">
        <v>6</v>
      </c>
      <c r="AA280" t="s">
        <v>2121</v>
      </c>
      <c r="AD280" t="s">
        <v>2924</v>
      </c>
      <c r="AE280">
        <v>14</v>
      </c>
      <c r="AF280" t="s">
        <v>2641</v>
      </c>
      <c r="AH280">
        <v>255</v>
      </c>
      <c r="AL280" t="s">
        <v>2925</v>
      </c>
      <c r="AM280" t="str">
        <f t="shared" si="4"/>
        <v>{dwID=748,nLevel=1,nCount=6,szNote="叠刃",col={255,153,204,},[1]={},[2]={},aCataclysmBuff={{nStackNum=6,szStackOp="&gt;=",szReminder="叠 剑纯奇穴裂云七叠刃",nPriority=14,col="#FF99CCFF",nColAlpha=255,},{szStackOp="&gt;=",nStackNum=1,szReminder="叠 剑纯奇穴裂云七叠刃",nPriority=15,nColAlpha=255,col="#FF99CCFF",},},},</v>
      </c>
    </row>
    <row r="281" spans="3:39" x14ac:dyDescent="0.15">
      <c r="C281">
        <v>5650</v>
      </c>
      <c r="D281">
        <v>1</v>
      </c>
      <c r="K281" t="s">
        <v>339</v>
      </c>
      <c r="L281" t="s">
        <v>2228</v>
      </c>
      <c r="R281">
        <v>1</v>
      </c>
      <c r="AD281" t="s">
        <v>2926</v>
      </c>
      <c r="AE281">
        <v>14</v>
      </c>
      <c r="AF281" t="s">
        <v>2230</v>
      </c>
      <c r="AG281" t="s">
        <v>2231</v>
      </c>
      <c r="AH281">
        <v>255</v>
      </c>
      <c r="AK281">
        <v>1</v>
      </c>
      <c r="AM281" t="str">
        <f t="shared" si="4"/>
        <v>{dwID=5650,nLevel=1,szNote="万剑归宗",col={31,63,255,},[1]={bScreenHead=true,},[2]={},aCataclysmBuff={{szReminder="定 锁足",nPriority=14,col="#1F3FFFFF",colScreenHead="#1F3FFF",nColAlpha=255,bScreenHead=true,},},},</v>
      </c>
    </row>
    <row r="282" spans="3:39" x14ac:dyDescent="0.15">
      <c r="C282">
        <v>560</v>
      </c>
      <c r="D282">
        <v>1</v>
      </c>
      <c r="K282" t="s">
        <v>145</v>
      </c>
      <c r="L282" t="s">
        <v>2228</v>
      </c>
      <c r="AD282" t="s">
        <v>2927</v>
      </c>
      <c r="AE282">
        <v>15</v>
      </c>
      <c r="AF282" t="s">
        <v>2230</v>
      </c>
      <c r="AH282">
        <v>255</v>
      </c>
      <c r="AM282" t="str">
        <f t="shared" si="4"/>
        <v>{dwID=560,nLevel=1,szNote="生太极",col={31,63,255,},[1]={},[2]={},aCataclysmBuff={{szReminder="滞 移动速度降低40%",nPriority=15,col="#1F3FFFFF",nColAlpha=255,},},},</v>
      </c>
    </row>
    <row r="283" spans="3:39" x14ac:dyDescent="0.15">
      <c r="C283">
        <v>558</v>
      </c>
      <c r="D283">
        <v>1</v>
      </c>
      <c r="K283" t="s">
        <v>296</v>
      </c>
      <c r="L283" t="s">
        <v>2228</v>
      </c>
      <c r="R283">
        <v>1</v>
      </c>
      <c r="AD283" t="s">
        <v>2928</v>
      </c>
      <c r="AE283">
        <v>12</v>
      </c>
      <c r="AF283" t="s">
        <v>2230</v>
      </c>
      <c r="AG283" t="s">
        <v>2231</v>
      </c>
      <c r="AH283">
        <v>255</v>
      </c>
      <c r="AK283">
        <v>1</v>
      </c>
      <c r="AM283" t="str">
        <f t="shared" si="4"/>
        <v>{dwID=558,nLevel=1,szNote="三才化生",col={31,63,255,},[1]={bScreenHead=true,},[2]={},aCataclysmBuff={{szReminder="定 锁足被伤害招式命中有50%几率消失",nPriority=12,col="#1F3FFFFF",colScreenHead="#1F3FFF",nColAlpha=255,bScreenHead=true,},},},</v>
      </c>
    </row>
    <row r="284" spans="3:39" x14ac:dyDescent="0.15">
      <c r="C284">
        <v>2289</v>
      </c>
      <c r="D284">
        <v>1</v>
      </c>
      <c r="K284" t="s">
        <v>338</v>
      </c>
      <c r="L284" t="s">
        <v>2228</v>
      </c>
      <c r="R284">
        <v>1</v>
      </c>
      <c r="AD284" t="s">
        <v>2928</v>
      </c>
      <c r="AE284">
        <v>12</v>
      </c>
      <c r="AF284" t="s">
        <v>2230</v>
      </c>
      <c r="AG284" t="s">
        <v>2231</v>
      </c>
      <c r="AH284">
        <v>255</v>
      </c>
      <c r="AK284">
        <v>1</v>
      </c>
      <c r="AM284" t="str">
        <f t="shared" si="4"/>
        <v>{dwID=2289,nLevel=1,szNote="五方行尽",col={31,63,255,},[1]={bScreenHead=true,},[2]={},aCataclysmBuff={{szReminder="定 锁足被伤害招式命中有50%几率消失",nPriority=12,col="#1F3FFFFF",colScreenHead="#1F3FFF",nColAlpha=255,bScreenHead=true,},},},</v>
      </c>
    </row>
    <row r="285" spans="3:39" x14ac:dyDescent="0.15">
      <c r="C285">
        <v>22936</v>
      </c>
      <c r="D285">
        <v>1</v>
      </c>
      <c r="E285">
        <v>2</v>
      </c>
      <c r="K285" t="s">
        <v>569</v>
      </c>
      <c r="L285" t="s">
        <v>2639</v>
      </c>
      <c r="Z285">
        <v>2</v>
      </c>
      <c r="AA285" t="s">
        <v>2121</v>
      </c>
      <c r="AD285" t="s">
        <v>2929</v>
      </c>
      <c r="AE285">
        <v>14</v>
      </c>
      <c r="AF285" t="s">
        <v>2641</v>
      </c>
      <c r="AH285">
        <v>255</v>
      </c>
      <c r="AL285" t="s">
        <v>2930</v>
      </c>
      <c r="AM285" t="str">
        <f t="shared" si="4"/>
        <v>{dwID=22936,nLevel=1,nCount=2,szNote="湛存",col={255,153,204,},[1]={},[2]={},aCataclysmBuff={{nStackNum=2,szStackOp="&gt;=",szReminder="湛 剑纯奇穴湛存标记层数高则伤害高",nPriority=14,col="#FF99CCFF",nColAlpha=255,},{szStackOp="&gt;=",nStackNum=1,szReminder="湛 剑纯奇穴湛存标记层数高则伤害高",nPriority=15,nColAlpha=255,col="#FF99CCFF",},},},</v>
      </c>
    </row>
    <row r="286" spans="3:39" x14ac:dyDescent="0.15">
      <c r="C286">
        <v>27554</v>
      </c>
      <c r="D286">
        <v>1</v>
      </c>
      <c r="K286" t="s">
        <v>626</v>
      </c>
      <c r="L286" t="s">
        <v>2639</v>
      </c>
      <c r="AD286" t="s">
        <v>2931</v>
      </c>
      <c r="AE286">
        <v>14</v>
      </c>
      <c r="AF286" t="s">
        <v>2641</v>
      </c>
      <c r="AH286">
        <v>255</v>
      </c>
      <c r="AM286" t="str">
        <f t="shared" si="4"/>
        <v>{dwID=27554,nLevel=1,szNote="剑道万象",col={255,153,204,},[1]={},[2]={},aCataclysmBuff={{szReminder="剑 剑纯奇穴剑道万象标记",nPriority=14,col="#FF99CCFF",nColAlpha=255,},},},</v>
      </c>
    </row>
    <row r="287" spans="3:39" x14ac:dyDescent="0.15">
      <c r="C287">
        <v>28731</v>
      </c>
      <c r="D287">
        <v>1</v>
      </c>
      <c r="F287">
        <v>13383</v>
      </c>
      <c r="G287" t="s">
        <v>2932</v>
      </c>
      <c r="K287" t="s">
        <v>2932</v>
      </c>
      <c r="L287" t="s">
        <v>2228</v>
      </c>
      <c r="AD287" t="s">
        <v>2933</v>
      </c>
      <c r="AE287">
        <v>12</v>
      </c>
      <c r="AF287" t="s">
        <v>2230</v>
      </c>
      <c r="AH287">
        <v>255</v>
      </c>
      <c r="AM287" t="str">
        <f t="shared" si="4"/>
        <v>{dwID=28731,nLevel=1,nIcon=13383,szName="大道无术·至柔",szNote="大道无术·至柔",col={31,63,255,},[1]={},[2]={},aCataclysmBuff={{szReminder="晕 剑纯奇穴至柔眩晕",nPriority=12,col="#1F3FFFFF",nColAlpha=255,},},},</v>
      </c>
    </row>
    <row r="288" spans="3:39" x14ac:dyDescent="0.15">
      <c r="C288">
        <v>28732</v>
      </c>
      <c r="D288">
        <v>1</v>
      </c>
      <c r="F288">
        <v>13383</v>
      </c>
      <c r="G288" t="s">
        <v>2932</v>
      </c>
      <c r="K288" t="s">
        <v>2932</v>
      </c>
      <c r="L288" t="s">
        <v>2228</v>
      </c>
      <c r="AD288" t="s">
        <v>2933</v>
      </c>
      <c r="AE288">
        <v>12</v>
      </c>
      <c r="AF288" t="s">
        <v>2230</v>
      </c>
      <c r="AH288">
        <v>255</v>
      </c>
      <c r="AM288" t="str">
        <f t="shared" si="4"/>
        <v>{dwID=28732,nLevel=1,nIcon=13383,szName="大道无术·至柔",szNote="大道无术·至柔",col={31,63,255,},[1]={},[2]={},aCataclysmBuff={{szReminder="晕 剑纯奇穴至柔眩晕",nPriority=12,col="#1F3FFFFF",nColAlpha=255,},},},</v>
      </c>
    </row>
    <row r="289" spans="3:39" x14ac:dyDescent="0.15">
      <c r="C289">
        <v>10246</v>
      </c>
      <c r="D289">
        <v>1</v>
      </c>
      <c r="K289" t="s">
        <v>148</v>
      </c>
      <c r="L289" t="s">
        <v>2228</v>
      </c>
      <c r="R289">
        <v>1</v>
      </c>
      <c r="AD289" t="s">
        <v>2934</v>
      </c>
      <c r="AE289">
        <v>15</v>
      </c>
      <c r="AF289" t="s">
        <v>2230</v>
      </c>
      <c r="AG289" t="s">
        <v>2231</v>
      </c>
      <c r="AH289">
        <v>255</v>
      </c>
      <c r="AK289">
        <v>1</v>
      </c>
      <c r="AM289" t="str">
        <f t="shared" si="4"/>
        <v>{dwID=10246,nLevel=1,szNote="破重围",col={31,63,255,},[1]={bScreenHead=true,},[2]={},aCataclysmBuff={{szReminder="轻 破重围3秒封轻功",nPriority=15,col="#1F3FFFFF",colScreenHead="#1F3FFF",nColAlpha=255,bScreenHead=true,},},},</v>
      </c>
    </row>
    <row r="290" spans="3:39" x14ac:dyDescent="0.15">
      <c r="C290">
        <v>2275</v>
      </c>
      <c r="D290">
        <v>1</v>
      </c>
      <c r="K290" t="s">
        <v>326</v>
      </c>
      <c r="L290" t="s">
        <v>2228</v>
      </c>
      <c r="R290">
        <v>1</v>
      </c>
      <c r="AD290" t="s">
        <v>2935</v>
      </c>
      <c r="AE290">
        <v>12</v>
      </c>
      <c r="AF290" t="s">
        <v>2230</v>
      </c>
      <c r="AG290" t="s">
        <v>2231</v>
      </c>
      <c r="AH290">
        <v>255</v>
      </c>
      <c r="AK290">
        <v>1</v>
      </c>
      <c r="AM290" t="str">
        <f t="shared" si="4"/>
        <v>{dwID=2275,nLevel=1,szNote="断魂刺",col={31,63,255,},[1]={bScreenHead=true,},[2]={},aCataclysmBuff={{szReminder="晕 技能断魂刺眩晕",nPriority=12,col="#1F3FFFFF",colScreenHead="#1F3FFF",nColAlpha=255,bScreenHead=true,},},},</v>
      </c>
    </row>
    <row r="291" spans="3:39" x14ac:dyDescent="0.15">
      <c r="C291">
        <v>2877</v>
      </c>
      <c r="D291">
        <v>1</v>
      </c>
      <c r="K291" t="s">
        <v>352</v>
      </c>
      <c r="L291" t="s">
        <v>2228</v>
      </c>
      <c r="R291">
        <v>1</v>
      </c>
      <c r="AD291" t="s">
        <v>2936</v>
      </c>
      <c r="AE291">
        <v>12</v>
      </c>
      <c r="AF291" t="s">
        <v>2230</v>
      </c>
      <c r="AG291" t="s">
        <v>2231</v>
      </c>
      <c r="AH291">
        <v>255</v>
      </c>
      <c r="AK291">
        <v>1</v>
      </c>
      <c r="AM291" t="str">
        <f t="shared" si="4"/>
        <v>{dwID=2877,nLevel=1,szNote="日影",col={31,63,255,},[1]={bScreenHead=true,},[2]={},aCataclysmBuff={{szReminder="晕 技能疾眩晕",nPriority=12,col="#1F3FFFFF",colScreenHead="#1F3FFF",nColAlpha=255,bScreenHead=true,},},},</v>
      </c>
    </row>
    <row r="292" spans="3:39" x14ac:dyDescent="0.15">
      <c r="C292">
        <v>17042</v>
      </c>
      <c r="D292">
        <v>1</v>
      </c>
      <c r="K292" t="s">
        <v>153</v>
      </c>
      <c r="L292" t="s">
        <v>2228</v>
      </c>
      <c r="AD292" t="s">
        <v>2937</v>
      </c>
      <c r="AE292">
        <v>12</v>
      </c>
      <c r="AF292" t="s">
        <v>2230</v>
      </c>
      <c r="AH292">
        <v>255</v>
      </c>
      <c r="AM292" t="str">
        <f t="shared" si="4"/>
        <v>{dwID=17042,nLevel=1,szNote="青阳",col={31,63,255,},[1]={},[2]={},aCataclysmBuff={{szReminder="晕 傲血奇穴青阳眩晕",nPriority=12,col="#1F3FFFFF",nColAlpha=255,},},},</v>
      </c>
    </row>
    <row r="293" spans="3:39" x14ac:dyDescent="0.15">
      <c r="C293">
        <v>727</v>
      </c>
      <c r="D293">
        <v>1</v>
      </c>
      <c r="K293" t="s">
        <v>315</v>
      </c>
      <c r="L293" t="s">
        <v>2228</v>
      </c>
      <c r="AD293" t="s">
        <v>2938</v>
      </c>
      <c r="AE293">
        <v>12</v>
      </c>
      <c r="AF293" t="s">
        <v>2230</v>
      </c>
      <c r="AH293">
        <v>255</v>
      </c>
      <c r="AM293" t="str">
        <f t="shared" si="4"/>
        <v>{dwID=727,nLevel=1,szNote="崩",col={31,63,255,},[1]={},[2]={},aCataclysmBuff={{szReminder="晕 奇穴崩眩晕",nPriority=12,col="#1F3FFFFF",nColAlpha=255,},},},</v>
      </c>
    </row>
    <row r="294" spans="3:39" x14ac:dyDescent="0.15">
      <c r="C294">
        <v>6128</v>
      </c>
      <c r="D294">
        <v>1</v>
      </c>
      <c r="K294" t="s">
        <v>388</v>
      </c>
      <c r="L294" t="s">
        <v>2228</v>
      </c>
      <c r="AD294" t="s">
        <v>2939</v>
      </c>
      <c r="AE294">
        <v>12</v>
      </c>
      <c r="AF294" t="s">
        <v>2230</v>
      </c>
      <c r="AH294">
        <v>255</v>
      </c>
      <c r="AM294" t="str">
        <f t="shared" si="4"/>
        <v>{dwID=6128,nLevel=1,szNote="虎震",col={31,63,255,},[1]={},[2]={},aCataclysmBuff={{szReminder="晕 铁牢奇穴将威眩晕",nPriority=12,col="#1F3FFFFF",nColAlpha=255,},},},</v>
      </c>
    </row>
    <row r="295" spans="3:39" x14ac:dyDescent="0.15">
      <c r="C295">
        <v>2774</v>
      </c>
      <c r="D295">
        <v>1</v>
      </c>
      <c r="K295" t="s">
        <v>286</v>
      </c>
      <c r="L295" t="s">
        <v>2133</v>
      </c>
      <c r="AD295" t="s">
        <v>2940</v>
      </c>
      <c r="AE295">
        <v>13</v>
      </c>
      <c r="AF295" t="s">
        <v>2459</v>
      </c>
      <c r="AH295">
        <v>255</v>
      </c>
      <c r="AM295" t="str">
        <f t="shared" si="4"/>
        <v>{dwID=2774,nLevel=1,szNote="霹雳",col={165,96,232,},[1]={},[2]={},aCataclysmBuff={{szReminder="疗 傲血奇穴霹雳减疗",nPriority=13,col="#A560E8FF",nColAlpha=255,},},},</v>
      </c>
    </row>
    <row r="296" spans="3:39" x14ac:dyDescent="0.15">
      <c r="C296">
        <v>24356</v>
      </c>
      <c r="D296">
        <v>1</v>
      </c>
      <c r="K296" t="s">
        <v>383</v>
      </c>
      <c r="L296" t="s">
        <v>2133</v>
      </c>
      <c r="AD296" t="s">
        <v>2941</v>
      </c>
      <c r="AE296">
        <v>13</v>
      </c>
      <c r="AF296" t="s">
        <v>2459</v>
      </c>
      <c r="AH296">
        <v>255</v>
      </c>
      <c r="AM296" t="str">
        <f t="shared" si="4"/>
        <v>{dwID=24356,nLevel=1,szNote="重创",col={165,96,232,},[1]={},[2]={},aCataclysmBuff={{szReminder="禁 破军重创下一次治疗无效",nPriority=13,col="#A560E8FF",nColAlpha=255,},},},</v>
      </c>
    </row>
    <row r="297" spans="3:39" x14ac:dyDescent="0.15">
      <c r="C297">
        <v>19245</v>
      </c>
      <c r="D297">
        <v>1</v>
      </c>
      <c r="I297">
        <v>1</v>
      </c>
      <c r="K297" t="s">
        <v>315</v>
      </c>
      <c r="L297" t="s">
        <v>2639</v>
      </c>
      <c r="R297">
        <v>1</v>
      </c>
      <c r="AC297">
        <v>1</v>
      </c>
      <c r="AD297" t="s">
        <v>2942</v>
      </c>
      <c r="AE297">
        <v>14</v>
      </c>
      <c r="AF297" t="s">
        <v>2641</v>
      </c>
      <c r="AG297" t="s">
        <v>2642</v>
      </c>
      <c r="AH297">
        <v>255</v>
      </c>
      <c r="AK297">
        <v>1</v>
      </c>
      <c r="AM297" t="str">
        <f t="shared" si="4"/>
        <v>{dwID=19245,nLevel=1,nScrutinyType=1,szNote="崩",col={255,153,204,},[1]={bScreenHead=true,},[2]={},aCataclysmBuff={{bOnlyMe=true,szReminder="缓 铁牢奇穴崩降加速30%",nPriority=14,col="#FF99CCFF",colScreenHead="#FF99CC",nColAlpha=255,bScreenHead=true,},},},</v>
      </c>
    </row>
    <row r="298" spans="3:39" x14ac:dyDescent="0.15">
      <c r="C298">
        <v>12321</v>
      </c>
      <c r="D298">
        <v>1</v>
      </c>
      <c r="K298" t="s">
        <v>458</v>
      </c>
      <c r="L298" t="s">
        <v>2133</v>
      </c>
      <c r="R298">
        <v>1</v>
      </c>
      <c r="AD298" t="s">
        <v>2943</v>
      </c>
      <c r="AE298">
        <v>4</v>
      </c>
      <c r="AF298" t="s">
        <v>2135</v>
      </c>
      <c r="AG298" t="s">
        <v>2136</v>
      </c>
      <c r="AH298">
        <v>255</v>
      </c>
      <c r="AI298">
        <v>1</v>
      </c>
      <c r="AJ298">
        <v>1</v>
      </c>
      <c r="AK298">
        <v>1</v>
      </c>
      <c r="AM298" t="str">
        <f t="shared" si="4"/>
        <v>{dwID=12321,nLevel=1,szNote="霞流",col={165,96,232,},[1]={bScreenHead=true,},[2]={},aCataclysmBuff={{szReminder="缴 奇穴铸兵缴械",nPriority=4,col="#FF0055FF",colScreenHead="#A560E8",nColAlpha=255,bAttention=true,bCaution=true,bScreenHead=true,},},},</v>
      </c>
    </row>
    <row r="299" spans="3:39" x14ac:dyDescent="0.15">
      <c r="C299">
        <v>20175</v>
      </c>
      <c r="D299">
        <v>1</v>
      </c>
      <c r="K299" t="s">
        <v>458</v>
      </c>
      <c r="L299" t="s">
        <v>2133</v>
      </c>
      <c r="R299">
        <v>1</v>
      </c>
      <c r="AD299" t="s">
        <v>2944</v>
      </c>
      <c r="AE299">
        <v>4</v>
      </c>
      <c r="AF299" t="s">
        <v>2135</v>
      </c>
      <c r="AG299" t="s">
        <v>2136</v>
      </c>
      <c r="AH299">
        <v>255</v>
      </c>
      <c r="AI299">
        <v>1</v>
      </c>
      <c r="AJ299">
        <v>1</v>
      </c>
      <c r="AK299">
        <v>1</v>
      </c>
      <c r="AM299" t="str">
        <f t="shared" si="4"/>
        <v>{dwID=20175,nLevel=1,szNote="霞流",col={165,96,232,},[1]={bScreenHead=true,},[2]={},aCataclysmBuff={{szReminder="缴 无法使用武器",nPriority=4,col="#FF0055FF",colScreenHead="#A560E8",nColAlpha=255,bAttention=true,bCaution=true,bScreenHead=true,},},},</v>
      </c>
    </row>
    <row r="300" spans="3:39" x14ac:dyDescent="0.15">
      <c r="C300">
        <v>9703</v>
      </c>
      <c r="D300">
        <v>1</v>
      </c>
      <c r="K300" t="s">
        <v>424</v>
      </c>
      <c r="L300" t="s">
        <v>2115</v>
      </c>
      <c r="AD300" t="s">
        <v>2945</v>
      </c>
      <c r="AE300">
        <v>2</v>
      </c>
      <c r="AF300" t="s">
        <v>2117</v>
      </c>
      <c r="AH300">
        <v>255</v>
      </c>
      <c r="AM300" t="str">
        <f t="shared" si="4"/>
        <v>{dwID=9703,nLevel=1,szNote="片玉",col={255,204,0,},[1]={},[2]={},aCataclysmBuff={{szReminder="玉 消耗所有剑气回复气血值",nPriority=2,col="#FFCC00FF",nColAlpha=255,},},},</v>
      </c>
    </row>
    <row r="301" spans="3:39" x14ac:dyDescent="0.15">
      <c r="C301">
        <v>9704</v>
      </c>
      <c r="D301">
        <v>1</v>
      </c>
      <c r="K301" t="s">
        <v>425</v>
      </c>
      <c r="AD301" t="s">
        <v>2946</v>
      </c>
      <c r="AE301">
        <v>30</v>
      </c>
      <c r="AH301">
        <v>255</v>
      </c>
      <c r="AM301" t="str">
        <f t="shared" si="4"/>
        <v>{dwID=9704,nLevel=1,szNote="碎玉",[1]={},[2]={},aCataclysmBuff={{szReminder="碎 奇穴片玉复活cd",nPriority=30,nColAlpha=255,},},},</v>
      </c>
    </row>
    <row r="302" spans="3:39" x14ac:dyDescent="0.15">
      <c r="C302">
        <v>1857</v>
      </c>
      <c r="D302">
        <v>1</v>
      </c>
      <c r="K302" t="s">
        <v>332</v>
      </c>
      <c r="L302" t="s">
        <v>2228</v>
      </c>
      <c r="R302">
        <v>1</v>
      </c>
      <c r="AD302" t="s">
        <v>2947</v>
      </c>
      <c r="AE302">
        <v>12</v>
      </c>
      <c r="AF302" t="s">
        <v>2230</v>
      </c>
      <c r="AG302" t="s">
        <v>2231</v>
      </c>
      <c r="AH302">
        <v>255</v>
      </c>
      <c r="AK302">
        <v>1</v>
      </c>
      <c r="AM302" t="str">
        <f t="shared" si="4"/>
        <v>{dwID=1857,nLevel=1,szNote="松涛",col={31,63,255,},[1]={bScreenHead=true,},[2]={},aCataclysmBuff={{szReminder="定 奇穴惊涛定身",nPriority=12,col="#1F3FFFFF",colScreenHead="#1F3FFF",nColAlpha=255,bScreenHead=true,},},},</v>
      </c>
    </row>
    <row r="303" spans="3:39" x14ac:dyDescent="0.15">
      <c r="C303">
        <v>1721</v>
      </c>
      <c r="D303">
        <v>1</v>
      </c>
      <c r="K303" t="s">
        <v>329</v>
      </c>
      <c r="L303" t="s">
        <v>2228</v>
      </c>
      <c r="R303">
        <v>1</v>
      </c>
      <c r="AD303" t="s">
        <v>2948</v>
      </c>
      <c r="AE303">
        <v>12</v>
      </c>
      <c r="AF303" t="s">
        <v>2230</v>
      </c>
      <c r="AG303" t="s">
        <v>2231</v>
      </c>
      <c r="AH303">
        <v>255</v>
      </c>
      <c r="AK303">
        <v>1</v>
      </c>
      <c r="AM303" t="str">
        <f t="shared" si="4"/>
        <v>{dwID=1721,nLevel=1,szNote="醉月",col={31,63,255,},[1]={bScreenHead=true,},[2]={},aCataclysmBuff={{szReminder="晕 技能醉月眩晕",nPriority=12,col="#1F3FFFFF",colScreenHead="#1F3FFF",nColAlpha=255,bScreenHead=true,},},},</v>
      </c>
    </row>
    <row r="304" spans="3:39" x14ac:dyDescent="0.15">
      <c r="C304">
        <v>1902</v>
      </c>
      <c r="D304">
        <v>1</v>
      </c>
      <c r="K304" t="s">
        <v>334</v>
      </c>
      <c r="L304" t="s">
        <v>2228</v>
      </c>
      <c r="AD304" t="s">
        <v>2949</v>
      </c>
      <c r="AE304">
        <v>12</v>
      </c>
      <c r="AF304" t="s">
        <v>2230</v>
      </c>
      <c r="AH304">
        <v>255</v>
      </c>
      <c r="AM304" t="str">
        <f t="shared" si="4"/>
        <v>{dwID=1902,nLevel=1,szNote="危楼",col={31,63,255,},[1]={},[2]={},aCataclysmBuff={{szReminder="晕 奇穴摘星眩晕",nPriority=12,col="#1F3FFFFF",nColAlpha=255,},},},</v>
      </c>
    </row>
    <row r="305" spans="3:39" x14ac:dyDescent="0.15">
      <c r="C305">
        <v>24358</v>
      </c>
      <c r="D305">
        <v>1</v>
      </c>
      <c r="K305" t="s">
        <v>383</v>
      </c>
      <c r="L305" t="s">
        <v>2133</v>
      </c>
      <c r="AD305" t="s">
        <v>2950</v>
      </c>
      <c r="AE305">
        <v>13</v>
      </c>
      <c r="AF305" t="s">
        <v>2459</v>
      </c>
      <c r="AH305">
        <v>255</v>
      </c>
      <c r="AM305" t="str">
        <f t="shared" si="4"/>
        <v>{dwID=24358,nLevel=1,szNote="重创",col={165,96,232,},[1]={},[2]={},aCataclysmBuff={{szReminder="禁 奇穴剑引龙泉下一次治疗无效",nPriority=13,col="#A560E8FF",nColAlpha=255,},},},</v>
      </c>
    </row>
    <row r="306" spans="3:39" x14ac:dyDescent="0.15">
      <c r="C306">
        <v>1729</v>
      </c>
      <c r="D306">
        <v>1</v>
      </c>
      <c r="K306" t="s">
        <v>160</v>
      </c>
      <c r="L306" t="s">
        <v>2228</v>
      </c>
      <c r="R306">
        <v>1</v>
      </c>
      <c r="AD306" t="s">
        <v>2951</v>
      </c>
      <c r="AE306">
        <v>12</v>
      </c>
      <c r="AF306" t="s">
        <v>2230</v>
      </c>
      <c r="AG306" t="s">
        <v>2231</v>
      </c>
      <c r="AH306">
        <v>255</v>
      </c>
      <c r="AI306">
        <v>1</v>
      </c>
      <c r="AK306">
        <v>1</v>
      </c>
      <c r="AM306" t="str">
        <f t="shared" si="4"/>
        <v>{dwID=1729,nLevel=1,szNote="风吹荷",col={31,63,255,},[1]={bScreenHead=true,},[2]={},aCataclysmBuff={{szReminder="嘲 风吹荷",nPriority=12,col="#1F3FFFFF",colScreenHead="#1F3FFF",nColAlpha=255,bAttention=true,bScreenHead=true,},},},</v>
      </c>
    </row>
    <row r="307" spans="3:39" x14ac:dyDescent="0.15">
      <c r="C307">
        <v>1939</v>
      </c>
      <c r="D307">
        <v>1</v>
      </c>
      <c r="K307" t="s">
        <v>297</v>
      </c>
      <c r="L307" t="s">
        <v>2228</v>
      </c>
      <c r="AD307" t="s">
        <v>2952</v>
      </c>
      <c r="AE307">
        <v>12</v>
      </c>
      <c r="AF307" t="s">
        <v>2230</v>
      </c>
      <c r="AH307">
        <v>255</v>
      </c>
      <c r="AM307" t="str">
        <f t="shared" si="4"/>
        <v>{dwID=1939,nLevel=1,szNote="云景",col={31,63,255,},[1]={},[2]={},aCataclysmBuff={{szReminder="轻 封轻功",nPriority=12,col="#1F3FFFFF",nColAlpha=255,},},},</v>
      </c>
    </row>
    <row r="308" spans="3:39" x14ac:dyDescent="0.15">
      <c r="C308">
        <v>13947</v>
      </c>
      <c r="D308">
        <v>1</v>
      </c>
      <c r="K308" t="s">
        <v>468</v>
      </c>
      <c r="L308" t="s">
        <v>2228</v>
      </c>
      <c r="R308">
        <v>1</v>
      </c>
      <c r="AD308" t="s">
        <v>2953</v>
      </c>
      <c r="AE308">
        <v>12</v>
      </c>
      <c r="AF308" t="s">
        <v>2230</v>
      </c>
      <c r="AG308" t="s">
        <v>2231</v>
      </c>
      <c r="AH308">
        <v>255</v>
      </c>
      <c r="AK308">
        <v>1</v>
      </c>
      <c r="AM308" t="str">
        <f t="shared" si="4"/>
        <v>{dwID=13947,nLevel=1,szNote="平湖断月",col={31,63,255,},[1]={bScreenHead=true,},[2]={},aCataclysmBuff={{szReminder="定 平湖断月锁足",nPriority=12,col="#1F3FFFFF",colScreenHead="#1F3FFF",nColAlpha=255,bScreenHead=true,},},},</v>
      </c>
    </row>
    <row r="309" spans="3:39" x14ac:dyDescent="0.15">
      <c r="C309">
        <v>1801</v>
      </c>
      <c r="D309">
        <v>1</v>
      </c>
      <c r="K309" t="s">
        <v>307</v>
      </c>
      <c r="L309" t="s">
        <v>2228</v>
      </c>
      <c r="R309">
        <v>1</v>
      </c>
      <c r="AD309" t="s">
        <v>2954</v>
      </c>
      <c r="AE309">
        <v>12</v>
      </c>
      <c r="AF309" t="s">
        <v>2230</v>
      </c>
      <c r="AG309" t="s">
        <v>2231</v>
      </c>
      <c r="AH309">
        <v>255</v>
      </c>
      <c r="AK309">
        <v>1</v>
      </c>
      <c r="AM309" t="str">
        <f t="shared" si="4"/>
        <v>{dwID=1801,nLevel=1,szNote="锁足",col={31,63,255,},[1]={bScreenHead=true,},[2]={},aCataclysmBuff={{szReminder="定 玉泉鱼跃锁足",nPriority=12,col="#1F3FFFFF",colScreenHead="#1F3FFF",nColAlpha=255,bScreenHead=true,},},},</v>
      </c>
    </row>
    <row r="310" spans="3:39" x14ac:dyDescent="0.15">
      <c r="C310">
        <v>50622</v>
      </c>
      <c r="D310">
        <v>1</v>
      </c>
      <c r="K310" t="s">
        <v>288</v>
      </c>
      <c r="L310" t="s">
        <v>2228</v>
      </c>
      <c r="R310">
        <v>1</v>
      </c>
      <c r="AD310" t="s">
        <v>2955</v>
      </c>
      <c r="AE310">
        <v>12</v>
      </c>
      <c r="AF310" t="s">
        <v>2230</v>
      </c>
      <c r="AG310" t="s">
        <v>2231</v>
      </c>
      <c r="AH310">
        <v>255</v>
      </c>
      <c r="AK310">
        <v>1</v>
      </c>
      <c r="AM310" t="str">
        <f t="shared" si="4"/>
        <v>{dwID=50622,nLevel=1,szNote="眩晕",col={31,63,255,},[1]={bScreenHead=true,},[2]={},aCataclysmBuff={{szReminder="晕 藏剑眩晕效果",nPriority=12,col="#1F3FFFFF",colScreenHead="#1F3FFF",nColAlpha=255,bScreenHead=true,},},},</v>
      </c>
    </row>
    <row r="311" spans="3:39" x14ac:dyDescent="0.15">
      <c r="C311">
        <v>28222</v>
      </c>
      <c r="D311">
        <v>1</v>
      </c>
      <c r="K311" t="s">
        <v>469</v>
      </c>
      <c r="L311" t="s">
        <v>2115</v>
      </c>
      <c r="R311">
        <v>1</v>
      </c>
      <c r="AD311" t="s">
        <v>2700</v>
      </c>
      <c r="AE311">
        <v>2</v>
      </c>
      <c r="AF311" t="s">
        <v>2117</v>
      </c>
      <c r="AG311" t="s">
        <v>2132</v>
      </c>
      <c r="AH311">
        <v>255</v>
      </c>
      <c r="AK311">
        <v>1</v>
      </c>
      <c r="AM311" t="str">
        <f t="shared" si="4"/>
        <v>{dwID=28222,nLevel=1,szNote="辟寒",col={255,204,0,},[1]={bScreenHead=true,},[2]={},aCataclysmBuff={{szReminder="寒 奇穴辟寒免死",nPriority=2,col="#FFCC00FF",colScreenHead="#FFCC00",nColAlpha=255,bScreenHead=true,},},},</v>
      </c>
    </row>
    <row r="312" spans="3:39" x14ac:dyDescent="0.15">
      <c r="C312">
        <v>6223</v>
      </c>
      <c r="D312">
        <v>1</v>
      </c>
      <c r="K312" t="s">
        <v>389</v>
      </c>
      <c r="L312" t="s">
        <v>2847</v>
      </c>
      <c r="R312">
        <v>1</v>
      </c>
      <c r="AD312" t="s">
        <v>2956</v>
      </c>
      <c r="AE312">
        <v>3</v>
      </c>
      <c r="AF312" t="s">
        <v>2849</v>
      </c>
      <c r="AG312" t="s">
        <v>2850</v>
      </c>
      <c r="AH312">
        <v>255</v>
      </c>
      <c r="AI312">
        <v>1</v>
      </c>
      <c r="AK312">
        <v>1</v>
      </c>
      <c r="AM312" t="str">
        <f t="shared" si="4"/>
        <v>{dwID=6223,nLevel=1,szNote="活祭",col={170,170,170,},[1]={bScreenHead=true,},[2]={},aCataclysmBuff={{szReminder="禁 奇穴活祭禁疗",nPriority=3,col="#AAAAAAFF",colScreenHead="#AAAAAA",nColAlpha=255,bAttention=true,bScreenHead=true,},},},</v>
      </c>
    </row>
    <row r="313" spans="3:39" x14ac:dyDescent="0.15">
      <c r="C313">
        <v>2807</v>
      </c>
      <c r="D313">
        <v>1</v>
      </c>
      <c r="K313" t="s">
        <v>350</v>
      </c>
      <c r="L313" t="s">
        <v>2133</v>
      </c>
      <c r="R313">
        <v>1</v>
      </c>
      <c r="AD313" t="s">
        <v>2957</v>
      </c>
      <c r="AE313">
        <v>4</v>
      </c>
      <c r="AF313" t="s">
        <v>2135</v>
      </c>
      <c r="AG313" t="s">
        <v>2136</v>
      </c>
      <c r="AH313">
        <v>255</v>
      </c>
      <c r="AK313">
        <v>1</v>
      </c>
      <c r="AM313" t="str">
        <f t="shared" si="4"/>
        <v>{dwID=2807,nLevel=1,szNote="凄切",col={165,96,232,},[1]={bScreenHead=true,},[2]={},aCataclysmBuff={{szReminder="封 技能灵蛊封内",nPriority=4,col="#FF0055FF",colScreenHead="#A560E8",nColAlpha=255,bScreenHead=true,},},},</v>
      </c>
    </row>
    <row r="314" spans="3:39" x14ac:dyDescent="0.15">
      <c r="C314">
        <v>2490</v>
      </c>
      <c r="D314">
        <v>1</v>
      </c>
      <c r="K314" t="s">
        <v>344</v>
      </c>
      <c r="L314" t="s">
        <v>2133</v>
      </c>
      <c r="R314">
        <v>1</v>
      </c>
      <c r="AD314" t="s">
        <v>2958</v>
      </c>
      <c r="AE314">
        <v>4</v>
      </c>
      <c r="AF314" t="s">
        <v>2135</v>
      </c>
      <c r="AG314" t="s">
        <v>2136</v>
      </c>
      <c r="AH314">
        <v>255</v>
      </c>
      <c r="AI314">
        <v>1</v>
      </c>
      <c r="AK314">
        <v>1</v>
      </c>
      <c r="AM314" t="str">
        <f t="shared" si="4"/>
        <v>{dwID=2490,nLevel=1,szNote="蟾啸迷心",col={165,96,232,},[1]={bScreenHead=true,},[2]={},aCataclysmBuff={{szReminder="封 毒经技能蟾啸封内",nPriority=4,col="#FF0055FF",colScreenHead="#A560E8",nColAlpha=255,bAttention=true,bScreenHead=true,},},},</v>
      </c>
    </row>
    <row r="315" spans="3:39" x14ac:dyDescent="0.15">
      <c r="C315">
        <v>2092</v>
      </c>
      <c r="D315">
        <v>1</v>
      </c>
      <c r="K315" t="s">
        <v>336</v>
      </c>
      <c r="L315" t="s">
        <v>2639</v>
      </c>
      <c r="AD315" t="s">
        <v>2959</v>
      </c>
      <c r="AE315">
        <v>30</v>
      </c>
      <c r="AF315" t="s">
        <v>2641</v>
      </c>
      <c r="AH315">
        <v>255</v>
      </c>
      <c r="AM315" t="str">
        <f t="shared" si="4"/>
        <v>{dwID=2092,nLevel=1,szNote="严寒",col={255,153,204,},[1]={},[2]={},aCataclysmBuff={{szReminder="蜕 奇穴蝉蜕复活cd",nPriority=30,col="#FF99CCFF",nColAlpha=255,},},},</v>
      </c>
    </row>
    <row r="316" spans="3:39" x14ac:dyDescent="0.15">
      <c r="C316">
        <v>27001</v>
      </c>
      <c r="D316">
        <v>1</v>
      </c>
      <c r="K316" t="s">
        <v>2960</v>
      </c>
      <c r="L316" t="s">
        <v>2120</v>
      </c>
      <c r="AD316" t="s">
        <v>2961</v>
      </c>
      <c r="AE316">
        <v>11</v>
      </c>
      <c r="AF316" t="s">
        <v>2123</v>
      </c>
      <c r="AH316">
        <v>255</v>
      </c>
      <c r="AM316" t="str">
        <f t="shared" si="4"/>
        <v>{dwID=27001,nLevel=1,szNote="缠惑",col={179,238,58,},[1]={},[2]={},aCataclysmBuff={{szReminder="盾 奶毒奇穴眷思化解",nPriority=11,col="#B3EE3AFF",nColAlpha=255,},},},</v>
      </c>
    </row>
    <row r="317" spans="3:39" x14ac:dyDescent="0.15">
      <c r="C317">
        <v>2311</v>
      </c>
      <c r="D317">
        <v>1</v>
      </c>
      <c r="K317" t="s">
        <v>340</v>
      </c>
      <c r="L317" t="s">
        <v>2228</v>
      </c>
      <c r="R317">
        <v>1</v>
      </c>
      <c r="AD317" t="s">
        <v>2962</v>
      </c>
      <c r="AE317">
        <v>12</v>
      </c>
      <c r="AF317" t="s">
        <v>2230</v>
      </c>
      <c r="AG317" t="s">
        <v>2231</v>
      </c>
      <c r="AH317">
        <v>255</v>
      </c>
      <c r="AK317">
        <v>1</v>
      </c>
      <c r="AM317" t="str">
        <f t="shared" si="4"/>
        <v>{dwID=2311,nLevel=1,szNote="幻蛊",col={31,63,255,},[1]={bScreenHead=true,},[2]={},aCataclysmBuff={{szReminder="定 毒经奇穴幻蛊定身",nPriority=12,col="#1F3FFFFF",colScreenHead="#1F3FFF",nColAlpha=255,bScreenHead=true,},},},</v>
      </c>
    </row>
    <row r="318" spans="3:39" x14ac:dyDescent="0.15">
      <c r="C318">
        <v>2555</v>
      </c>
      <c r="D318">
        <v>1</v>
      </c>
      <c r="K318" t="s">
        <v>347</v>
      </c>
      <c r="L318" t="s">
        <v>2228</v>
      </c>
      <c r="R318">
        <v>1</v>
      </c>
      <c r="AD318" t="s">
        <v>2963</v>
      </c>
      <c r="AE318">
        <v>12</v>
      </c>
      <c r="AF318" t="s">
        <v>2230</v>
      </c>
      <c r="AG318" t="s">
        <v>2231</v>
      </c>
      <c r="AH318">
        <v>255</v>
      </c>
      <c r="AK318">
        <v>1</v>
      </c>
      <c r="AM318" t="str">
        <f t="shared" si="4"/>
        <v>{dwID=2555,nLevel=1,szNote="丝牵",col={31,63,255,},[1]={bScreenHead=true,},[2]={},aCataclysmBuff={{szReminder="定 技能丝牵定身",nPriority=12,col="#1F3FFFFF",colScreenHead="#1F3FFF",nColAlpha=255,bScreenHead=true,},},},</v>
      </c>
    </row>
    <row r="319" spans="3:39" x14ac:dyDescent="0.15">
      <c r="C319">
        <v>2489</v>
      </c>
      <c r="D319">
        <v>1</v>
      </c>
      <c r="K319" t="s">
        <v>343</v>
      </c>
      <c r="L319" t="s">
        <v>2228</v>
      </c>
      <c r="R319">
        <v>1</v>
      </c>
      <c r="AD319" t="s">
        <v>2964</v>
      </c>
      <c r="AE319">
        <v>12</v>
      </c>
      <c r="AF319" t="s">
        <v>2230</v>
      </c>
      <c r="AG319" t="s">
        <v>2231</v>
      </c>
      <c r="AH319">
        <v>255</v>
      </c>
      <c r="AK319">
        <v>1</v>
      </c>
      <c r="AM319" t="str">
        <f t="shared" si="4"/>
        <v>{dwID=2489,nLevel=1,szNote="蝎心迷心",col={31,63,255,},[1]={bScreenHead=true,},[2]={},aCataclysmBuff={{szReminder="晕 技能蝎心眩晕",nPriority=12,col="#1F3FFFFF",colScreenHead="#1F3FFF",nColAlpha=255,bScreenHead=true,},},},</v>
      </c>
    </row>
    <row r="320" spans="3:39" x14ac:dyDescent="0.15">
      <c r="C320">
        <v>2496</v>
      </c>
      <c r="D320">
        <v>1</v>
      </c>
      <c r="K320" t="s">
        <v>345</v>
      </c>
      <c r="L320" t="s">
        <v>2133</v>
      </c>
      <c r="AD320" t="s">
        <v>2965</v>
      </c>
      <c r="AE320">
        <v>13</v>
      </c>
      <c r="AF320" t="s">
        <v>2459</v>
      </c>
      <c r="AH320">
        <v>255</v>
      </c>
      <c r="AM320" t="str">
        <f t="shared" si="4"/>
        <v>{dwID=2496,nLevel=1,szNote="百足迷心",col={165,96,232,},[1]={},[2]={},aCataclysmBuff={{szReminder="疗 毒经技能百足减疗",nPriority=13,col="#A560E8FF",nColAlpha=255,},},},</v>
      </c>
    </row>
    <row r="321" spans="3:39" x14ac:dyDescent="0.15">
      <c r="C321">
        <v>14638</v>
      </c>
      <c r="D321">
        <v>1</v>
      </c>
      <c r="K321" t="s">
        <v>390</v>
      </c>
      <c r="L321" t="s">
        <v>2639</v>
      </c>
      <c r="R321">
        <v>1</v>
      </c>
      <c r="AD321" t="s">
        <v>2966</v>
      </c>
      <c r="AE321">
        <v>14</v>
      </c>
      <c r="AF321" t="s">
        <v>2641</v>
      </c>
      <c r="AG321" t="s">
        <v>2642</v>
      </c>
      <c r="AH321">
        <v>255</v>
      </c>
      <c r="AI321">
        <v>1</v>
      </c>
      <c r="AK321">
        <v>1</v>
      </c>
      <c r="AM321" t="str">
        <f t="shared" si="4"/>
        <v>{dwID=14638,nLevel=1,szNote="毒手",col={255,153,204,},[1]={bScreenHead=true,},[2]={},aCataclysmBuff={{szReminder="弹 奇穴毒手反弹",nPriority=14,col="#FF99CCFF",colScreenHead="#FF99CC",nColAlpha=255,bAttention=true,bScreenHead=true,},},},</v>
      </c>
    </row>
    <row r="322" spans="3:39" x14ac:dyDescent="0.15">
      <c r="C322">
        <v>10118</v>
      </c>
      <c r="D322">
        <v>1</v>
      </c>
      <c r="K322" t="s">
        <v>428</v>
      </c>
      <c r="L322" t="s">
        <v>2639</v>
      </c>
      <c r="R322">
        <v>1</v>
      </c>
      <c r="AD322" t="s">
        <v>2967</v>
      </c>
      <c r="AE322">
        <v>14</v>
      </c>
      <c r="AF322" t="s">
        <v>2641</v>
      </c>
      <c r="AG322" t="s">
        <v>2642</v>
      </c>
      <c r="AH322">
        <v>255</v>
      </c>
      <c r="AI322">
        <v>1</v>
      </c>
      <c r="AK322">
        <v>1</v>
      </c>
      <c r="AM322" t="str">
        <f t="shared" ref="AM322:AM385" si="5">IF(B322&lt;&gt;"",IF(IFERROR(VALUE(C321),0)&lt;=0,"["&amp;B322&amp;"]={","},["&amp;B322&amp;"]={"),IF(C322&gt;0,"{dwID="&amp;C322&amp;","&amp;"nLevel="&amp;D322&amp;","&amp;IF(E322&gt;0,"nCount="&amp;E322&amp;",","")&amp;IF(F322&gt;0,"nIcon="&amp;F322&amp;",","")&amp;IF(G322&lt;&gt;"","szName="""&amp;G322&amp;""",","")&amp;IF(H322&gt;0,"bCheckLevel=true,","")&amp;IF(I322&gt;0,"nScrutinyType="&amp;I322&amp;",","")&amp;IF(J322&lt;&gt;"","tKungFu={"&amp;J322&amp;"},","")&amp;IF(K322&lt;&gt;"","szNote="""&amp;K322&amp;""",","")&amp;IF(L322&lt;&gt;"","col={"&amp;L322&amp;"},","")&amp;"[1]={"&amp;IF(M322&lt;&gt;"","tMark={"&amp;M322&amp;"},","")&amp;IF(N322&lt;&gt;"","szVoice="""&amp;N322&amp;""",","")&amp;IF(O322&gt;0,"bCheckLevel=true,","")&amp;IF(P322&gt;0,"bWhisperChannel=true,","")&amp;IF(Q322&gt;0,"bCenterAlarm=true,","")&amp;IF(R322&gt;0,"bScreenHead=true,","")&amp;IF(S322&gt;0,"bPartyBuffList=true,","")&amp;IF(T322&gt;0,"bBuffList=true,","")&amp;IF(U322&gt;0,"bTeamPanel=true,","")&amp;IF(V322&gt;0,"bOnlySelfSrc=true,","")&amp;"},"&amp;"[2]={"&amp;IF(W322&gt;0,"bCheckLevel=true,","")&amp;IF(X322&gt;0,"bWhisperChannel=true,","")&amp;IF(Y322&gt;0,"bCenterAlarm=true,","")&amp;"},"&amp;IF(OR(Z322&gt;0,AD322&lt;&gt;"",AE322&gt;0,AF322&lt;&gt;"",AG322&lt;&gt;"",AH322&gt;0,AI322&gt;0,AJ322&gt;0,AK322&gt;0),"aCataclysmBuff={{"&amp;IF(Z322&gt;0,"nStackNum="&amp;Z322&amp;",","")&amp;IF(AA322&lt;&gt;"","szStackOp="""&amp;AA322&amp;""",","")&amp;IF(AB322&gt;0,"bOnlyMine=true,","")&amp;IF(AC322&gt;0,"bOnlyMe=true,","")&amp;IF(AD322&lt;&gt;"","szReminder="""&amp;AD322&amp;""",","")&amp;IF(AE322&gt;0,"nPriority="&amp;AE322&amp;",","")&amp;IF(AF322&lt;&gt;"","col="""&amp;AF322&amp;""",","")&amp;IF(AG322&lt;&gt;"","colScreenHead="""&amp;AG322&amp;""",","")&amp;IF(AH322&gt;0,"nColAlpha="&amp;AH322&amp;",","")&amp;IF(AI322&gt;0,"bAttention=true,","")&amp;IF(AJ322&gt;0,"bCaution=true,","")&amp;IF(AK322&gt;0,"bScreenHead=true,","")&amp;"},"&amp;AL322&amp;"},","")&amp;IF(AN322&lt;&gt;"","tCountdown={"&amp;_xlfn.TEXTJOIN("",TRUE,AN322:ZY322)&amp;"},","")&amp;"},",IF(C321&gt;0,"},","")&amp;IF(AND(B322="",C322="",OR(B321&lt;&gt;"",C321&lt;&gt;"")),"},}","")))</f>
        <v>{dwID=10118,nLevel=1,szNote="蚀心蛊",col={255,153,204,},[1]={bScreenHead=true,},[2]={},aCataclysmBuff={{szReminder="蚀 毒经奇穴蚀心蛊",nPriority=14,col="#FF99CCFF",colScreenHead="#FF99CC",nColAlpha=255,bAttention=true,bScreenHead=true,},},},</v>
      </c>
    </row>
    <row r="323" spans="3:39" x14ac:dyDescent="0.15">
      <c r="C323">
        <v>21653</v>
      </c>
      <c r="D323">
        <v>1</v>
      </c>
      <c r="K323" t="s">
        <v>559</v>
      </c>
      <c r="L323" t="s">
        <v>2639</v>
      </c>
      <c r="R323">
        <v>1</v>
      </c>
      <c r="AD323" t="s">
        <v>2968</v>
      </c>
      <c r="AE323">
        <v>14</v>
      </c>
      <c r="AF323" t="s">
        <v>2641</v>
      </c>
      <c r="AG323" t="s">
        <v>2642</v>
      </c>
      <c r="AH323">
        <v>255</v>
      </c>
      <c r="AK323">
        <v>1</v>
      </c>
      <c r="AM323" t="str">
        <f t="shared" si="5"/>
        <v>{dwID=21653,nLevel=1,szNote="篾片蛊",col={255,153,204,},[1]={bScreenHead=true,},[2]={},aCataclysmBuff={{szReminder="篾 毒经奇穴篾片蛊爆炸",nPriority=14,col="#FF99CCFF",colScreenHead="#FF99CC",nColAlpha=255,bScreenHead=true,},},},</v>
      </c>
    </row>
    <row r="324" spans="3:39" x14ac:dyDescent="0.15">
      <c r="C324">
        <v>26118</v>
      </c>
      <c r="D324">
        <v>1</v>
      </c>
      <c r="K324" t="s">
        <v>613</v>
      </c>
      <c r="L324" t="s">
        <v>2639</v>
      </c>
      <c r="R324">
        <v>1</v>
      </c>
      <c r="AD324" t="s">
        <v>2969</v>
      </c>
      <c r="AE324">
        <v>14</v>
      </c>
      <c r="AF324" t="s">
        <v>2641</v>
      </c>
      <c r="AG324" t="s">
        <v>2642</v>
      </c>
      <c r="AH324">
        <v>255</v>
      </c>
      <c r="AI324">
        <v>1</v>
      </c>
      <c r="AK324">
        <v>1</v>
      </c>
      <c r="AM324" t="str">
        <f t="shared" si="5"/>
        <v>{dwID=26118,nLevel=1,szNote="怀泽蛊",col={255,153,204,},[1]={bScreenHead=true,},[2]={},aCataclysmBuff={{szReminder="泽 毒经奇穴怀泽蛊前置",nPriority=14,col="#FF99CCFF",colScreenHead="#FF99CC",nColAlpha=255,bAttention=true,bScreenHead=true,},},},</v>
      </c>
    </row>
    <row r="325" spans="3:39" x14ac:dyDescent="0.15">
      <c r="C325">
        <v>25933</v>
      </c>
      <c r="D325">
        <v>1</v>
      </c>
      <c r="K325" t="s">
        <v>609</v>
      </c>
      <c r="L325" t="s">
        <v>2639</v>
      </c>
      <c r="AD325" t="s">
        <v>2970</v>
      </c>
      <c r="AE325">
        <v>14</v>
      </c>
      <c r="AF325" t="s">
        <v>2641</v>
      </c>
      <c r="AH325">
        <v>255</v>
      </c>
      <c r="AM325" t="str">
        <f t="shared" si="5"/>
        <v>{dwID=25933,nLevel=1,szNote="引泽",col={255,153,204,},[1]={},[2]={},aCataclysmBuff={{szReminder="引 毒经奇穴怀泽蛊前置",nPriority=14,col="#FF99CCFF",nColAlpha=255,},},},</v>
      </c>
    </row>
    <row r="326" spans="3:39" x14ac:dyDescent="0.15">
      <c r="C326">
        <v>25932</v>
      </c>
      <c r="D326">
        <v>1</v>
      </c>
      <c r="K326" t="s">
        <v>608</v>
      </c>
      <c r="L326" t="s">
        <v>2639</v>
      </c>
      <c r="AD326" t="s">
        <v>2971</v>
      </c>
      <c r="AE326">
        <v>14</v>
      </c>
      <c r="AF326" t="s">
        <v>2641</v>
      </c>
      <c r="AH326">
        <v>255</v>
      </c>
      <c r="AM326" t="str">
        <f t="shared" si="5"/>
        <v>{dwID=25932,nLevel=1,szNote="泽靡",col={255,153,204,},[1]={},[2]={},aCataclysmBuff={{szReminder="泽 毒经奇穴怀泽蛊后续",nPriority=14,col="#FF99CCFF",nColAlpha=255,},},},</v>
      </c>
    </row>
    <row r="327" spans="3:39" x14ac:dyDescent="0.15">
      <c r="C327">
        <v>24353</v>
      </c>
      <c r="D327">
        <v>1</v>
      </c>
      <c r="K327" t="s">
        <v>591</v>
      </c>
      <c r="L327" t="s">
        <v>2120</v>
      </c>
      <c r="R327">
        <v>1</v>
      </c>
      <c r="AD327" t="s">
        <v>2701</v>
      </c>
      <c r="AE327">
        <v>11</v>
      </c>
      <c r="AF327" t="s">
        <v>2123</v>
      </c>
      <c r="AG327" t="s">
        <v>2130</v>
      </c>
      <c r="AH327">
        <v>255</v>
      </c>
      <c r="AK327">
        <v>1</v>
      </c>
      <c r="AM327" t="str">
        <f t="shared" si="5"/>
        <v>{dwID=24353,nLevel=1,szNote="寂灭蛊",col={179,238,58,},[1]={bScreenHead=true,},[2]={},aCataclysmBuff={{szReminder="免 免控打断无法运功缴械",nPriority=11,col="#B3EE3AFF",colScreenHead="#B3EE3A",nColAlpha=255,bScreenHead=true,},},},</v>
      </c>
    </row>
    <row r="328" spans="3:39" x14ac:dyDescent="0.15">
      <c r="C328">
        <v>2502</v>
      </c>
      <c r="D328">
        <v>1</v>
      </c>
      <c r="K328" t="s">
        <v>346</v>
      </c>
      <c r="L328" t="s">
        <v>2228</v>
      </c>
      <c r="AD328" t="s">
        <v>2844</v>
      </c>
      <c r="AE328">
        <v>15</v>
      </c>
      <c r="AF328" t="s">
        <v>2230</v>
      </c>
      <c r="AH328">
        <v>255</v>
      </c>
      <c r="AM328" t="str">
        <f t="shared" si="5"/>
        <v>{dwID=2502,nLevel=1,szNote="蝎蛰",col={31,63,255,},[1]={},[2]={},aCataclysmBuff={{szReminder="疗 减疗50%",nPriority=15,col="#1F3FFFFF",nColAlpha=255,},},},</v>
      </c>
    </row>
    <row r="329" spans="3:39" x14ac:dyDescent="0.15">
      <c r="C329">
        <v>12336</v>
      </c>
      <c r="D329">
        <v>1</v>
      </c>
      <c r="I329">
        <v>1</v>
      </c>
      <c r="K329" t="s">
        <v>346</v>
      </c>
      <c r="L329" t="s">
        <v>2228</v>
      </c>
      <c r="AC329">
        <v>1</v>
      </c>
      <c r="AD329" t="s">
        <v>2972</v>
      </c>
      <c r="AE329">
        <v>15</v>
      </c>
      <c r="AF329" t="s">
        <v>2230</v>
      </c>
      <c r="AH329">
        <v>255</v>
      </c>
      <c r="AM329" t="str">
        <f t="shared" si="5"/>
        <v>{dwID=12336,nLevel=1,nScrutinyType=1,szNote="蝎蛰",col={31,63,255,},[1]={},[2]={},aCataclysmBuff={{bOnlyMe=true,szReminder="缓 加速率降低50%",nPriority=15,col="#1F3FFFFF",nColAlpha=255,},},},</v>
      </c>
    </row>
    <row r="330" spans="3:39" x14ac:dyDescent="0.15">
      <c r="C330">
        <v>27013</v>
      </c>
      <c r="D330">
        <v>1</v>
      </c>
      <c r="E330">
        <v>30</v>
      </c>
      <c r="K330" t="s">
        <v>2973</v>
      </c>
      <c r="L330" t="s">
        <v>2639</v>
      </c>
      <c r="R330">
        <v>1</v>
      </c>
      <c r="Z330">
        <v>30</v>
      </c>
      <c r="AA330" t="s">
        <v>2121</v>
      </c>
      <c r="AD330" t="s">
        <v>2974</v>
      </c>
      <c r="AE330">
        <v>14</v>
      </c>
      <c r="AF330" t="s">
        <v>2641</v>
      </c>
      <c r="AG330" t="s">
        <v>2642</v>
      </c>
      <c r="AH330">
        <v>255</v>
      </c>
      <c r="AK330">
        <v>1</v>
      </c>
      <c r="AL330" t="s">
        <v>2975</v>
      </c>
      <c r="AM330" t="str">
        <f t="shared" si="5"/>
        <v>{dwID=27013,nLevel=1,nCount=30,szNote="展缓",col={255,153,204,},[1]={bScreenHead=true,},[2]={},aCataclysmBuff={{nStackNum=30,szStackOp="&gt;=",szReminder="展 毒经奇穴二圣爆炸",nPriority=14,col="#FF99CCFF",colScreenHead="#FF99CC",nColAlpha=255,bScreenHead=true,},{szStackOp="&gt;=",nStackNum=1,szReminder="展 毒经奇穴二圣爆炸",nPriority=15,nColAlpha=255,col="#FF99CCFF",},},},</v>
      </c>
    </row>
    <row r="331" spans="3:39" x14ac:dyDescent="0.15">
      <c r="C331">
        <v>28204</v>
      </c>
      <c r="D331">
        <v>1</v>
      </c>
      <c r="K331" t="s">
        <v>539</v>
      </c>
      <c r="L331" t="s">
        <v>2639</v>
      </c>
      <c r="AD331" t="s">
        <v>2976</v>
      </c>
      <c r="AE331">
        <v>14</v>
      </c>
      <c r="AF331" t="s">
        <v>2641</v>
      </c>
      <c r="AH331">
        <v>255</v>
      </c>
      <c r="AM331" t="str">
        <f t="shared" si="5"/>
        <v>{dwID=28204,nLevel=1,szNote="鳞粉",col={255,153,204,},[1]={},[2]={},aCataclysmBuff={{szReminder="盲 奶毒奇穴穿蝶化羽致盲",nPriority=14,col="#FF99CCFF",nColAlpha=255,},},},</v>
      </c>
    </row>
    <row r="332" spans="3:39" x14ac:dyDescent="0.15">
      <c r="C332">
        <v>18749</v>
      </c>
      <c r="D332">
        <v>1</v>
      </c>
      <c r="I332">
        <v>1</v>
      </c>
      <c r="K332" t="s">
        <v>165</v>
      </c>
      <c r="L332" t="s">
        <v>2639</v>
      </c>
      <c r="R332">
        <v>1</v>
      </c>
      <c r="AC332">
        <v>1</v>
      </c>
      <c r="AD332" t="s">
        <v>2977</v>
      </c>
      <c r="AE332">
        <v>14</v>
      </c>
      <c r="AF332" t="s">
        <v>2641</v>
      </c>
      <c r="AG332" t="s">
        <v>2642</v>
      </c>
      <c r="AH332">
        <v>255</v>
      </c>
      <c r="AK332">
        <v>1</v>
      </c>
      <c r="AM332" t="str">
        <f t="shared" si="5"/>
        <v>{dwID=18749,nLevel=1,nScrutinyType=1,szNote="圣元",col={255,153,204,},[1]={bScreenHead=true,},[2]={},aCataclysmBuff={{bOnlyMe=true,szReminder="阵 奶毒奇穴圣元阵降命中50%",nPriority=14,col="#FF99CCFF",colScreenHead="#FF99CC",nColAlpha=255,bScreenHead=true,},},},</v>
      </c>
    </row>
    <row r="333" spans="3:39" x14ac:dyDescent="0.15">
      <c r="C333">
        <v>22713</v>
      </c>
      <c r="D333">
        <v>1</v>
      </c>
      <c r="I333">
        <v>1</v>
      </c>
      <c r="K333" t="s">
        <v>566</v>
      </c>
      <c r="L333" t="s">
        <v>2639</v>
      </c>
      <c r="R333">
        <v>1</v>
      </c>
      <c r="AC333">
        <v>1</v>
      </c>
      <c r="AD333" t="s">
        <v>2978</v>
      </c>
      <c r="AE333">
        <v>14</v>
      </c>
      <c r="AF333" t="s">
        <v>2641</v>
      </c>
      <c r="AG333" t="s">
        <v>2642</v>
      </c>
      <c r="AH333">
        <v>255</v>
      </c>
      <c r="AK333">
        <v>1</v>
      </c>
      <c r="AM333" t="str">
        <f t="shared" si="5"/>
        <v>{dwID=22713,nLevel=1,nScrutinyType=1,szNote="忘攸蛊·束骨",col={255,153,204,},[1]={bScreenHead=true,},[2]={},aCataclysmBuff={{bOnlyMe=true,szReminder="缓 毒经奇穴忘攸蛊降加速30%*2",nPriority=14,col="#FF99CCFF",colScreenHead="#FF99CC",nColAlpha=255,bScreenHead=true,},},},</v>
      </c>
    </row>
    <row r="334" spans="3:39" x14ac:dyDescent="0.15">
      <c r="C334">
        <v>18060</v>
      </c>
      <c r="D334">
        <v>1</v>
      </c>
      <c r="K334" t="s">
        <v>523</v>
      </c>
      <c r="L334" t="s">
        <v>2133</v>
      </c>
      <c r="R334">
        <v>1</v>
      </c>
      <c r="AD334" t="s">
        <v>2979</v>
      </c>
      <c r="AE334">
        <v>4</v>
      </c>
      <c r="AF334" t="s">
        <v>2135</v>
      </c>
      <c r="AG334" t="s">
        <v>2136</v>
      </c>
      <c r="AH334">
        <v>255</v>
      </c>
      <c r="AI334">
        <v>1</v>
      </c>
      <c r="AJ334">
        <v>1</v>
      </c>
      <c r="AK334">
        <v>1</v>
      </c>
      <c r="AM334" t="str">
        <f t="shared" si="5"/>
        <v>{dwID=18060,nLevel=1,szNote="诡面埋伏",col={165,96,232,},[1]={bScreenHead=true,},[2]={},aCataclysmBuff={{szReminder="默 田螺奇穴诡面埋伏沉默",nPriority=4,col="#FF0055FF",colScreenHead="#A560E8",nColAlpha=255,bAttention=true,bCaution=true,bScreenHead=true,},},},</v>
      </c>
    </row>
    <row r="335" spans="3:39" x14ac:dyDescent="0.15">
      <c r="C335">
        <v>19309</v>
      </c>
      <c r="D335">
        <v>1</v>
      </c>
      <c r="K335" t="s">
        <v>523</v>
      </c>
      <c r="L335" t="s">
        <v>2847</v>
      </c>
      <c r="R335">
        <v>1</v>
      </c>
      <c r="AD335" t="s">
        <v>2980</v>
      </c>
      <c r="AE335">
        <v>3</v>
      </c>
      <c r="AF335" t="s">
        <v>2849</v>
      </c>
      <c r="AG335" t="s">
        <v>2850</v>
      </c>
      <c r="AH335">
        <v>255</v>
      </c>
      <c r="AI335">
        <v>1</v>
      </c>
      <c r="AJ335">
        <v>1</v>
      </c>
      <c r="AK335">
        <v>1</v>
      </c>
      <c r="AM335" t="str">
        <f t="shared" si="5"/>
        <v>{dwID=19309,nLevel=1,szNote="诡面埋伏",col={170,170,170,},[1]={bScreenHead=true,},[2]={},aCataclysmBuff={{szReminder="禁 田螺奇穴诡面埋伏禁疗",nPriority=3,col="#AAAAAAFF",colScreenHead="#AAAAAA",nColAlpha=255,bAttention=true,bCaution=true,bScreenHead=true,},},},</v>
      </c>
    </row>
    <row r="336" spans="3:39" x14ac:dyDescent="0.15">
      <c r="C336">
        <v>3227</v>
      </c>
      <c r="D336">
        <v>1</v>
      </c>
      <c r="K336" t="s">
        <v>357</v>
      </c>
      <c r="L336" t="s">
        <v>2133</v>
      </c>
      <c r="R336">
        <v>1</v>
      </c>
      <c r="AD336" t="s">
        <v>2981</v>
      </c>
      <c r="AE336">
        <v>4</v>
      </c>
      <c r="AF336" t="s">
        <v>2135</v>
      </c>
      <c r="AG336" t="s">
        <v>2136</v>
      </c>
      <c r="AH336">
        <v>255</v>
      </c>
      <c r="AI336">
        <v>1</v>
      </c>
      <c r="AK336">
        <v>1</v>
      </c>
      <c r="AM336" t="str">
        <f t="shared" si="5"/>
        <v>{dwID=3227,nLevel=1,szNote="梅花针",col={165,96,232,},[1]={bScreenHead=true,},[2]={},aCataclysmBuff={{szReminder="封 奇穴梅花针封内",nPriority=4,col="#FF0055FF",colScreenHead="#A560E8",nColAlpha=255,bAttention=true,bScreenHead=true,},},},</v>
      </c>
    </row>
    <row r="337" spans="3:39" x14ac:dyDescent="0.15">
      <c r="C337">
        <v>20724</v>
      </c>
      <c r="D337">
        <v>1</v>
      </c>
      <c r="K337" t="s">
        <v>545</v>
      </c>
      <c r="L337" t="s">
        <v>2133</v>
      </c>
      <c r="R337">
        <v>1</v>
      </c>
      <c r="AD337" t="s">
        <v>2982</v>
      </c>
      <c r="AE337">
        <v>4</v>
      </c>
      <c r="AF337" t="s">
        <v>2135</v>
      </c>
      <c r="AG337" t="s">
        <v>2136</v>
      </c>
      <c r="AH337">
        <v>255</v>
      </c>
      <c r="AI337">
        <v>1</v>
      </c>
      <c r="AJ337">
        <v>1</v>
      </c>
      <c r="AK337">
        <v>1</v>
      </c>
      <c r="AM337" t="str">
        <f t="shared" si="5"/>
        <v>{dwID=20724,nLevel=1,szNote="坠凌花·结",col={165,96,232,},[1]={bScreenHead=true,},[2]={},aCataclysmBuff={{szReminder="默 田螺奇穴不负霜雪沉默",nPriority=4,col="#FF0055FF",colScreenHead="#A560E8",nColAlpha=255,bAttention=true,bCaution=true,bScreenHead=true,},},},</v>
      </c>
    </row>
    <row r="338" spans="3:39" x14ac:dyDescent="0.15">
      <c r="C338">
        <v>6107</v>
      </c>
      <c r="D338">
        <v>1</v>
      </c>
      <c r="K338" t="s">
        <v>386</v>
      </c>
      <c r="L338" t="s">
        <v>2228</v>
      </c>
      <c r="AD338" t="s">
        <v>2983</v>
      </c>
      <c r="AE338">
        <v>12</v>
      </c>
      <c r="AF338" t="s">
        <v>2230</v>
      </c>
      <c r="AH338">
        <v>255</v>
      </c>
      <c r="AM338" t="str">
        <f t="shared" si="5"/>
        <v>{dwID=6107,nLevel=1,szNote="弩击",col={31,63,255,},[1]={},[2]={},aCataclysmBuff={{szReminder="晕 田螺奇穴弩击轰雷眩晕",nPriority=12,col="#1F3FFFFF",nColAlpha=255,},},},</v>
      </c>
    </row>
    <row r="339" spans="3:39" x14ac:dyDescent="0.15">
      <c r="C339">
        <v>3177</v>
      </c>
      <c r="D339">
        <v>1</v>
      </c>
      <c r="K339" t="s">
        <v>353</v>
      </c>
      <c r="L339" t="s">
        <v>2228</v>
      </c>
      <c r="R339">
        <v>1</v>
      </c>
      <c r="AD339" t="s">
        <v>2984</v>
      </c>
      <c r="AE339">
        <v>12</v>
      </c>
      <c r="AF339" t="s">
        <v>2230</v>
      </c>
      <c r="AG339" t="s">
        <v>2231</v>
      </c>
      <c r="AH339">
        <v>255</v>
      </c>
      <c r="AK339">
        <v>1</v>
      </c>
      <c r="AM339" t="str">
        <f t="shared" si="5"/>
        <v>{dwID=3177,nLevel=1,szNote="迷神钉",col={31,63,255,},[1]={bScreenHead=true,},[2]={},aCataclysmBuff={{szReminder="晕 技能迷神钉眩晕",nPriority=12,col="#1F3FFFFF",colScreenHead="#1F3FFF",nColAlpha=255,bScreenHead=true,},},},</v>
      </c>
    </row>
    <row r="340" spans="3:39" x14ac:dyDescent="0.15">
      <c r="C340">
        <v>3223</v>
      </c>
      <c r="D340">
        <v>1</v>
      </c>
      <c r="K340" t="s">
        <v>356</v>
      </c>
      <c r="L340" t="s">
        <v>2228</v>
      </c>
      <c r="R340">
        <v>1</v>
      </c>
      <c r="AD340" t="s">
        <v>2985</v>
      </c>
      <c r="AE340">
        <v>12</v>
      </c>
      <c r="AF340" t="s">
        <v>2230</v>
      </c>
      <c r="AG340" t="s">
        <v>2231</v>
      </c>
      <c r="AH340">
        <v>255</v>
      </c>
      <c r="AK340">
        <v>1</v>
      </c>
      <c r="AM340" t="str">
        <f t="shared" si="5"/>
        <v>{dwID=3223,nLevel=1,szNote="雷震子",col={31,63,255,},[1]={bScreenHead=true,},[2]={},aCataclysmBuff={{szReminder="晕 技能雷震子眩晕",nPriority=12,col="#1F3FFFFF",colScreenHead="#1F3FFF",nColAlpha=255,bScreenHead=true,},},},</v>
      </c>
    </row>
    <row r="341" spans="3:39" x14ac:dyDescent="0.15">
      <c r="C341">
        <v>4373</v>
      </c>
      <c r="D341">
        <v>1</v>
      </c>
      <c r="K341" t="s">
        <v>356</v>
      </c>
      <c r="L341" t="s">
        <v>2228</v>
      </c>
      <c r="R341">
        <v>1</v>
      </c>
      <c r="AD341" t="s">
        <v>2986</v>
      </c>
      <c r="AE341">
        <v>12</v>
      </c>
      <c r="AF341" t="s">
        <v>2230</v>
      </c>
      <c r="AG341" t="s">
        <v>2231</v>
      </c>
      <c r="AH341">
        <v>255</v>
      </c>
      <c r="AK341">
        <v>1</v>
      </c>
      <c r="AM341" t="str">
        <f t="shared" si="5"/>
        <v>{dwID=4373,nLevel=1,szNote="雷震子",col={31,63,255,},[1]={bScreenHead=true,},[2]={},aCataclysmBuff={{szReminder="晕 小橙武BOSS雷震子眩晕",nPriority=12,col="#1F3FFFFF",colScreenHead="#1F3FFF",nColAlpha=255,bScreenHead=true,},},},</v>
      </c>
    </row>
    <row r="342" spans="3:39" x14ac:dyDescent="0.15">
      <c r="C342">
        <v>27204</v>
      </c>
      <c r="D342">
        <v>1</v>
      </c>
      <c r="K342" t="s">
        <v>356</v>
      </c>
      <c r="L342" t="s">
        <v>2228</v>
      </c>
      <c r="R342">
        <v>1</v>
      </c>
      <c r="AD342" t="s">
        <v>2985</v>
      </c>
      <c r="AE342">
        <v>12</v>
      </c>
      <c r="AF342" t="s">
        <v>2230</v>
      </c>
      <c r="AG342" t="s">
        <v>2231</v>
      </c>
      <c r="AH342">
        <v>255</v>
      </c>
      <c r="AK342">
        <v>1</v>
      </c>
      <c r="AM342" t="str">
        <f t="shared" si="5"/>
        <v>{dwID=27204,nLevel=1,szNote="雷震子",col={31,63,255,},[1]={bScreenHead=true,},[2]={},aCataclysmBuff={{szReminder="晕 技能雷震子眩晕",nPriority=12,col="#1F3FFFFF",colScreenHead="#1F3FFF",nColAlpha=255,bScreenHead=true,},},},</v>
      </c>
    </row>
    <row r="343" spans="3:39" x14ac:dyDescent="0.15">
      <c r="C343">
        <v>4377</v>
      </c>
      <c r="D343">
        <v>1</v>
      </c>
      <c r="K343" t="s">
        <v>369</v>
      </c>
      <c r="L343" t="s">
        <v>2228</v>
      </c>
      <c r="AD343" t="s">
        <v>2987</v>
      </c>
      <c r="AE343">
        <v>12</v>
      </c>
      <c r="AF343" t="s">
        <v>2230</v>
      </c>
      <c r="AH343">
        <v>255</v>
      </c>
      <c r="AM343" t="str">
        <f t="shared" si="5"/>
        <v>{dwID=4377,nLevel=1,szNote="冲撞",col={31,63,255,},[1]={},[2]={},aCataclysmBuff={{szReminder="晕 田螺奇穴九霄风雷眩晕",nPriority=12,col="#1F3FFFFF",nColAlpha=255,},},},</v>
      </c>
    </row>
    <row r="344" spans="3:39" x14ac:dyDescent="0.15">
      <c r="C344">
        <v>17105</v>
      </c>
      <c r="D344">
        <v>1</v>
      </c>
      <c r="K344" t="s">
        <v>498</v>
      </c>
      <c r="L344" t="s">
        <v>2133</v>
      </c>
      <c r="AD344" t="s">
        <v>2988</v>
      </c>
      <c r="AE344">
        <v>13</v>
      </c>
      <c r="AF344" t="s">
        <v>2459</v>
      </c>
      <c r="AH344">
        <v>255</v>
      </c>
      <c r="AM344" t="str">
        <f t="shared" si="5"/>
        <v>{dwID=17105,nLevel=1,szNote="千回百转（虚弱）",col={165,96,232,},[1]={},[2]={},aCataclysmBuff={{szReminder="疗 奇穴千回百转虚弱减疗",nPriority=13,col="#A560E8FF",nColAlpha=255,},},},</v>
      </c>
    </row>
    <row r="345" spans="3:39" x14ac:dyDescent="0.15">
      <c r="C345">
        <v>3195</v>
      </c>
      <c r="D345">
        <v>1</v>
      </c>
      <c r="K345" t="s">
        <v>354</v>
      </c>
      <c r="L345" t="s">
        <v>2133</v>
      </c>
      <c r="AD345" t="s">
        <v>2989</v>
      </c>
      <c r="AE345">
        <v>13</v>
      </c>
      <c r="AF345" t="s">
        <v>2459</v>
      </c>
      <c r="AH345">
        <v>255</v>
      </c>
      <c r="AM345" t="str">
        <f t="shared" si="5"/>
        <v>{dwID=3195,nLevel=1,szNote="穿心弩",col={165,96,232,},[1]={},[2]={},aCataclysmBuff={{szReminder="疗 鲸鱼技能穿心弩减疗",nPriority=13,col="#A560E8FF",nColAlpha=255,},},},</v>
      </c>
    </row>
    <row r="346" spans="3:39" x14ac:dyDescent="0.15">
      <c r="C346">
        <v>26011</v>
      </c>
      <c r="D346">
        <v>1</v>
      </c>
      <c r="K346" t="s">
        <v>611</v>
      </c>
      <c r="L346" t="s">
        <v>2133</v>
      </c>
      <c r="AD346" t="s">
        <v>2990</v>
      </c>
      <c r="AE346">
        <v>13</v>
      </c>
      <c r="AF346" t="s">
        <v>2459</v>
      </c>
      <c r="AH346">
        <v>255</v>
      </c>
      <c r="AM346" t="str">
        <f t="shared" si="5"/>
        <v>{dwID=26011,nLevel=1,szNote="浴血沁骨",col={165,96,232,},[1]={},[2]={},aCataclysmBuff={{szReminder="疗 鲸鱼奇穴浴血沁骨禁hot",nPriority=13,col="#A560E8FF",nColAlpha=255,},},},</v>
      </c>
    </row>
    <row r="347" spans="3:39" x14ac:dyDescent="0.15">
      <c r="C347">
        <v>18042</v>
      </c>
      <c r="D347">
        <v>1</v>
      </c>
      <c r="K347" t="s">
        <v>522</v>
      </c>
      <c r="L347" t="s">
        <v>2639</v>
      </c>
      <c r="AD347" t="s">
        <v>2991</v>
      </c>
      <c r="AE347">
        <v>14</v>
      </c>
      <c r="AF347" t="s">
        <v>2641</v>
      </c>
      <c r="AH347">
        <v>255</v>
      </c>
      <c r="AM347" t="str">
        <f t="shared" si="5"/>
        <v>{dwID=18042,nLevel=1,szNote="流火连星",col={255,153,204,},[1]={},[2]={},aCataclysmBuff={{szReminder="火 鲸鱼奇穴流火连星爆炸",nPriority=14,col="#FF99CCFF",nColAlpha=255,},},},</v>
      </c>
    </row>
    <row r="348" spans="3:39" x14ac:dyDescent="0.15">
      <c r="C348">
        <v>22749</v>
      </c>
      <c r="D348">
        <v>1</v>
      </c>
      <c r="K348" t="s">
        <v>568</v>
      </c>
      <c r="L348" t="s">
        <v>2639</v>
      </c>
      <c r="R348">
        <v>1</v>
      </c>
      <c r="AD348" t="s">
        <v>2992</v>
      </c>
      <c r="AE348">
        <v>14</v>
      </c>
      <c r="AF348" t="s">
        <v>2641</v>
      </c>
      <c r="AG348" t="s">
        <v>2642</v>
      </c>
      <c r="AH348">
        <v>255</v>
      </c>
      <c r="AK348">
        <v>1</v>
      </c>
      <c r="AM348" t="str">
        <f t="shared" si="5"/>
        <v>{dwID=22749,nLevel=1,szNote="凝形逐踪",col={255,153,204,},[1]={bScreenHead=true,},[2]={},aCataclysmBuff={{szReminder="凝 鲸鱼奇穴凝形逐踪标记",nPriority=14,col="#FF99CCFF",colScreenHead="#FF99CC",nColAlpha=255,bScreenHead=true,},},},</v>
      </c>
    </row>
    <row r="349" spans="3:39" x14ac:dyDescent="0.15">
      <c r="C349">
        <v>20723</v>
      </c>
      <c r="D349">
        <v>1</v>
      </c>
      <c r="E349">
        <v>2</v>
      </c>
      <c r="I349">
        <v>1</v>
      </c>
      <c r="K349" t="s">
        <v>544</v>
      </c>
      <c r="L349" t="s">
        <v>2639</v>
      </c>
      <c r="R349">
        <v>1</v>
      </c>
      <c r="Z349">
        <v>2</v>
      </c>
      <c r="AA349" t="s">
        <v>2121</v>
      </c>
      <c r="AC349">
        <v>1</v>
      </c>
      <c r="AD349" t="s">
        <v>2993</v>
      </c>
      <c r="AE349">
        <v>14</v>
      </c>
      <c r="AF349" t="s">
        <v>2641</v>
      </c>
      <c r="AG349" t="s">
        <v>2642</v>
      </c>
      <c r="AH349">
        <v>255</v>
      </c>
      <c r="AK349">
        <v>1</v>
      </c>
      <c r="AL349" t="s">
        <v>2994</v>
      </c>
      <c r="AM349" t="str">
        <f t="shared" si="5"/>
        <v>{dwID=20723,nLevel=1,nCount=2,nScrutinyType=1,szNote="坠凌花",col={255,153,204,},[1]={bScreenHead=true,},[2]={},aCataclysmBuff={{nStackNum=2,szStackOp="&gt;=",bOnlyMe=true,szReminder="坠 田螺奇穴不负霜雪沉默前置",nPriority=14,col="#FF99CCFF",colScreenHead="#FF99CC",nColAlpha=255,bScreenHead=true,},{szStackOp="&gt;=",nStackNum=1,bOnlyMe=true,szReminder="坠 田螺奇穴不负霜雪沉默前置",nPriority=15,nColAlpha=255,col="#FF99CCFF",},},},</v>
      </c>
    </row>
    <row r="350" spans="3:39" x14ac:dyDescent="0.15">
      <c r="C350">
        <v>10608</v>
      </c>
      <c r="D350">
        <v>1</v>
      </c>
      <c r="K350" t="s">
        <v>402</v>
      </c>
      <c r="L350" t="s">
        <v>2228</v>
      </c>
      <c r="R350">
        <v>1</v>
      </c>
      <c r="AD350" t="s">
        <v>2995</v>
      </c>
      <c r="AE350">
        <v>15</v>
      </c>
      <c r="AF350" t="s">
        <v>2230</v>
      </c>
      <c r="AG350" t="s">
        <v>2231</v>
      </c>
      <c r="AH350">
        <v>255</v>
      </c>
      <c r="AK350">
        <v>1</v>
      </c>
      <c r="AM350" t="str">
        <f t="shared" si="5"/>
        <v>{dwID=10608,nLevel=1,szNote="逐星箭",col={31,63,255,},[1]={bScreenHead=true,},[2]={},aCataclysmBuff={{szReminder="定 逐星箭锁足",nPriority=15,col="#1F3FFFFF",colScreenHead="#1F3FFF",nColAlpha=255,bScreenHead=true,},},},</v>
      </c>
    </row>
    <row r="351" spans="3:39" x14ac:dyDescent="0.15">
      <c r="C351">
        <v>3215</v>
      </c>
      <c r="D351">
        <v>1</v>
      </c>
      <c r="I351">
        <v>1</v>
      </c>
      <c r="K351" t="s">
        <v>355</v>
      </c>
      <c r="L351" t="s">
        <v>2639</v>
      </c>
      <c r="R351">
        <v>1</v>
      </c>
      <c r="AC351">
        <v>1</v>
      </c>
      <c r="AD351" t="s">
        <v>2996</v>
      </c>
      <c r="AE351">
        <v>14</v>
      </c>
      <c r="AF351" t="s">
        <v>2641</v>
      </c>
      <c r="AG351" t="s">
        <v>2642</v>
      </c>
      <c r="AH351">
        <v>255</v>
      </c>
      <c r="AK351">
        <v>1</v>
      </c>
      <c r="AM351" t="str">
        <f t="shared" si="5"/>
        <v>{dwID=3215,nLevel=1,nScrutinyType=1,szNote="荆天棘地",col={255,153,204,},[1]={bScreenHead=true,},[2]={},aCataclysmBuff={{bOnlyMe=true,szReminder="荆 外功命中降低、内功伤害降低100%",nPriority=14,col="#FF99CCFF",colScreenHead="#FF99CC",nColAlpha=255,bScreenHead=true,},},},</v>
      </c>
    </row>
    <row r="352" spans="3:39" x14ac:dyDescent="0.15">
      <c r="C352">
        <v>4053</v>
      </c>
      <c r="D352">
        <v>1</v>
      </c>
      <c r="K352" t="s">
        <v>366</v>
      </c>
      <c r="L352" t="s">
        <v>2133</v>
      </c>
      <c r="R352">
        <v>1</v>
      </c>
      <c r="AD352" t="s">
        <v>2997</v>
      </c>
      <c r="AE352">
        <v>4</v>
      </c>
      <c r="AF352" t="s">
        <v>2135</v>
      </c>
      <c r="AG352" t="s">
        <v>2136</v>
      </c>
      <c r="AH352">
        <v>255</v>
      </c>
      <c r="AI352">
        <v>1</v>
      </c>
      <c r="AJ352">
        <v>1</v>
      </c>
      <c r="AK352">
        <v>1</v>
      </c>
      <c r="AM352" t="str">
        <f t="shared" si="5"/>
        <v>{dwID=4053,nLevel=1,szNote="怖畏暗刑",col={165,96,232,},[1]={bScreenHead=true,},[2]={},aCataclysmBuff={{szReminder="缴 焚影技能缴械",nPriority=4,col="#FF0055FF",colScreenHead="#A560E8",nColAlpha=255,bAttention=true,bCaution=true,bScreenHead=true,},},},</v>
      </c>
    </row>
    <row r="353" spans="3:39" x14ac:dyDescent="0.15">
      <c r="C353">
        <v>9752</v>
      </c>
      <c r="D353">
        <v>1</v>
      </c>
      <c r="K353" t="s">
        <v>426</v>
      </c>
      <c r="L353" t="s">
        <v>2133</v>
      </c>
      <c r="R353">
        <v>1</v>
      </c>
      <c r="AD353" t="s">
        <v>2998</v>
      </c>
      <c r="AE353">
        <v>4</v>
      </c>
      <c r="AF353" t="s">
        <v>2135</v>
      </c>
      <c r="AG353" t="s">
        <v>2136</v>
      </c>
      <c r="AH353">
        <v>255</v>
      </c>
      <c r="AK353">
        <v>1</v>
      </c>
      <c r="AM353" t="str">
        <f t="shared" si="5"/>
        <v>{dwID=9752,nLevel=1,szNote="寒月耀",col={165,96,232,},[1]={bScreenHead=true,},[2]={},aCataclysmBuff={{szReminder="封 奇穴寒月耀封内",nPriority=4,col="#FF0055FF",colScreenHead="#A560E8",nColAlpha=255,bScreenHead=true,},},},</v>
      </c>
    </row>
    <row r="354" spans="3:39" x14ac:dyDescent="0.15">
      <c r="C354">
        <v>4871</v>
      </c>
      <c r="D354">
        <v>1</v>
      </c>
      <c r="K354" t="s">
        <v>374</v>
      </c>
      <c r="L354" t="s">
        <v>2228</v>
      </c>
      <c r="AD354" t="s">
        <v>2999</v>
      </c>
      <c r="AE354">
        <v>12</v>
      </c>
      <c r="AF354" t="s">
        <v>2230</v>
      </c>
      <c r="AH354">
        <v>255</v>
      </c>
      <c r="AM354" t="str">
        <f t="shared" si="5"/>
        <v>{dwID=4871,nLevel=1,szNote="无明魂锁",col={31,63,255,},[1]={},[2]={},aCataclysmBuff={{szReminder="晕 焚影技能魂锁眩晕",nPriority=12,col="#1F3FFFFF",nColAlpha=255,},},},</v>
      </c>
    </row>
    <row r="355" spans="3:39" x14ac:dyDescent="0.15">
      <c r="C355">
        <v>4875</v>
      </c>
      <c r="D355">
        <v>1</v>
      </c>
      <c r="K355" t="s">
        <v>375</v>
      </c>
      <c r="L355" t="s">
        <v>2228</v>
      </c>
      <c r="AD355" t="s">
        <v>3000</v>
      </c>
      <c r="AE355">
        <v>12</v>
      </c>
      <c r="AF355" t="s">
        <v>2230</v>
      </c>
      <c r="AH355">
        <v>255</v>
      </c>
      <c r="AM355" t="str">
        <f t="shared" si="5"/>
        <v>{dwID=4875,nLevel=1,szNote="镇魔",col={31,63,255,},[1]={},[2]={},aCataclysmBuff={{szReminder="晕 明尊奇穴镇魔极道眩晕",nPriority=12,col="#1F3FFFFF",nColAlpha=255,},},},</v>
      </c>
    </row>
    <row r="356" spans="3:39" x14ac:dyDescent="0.15">
      <c r="C356">
        <v>6365</v>
      </c>
      <c r="D356">
        <v>1</v>
      </c>
      <c r="K356" t="s">
        <v>393</v>
      </c>
      <c r="L356" t="s">
        <v>2228</v>
      </c>
      <c r="AD356" t="s">
        <v>3001</v>
      </c>
      <c r="AE356">
        <v>12</v>
      </c>
      <c r="AF356" t="s">
        <v>2230</v>
      </c>
      <c r="AH356">
        <v>255</v>
      </c>
      <c r="AM356" t="str">
        <f t="shared" si="5"/>
        <v>{dwID=6365,nLevel=1,szNote="净世破魔击",col={31,63,255,},[1]={},[2]={},aCataclysmBuff={{szReminder="晕 技能月破眩晕",nPriority=12,col="#1F3FFFFF",nColAlpha=255,},},},</v>
      </c>
    </row>
    <row r="357" spans="3:39" x14ac:dyDescent="0.15">
      <c r="C357">
        <v>6276</v>
      </c>
      <c r="D357">
        <v>1</v>
      </c>
      <c r="K357" t="s">
        <v>391</v>
      </c>
      <c r="L357" t="s">
        <v>2228</v>
      </c>
      <c r="AD357" t="s">
        <v>3002</v>
      </c>
      <c r="AE357">
        <v>12</v>
      </c>
      <c r="AF357" t="s">
        <v>2230</v>
      </c>
      <c r="AH357">
        <v>255</v>
      </c>
      <c r="AM357" t="str">
        <f t="shared" si="5"/>
        <v>{dwID=6276,nLevel=1,szNote="幻光步",col={31,63,255,},[1]={},[2]={},aCataclysmBuff={{szReminder="晕 明尊奇穴知我罪我眩晕",nPriority=12,col="#1F3FFFFF",nColAlpha=255,},},},</v>
      </c>
    </row>
    <row r="358" spans="3:39" x14ac:dyDescent="0.15">
      <c r="C358">
        <v>4029</v>
      </c>
      <c r="D358">
        <v>1</v>
      </c>
      <c r="K358" t="s">
        <v>364</v>
      </c>
      <c r="L358" t="s">
        <v>2228</v>
      </c>
      <c r="AD358" t="s">
        <v>3003</v>
      </c>
      <c r="AE358">
        <v>12</v>
      </c>
      <c r="AF358" t="s">
        <v>2230</v>
      </c>
      <c r="AH358">
        <v>255</v>
      </c>
      <c r="AM358" t="str">
        <f t="shared" si="5"/>
        <v>{dwID=4029,nLevel=1,szNote="日劫",col={31,63,255,},[1]={},[2]={},aCataclysmBuff={{szReminder="晕 技能生死劫眩晕",nPriority=12,col="#1F3FFFFF",nColAlpha=255,},},},</v>
      </c>
    </row>
    <row r="359" spans="3:39" x14ac:dyDescent="0.15">
      <c r="C359">
        <v>25825</v>
      </c>
      <c r="D359">
        <v>1</v>
      </c>
      <c r="K359" t="s">
        <v>392</v>
      </c>
      <c r="L359" t="s">
        <v>2228</v>
      </c>
      <c r="AD359" t="s">
        <v>3004</v>
      </c>
      <c r="AE359">
        <v>12</v>
      </c>
      <c r="AF359" t="s">
        <v>2230</v>
      </c>
      <c r="AH359">
        <v>255</v>
      </c>
      <c r="AM359" t="str">
        <f t="shared" si="5"/>
        <v>{dwID=25825,nLevel=1,szNote="极本溯源",col={31,63,255,},[1]={},[2]={},aCataclysmBuff={{szReminder="晕 焚影奇穴极本溯源眩晕",nPriority=12,col="#1F3FFFFF",nColAlpha=255,},},},</v>
      </c>
    </row>
    <row r="360" spans="3:39" x14ac:dyDescent="0.15">
      <c r="C360">
        <v>27107</v>
      </c>
      <c r="D360">
        <v>1</v>
      </c>
      <c r="K360" t="s">
        <v>3005</v>
      </c>
      <c r="L360" t="s">
        <v>2228</v>
      </c>
      <c r="AD360" t="s">
        <v>3006</v>
      </c>
      <c r="AE360">
        <v>12</v>
      </c>
      <c r="AF360" t="s">
        <v>2230</v>
      </c>
      <c r="AH360">
        <v>255</v>
      </c>
      <c r="AM360" t="str">
        <f t="shared" si="5"/>
        <v>{dwID=27107,nLevel=1,szNote="晦冥曳",col={31,63,255,},[1]={},[2]={},aCataclysmBuff={{szReminder="晕 焚影奇穴清净心眩晕",nPriority=12,col="#1F3FFFFF",nColAlpha=255,},},},</v>
      </c>
    </row>
    <row r="361" spans="3:39" x14ac:dyDescent="0.15">
      <c r="C361">
        <v>4030</v>
      </c>
      <c r="D361">
        <v>1</v>
      </c>
      <c r="K361" t="s">
        <v>365</v>
      </c>
      <c r="L361" t="s">
        <v>2133</v>
      </c>
      <c r="AD361" t="s">
        <v>3007</v>
      </c>
      <c r="AE361">
        <v>13</v>
      </c>
      <c r="AF361" t="s">
        <v>2459</v>
      </c>
      <c r="AH361">
        <v>255</v>
      </c>
      <c r="AM361" t="str">
        <f t="shared" si="5"/>
        <v>{dwID=4030,nLevel=1,szNote="月劫",col={165,96,232,},[1]={},[2]={},aCataclysmBuff={{szReminder="疗 技能生死劫减疗",nPriority=13,col="#A560E8FF",nColAlpha=255,},},},</v>
      </c>
    </row>
    <row r="362" spans="3:39" x14ac:dyDescent="0.15">
      <c r="C362">
        <v>24290</v>
      </c>
      <c r="D362">
        <v>1</v>
      </c>
      <c r="K362" t="s">
        <v>588</v>
      </c>
      <c r="L362" t="s">
        <v>2305</v>
      </c>
      <c r="R362">
        <v>1</v>
      </c>
      <c r="AD362" t="s">
        <v>3008</v>
      </c>
      <c r="AE362">
        <v>14</v>
      </c>
      <c r="AF362" t="s">
        <v>2641</v>
      </c>
      <c r="AG362" t="s">
        <v>2307</v>
      </c>
      <c r="AH362">
        <v>255</v>
      </c>
      <c r="AK362">
        <v>1</v>
      </c>
      <c r="AM362" t="str">
        <f t="shared" si="5"/>
        <v>{dwID=24290,nLevel=1,szNote="霜月",col={255,255,255,},[1]={bScreenHead=true,},[2]={},aCataclysmBuff={{szReminder="锢 焚影奇穴妙相常晖禁锢锁足",nPriority=14,col="#FF99CCFF",colScreenHead="#FFFFFF",nColAlpha=255,bScreenHead=true,},},},</v>
      </c>
    </row>
    <row r="363" spans="3:39" x14ac:dyDescent="0.15">
      <c r="C363">
        <v>14979</v>
      </c>
      <c r="D363">
        <v>1</v>
      </c>
      <c r="K363" t="s">
        <v>180</v>
      </c>
      <c r="L363" t="s">
        <v>2639</v>
      </c>
      <c r="R363">
        <v>1</v>
      </c>
      <c r="AD363" t="s">
        <v>3009</v>
      </c>
      <c r="AE363">
        <v>14</v>
      </c>
      <c r="AF363" t="s">
        <v>2641</v>
      </c>
      <c r="AG363" t="s">
        <v>2642</v>
      </c>
      <c r="AH363">
        <v>255</v>
      </c>
      <c r="AK363">
        <v>1</v>
      </c>
      <c r="AM363" t="str">
        <f t="shared" si="5"/>
        <v>{dwID=14979,nLevel=1,szNote="羁影",col={255,153,204,},[1]={bScreenHead=true,},[2]={},aCataclysmBuff={{szReminder="盲 焚影奇穴明齐日月致盲",nPriority=14,col="#FF99CCFF",colScreenHead="#FF99CC",nColAlpha=255,bScreenHead=true,},},},</v>
      </c>
    </row>
    <row r="364" spans="3:39" x14ac:dyDescent="0.15">
      <c r="C364">
        <v>6380</v>
      </c>
      <c r="D364">
        <v>1</v>
      </c>
      <c r="K364" t="s">
        <v>396</v>
      </c>
      <c r="L364" t="s">
        <v>2228</v>
      </c>
      <c r="R364">
        <v>1</v>
      </c>
      <c r="AD364" t="s">
        <v>3010</v>
      </c>
      <c r="AE364">
        <v>11</v>
      </c>
      <c r="AF364" t="s">
        <v>2230</v>
      </c>
      <c r="AG364" t="s">
        <v>2231</v>
      </c>
      <c r="AH364">
        <v>255</v>
      </c>
      <c r="AK364">
        <v>1</v>
      </c>
      <c r="AM364" t="str">
        <f t="shared" si="5"/>
        <v>{dwID=6380,nLevel=1,szNote="醉逍遥",col={31,63,255,},[1]={bScreenHead=true,},[2]={},aCataclysmBuff={{szReminder="晕 丐帮醉逍遥眩晕",nPriority=11,col="#1F3FFFFF",colScreenHead="#1F3FFF",nColAlpha=255,bScreenHead=true,},},},</v>
      </c>
    </row>
    <row r="365" spans="3:39" x14ac:dyDescent="0.15">
      <c r="C365">
        <v>6370</v>
      </c>
      <c r="D365">
        <v>1</v>
      </c>
      <c r="K365" t="s">
        <v>395</v>
      </c>
      <c r="L365" t="s">
        <v>2228</v>
      </c>
      <c r="R365">
        <v>1</v>
      </c>
      <c r="AD365" t="s">
        <v>3011</v>
      </c>
      <c r="AE365">
        <v>12</v>
      </c>
      <c r="AF365" t="s">
        <v>2230</v>
      </c>
      <c r="AG365" t="s">
        <v>2231</v>
      </c>
      <c r="AH365">
        <v>255</v>
      </c>
      <c r="AK365">
        <v>1</v>
      </c>
      <c r="AM365" t="str">
        <f t="shared" si="5"/>
        <v>{dwID=6370,nLevel=1,szNote="安患",col={31,63,255,},[1]={bScreenHead=true,},[2]={},aCataclysmBuff={{szReminder="定 奇穴安患定身",nPriority=12,col="#1F3FFFFF",colScreenHead="#1F3FFF",nColAlpha=255,bScreenHead=true,},},},</v>
      </c>
    </row>
    <row r="366" spans="3:39" x14ac:dyDescent="0.15">
      <c r="C366">
        <v>18086</v>
      </c>
      <c r="D366">
        <v>1</v>
      </c>
      <c r="K366" t="s">
        <v>3012</v>
      </c>
      <c r="L366" t="s">
        <v>2228</v>
      </c>
      <c r="R366">
        <v>1</v>
      </c>
      <c r="AD366" t="s">
        <v>3013</v>
      </c>
      <c r="AE366">
        <v>12</v>
      </c>
      <c r="AF366" t="s">
        <v>2230</v>
      </c>
      <c r="AG366" t="s">
        <v>2231</v>
      </c>
      <c r="AH366">
        <v>255</v>
      </c>
      <c r="AK366">
        <v>1</v>
      </c>
      <c r="AM366" t="str">
        <f t="shared" si="5"/>
        <v>{dwID=18086,nLevel=1,szNote="将进酒",col={31,63,255,},[1]={bScreenHead=true,},[2]={},aCataclysmBuff={{szReminder="晕 奇穴将进酒眩晕",nPriority=12,col="#1F3FFFFF",colScreenHead="#1F3FFF",nColAlpha=255,bScreenHead=true,},},},</v>
      </c>
    </row>
    <row r="367" spans="3:39" x14ac:dyDescent="0.15">
      <c r="C367">
        <v>6401</v>
      </c>
      <c r="D367">
        <v>1</v>
      </c>
      <c r="E367">
        <v>3</v>
      </c>
      <c r="K367" t="s">
        <v>394</v>
      </c>
      <c r="L367" t="s">
        <v>2639</v>
      </c>
      <c r="Z367">
        <v>3</v>
      </c>
      <c r="AA367" t="s">
        <v>2121</v>
      </c>
      <c r="AD367" t="s">
        <v>3014</v>
      </c>
      <c r="AE367">
        <v>14</v>
      </c>
      <c r="AF367" t="s">
        <v>2641</v>
      </c>
      <c r="AH367">
        <v>255</v>
      </c>
      <c r="AL367" t="s">
        <v>3015</v>
      </c>
      <c r="AM367" t="str">
        <f t="shared" si="5"/>
        <v>{dwID=6401,nLevel=1,nCount=3,szNote="亢龙有悔",col={255,153,204,},[1]={},[2]={},aCataclysmBuff={{nStackNum=3,szStackOp="&gt;=",szReminder="亢 奇穴雨龙八层",nPriority=14,col="#FF99CCFF",nColAlpha=255,},{szStackOp="&gt;=",nStackNum=1,szReminder="亢 奇穴雨龙八层",nPriority=15,nColAlpha=255,col="#FF99CCFF",},},},</v>
      </c>
    </row>
    <row r="368" spans="3:39" x14ac:dyDescent="0.15">
      <c r="C368">
        <v>26159</v>
      </c>
      <c r="D368">
        <v>2</v>
      </c>
      <c r="H368">
        <v>1</v>
      </c>
      <c r="K368" t="s">
        <v>570</v>
      </c>
      <c r="L368" t="s">
        <v>2639</v>
      </c>
      <c r="AD368" t="s">
        <v>3016</v>
      </c>
      <c r="AE368">
        <v>14</v>
      </c>
      <c r="AF368" t="s">
        <v>2641</v>
      </c>
      <c r="AH368">
        <v>255</v>
      </c>
      <c r="AM368" t="str">
        <f t="shared" si="5"/>
        <v>{dwID=26159,nLevel=2,bCheckLevel=true,szNote="对酌",col={255,153,204,},[1]={},[2]={},aCataclysmBuff={{szReminder="酌 奇穴对酌降调息",nPriority=14,col="#FF99CCFF",nColAlpha=255,},},},</v>
      </c>
    </row>
    <row r="369" spans="3:39" x14ac:dyDescent="0.15">
      <c r="C369">
        <v>25995</v>
      </c>
      <c r="D369">
        <v>1</v>
      </c>
      <c r="K369" t="s">
        <v>185</v>
      </c>
      <c r="L369" t="s">
        <v>2639</v>
      </c>
      <c r="AD369" t="s">
        <v>3017</v>
      </c>
      <c r="AE369">
        <v>14</v>
      </c>
      <c r="AF369" t="s">
        <v>2641</v>
      </c>
      <c r="AH369">
        <v>255</v>
      </c>
      <c r="AM369" t="str">
        <f t="shared" si="5"/>
        <v>{dwID=25995,nLevel=1,szNote="城复于隍",col={255,153,204,},[1]={},[2]={},aCataclysmBuff={{szReminder="城 奇穴城复于隍击飞无法选中",nPriority=14,col="#FF99CCFF",nColAlpha=255,},},},</v>
      </c>
    </row>
    <row r="370" spans="3:39" x14ac:dyDescent="0.15">
      <c r="C370">
        <v>25903</v>
      </c>
      <c r="D370">
        <v>1</v>
      </c>
      <c r="K370" t="s">
        <v>607</v>
      </c>
      <c r="L370" t="s">
        <v>2228</v>
      </c>
      <c r="R370">
        <v>1</v>
      </c>
      <c r="AD370" t="s">
        <v>3018</v>
      </c>
      <c r="AE370">
        <v>14</v>
      </c>
      <c r="AF370" t="s">
        <v>2230</v>
      </c>
      <c r="AG370" t="s">
        <v>2231</v>
      </c>
      <c r="AH370">
        <v>255</v>
      </c>
      <c r="AK370">
        <v>1</v>
      </c>
      <c r="AM370" t="str">
        <f t="shared" si="5"/>
        <v>{dwID=25903,nLevel=1,szNote="挑飞",col={31,63,255,},[1]={bScreenHead=true,},[2]={},aCataclysmBuff={{szReminder="挑 受到挑飞效果",nPriority=14,col="#1F3FFFFF",colScreenHead="#1F3FFF",nColAlpha=255,bScreenHead=true,},},},</v>
      </c>
    </row>
    <row r="371" spans="3:39" x14ac:dyDescent="0.15">
      <c r="C371">
        <v>11369</v>
      </c>
      <c r="D371">
        <v>1</v>
      </c>
      <c r="K371" t="s">
        <v>448</v>
      </c>
      <c r="L371" t="s">
        <v>2228</v>
      </c>
      <c r="AD371" t="s">
        <v>3019</v>
      </c>
      <c r="AE371">
        <v>15</v>
      </c>
      <c r="AF371" t="s">
        <v>2230</v>
      </c>
      <c r="AH371">
        <v>255</v>
      </c>
      <c r="AM371" t="str">
        <f t="shared" si="5"/>
        <v>{dwID=11369,nLevel=1,szNote="擒龙",col={31,63,255,},[1]={},[2]={},aCataclysmBuff={{szReminder="定 擒龙六式一段锁足",nPriority=15,col="#1F3FFFFF",nColAlpha=255,},},},</v>
      </c>
    </row>
    <row r="372" spans="3:39" x14ac:dyDescent="0.15">
      <c r="C372">
        <v>28239</v>
      </c>
      <c r="D372">
        <v>1</v>
      </c>
      <c r="K372" t="s">
        <v>3020</v>
      </c>
      <c r="L372" t="s">
        <v>2228</v>
      </c>
      <c r="AD372" t="s">
        <v>3021</v>
      </c>
      <c r="AE372">
        <v>12</v>
      </c>
      <c r="AF372" t="s">
        <v>2230</v>
      </c>
      <c r="AH372">
        <v>255</v>
      </c>
      <c r="AM372" t="str">
        <f t="shared" si="5"/>
        <v>{dwID=28239,nLevel=1,szNote="苍龙戾天",col={31,63,255,},[1]={},[2]={},aCataclysmBuff={{szReminder="晕 奇穴苍龙戾天眩晕",nPriority=12,col="#1F3FFFFF",nColAlpha=255,},},},</v>
      </c>
    </row>
    <row r="373" spans="3:39" x14ac:dyDescent="0.15">
      <c r="C373">
        <v>10212</v>
      </c>
      <c r="D373">
        <v>1</v>
      </c>
      <c r="K373" t="s">
        <v>432</v>
      </c>
      <c r="L373" t="s">
        <v>2115</v>
      </c>
      <c r="R373">
        <v>1</v>
      </c>
      <c r="AD373" t="s">
        <v>3022</v>
      </c>
      <c r="AE373">
        <v>1</v>
      </c>
      <c r="AF373" t="s">
        <v>2117</v>
      </c>
      <c r="AG373" t="s">
        <v>2132</v>
      </c>
      <c r="AH373">
        <v>255</v>
      </c>
      <c r="AI373">
        <v>1</v>
      </c>
      <c r="AK373">
        <v>1</v>
      </c>
      <c r="AM373" t="str">
        <f t="shared" si="5"/>
        <v>{dwID=10212,nLevel=1,szNote="扬旌沙场",col={255,204,0,},[1]={bScreenHead=true,},[2]={},aCataclysmBuff={{szReminder="决 分山奇穴决斗",nPriority=1,col="#FFCC00FF",colScreenHead="#FFCC00",nColAlpha=255,bAttention=true,bScreenHead=true,},},},</v>
      </c>
    </row>
    <row r="374" spans="3:39" x14ac:dyDescent="0.15">
      <c r="C374">
        <v>18105</v>
      </c>
      <c r="D374">
        <v>1</v>
      </c>
      <c r="K374" t="s">
        <v>525</v>
      </c>
      <c r="L374" t="s">
        <v>2115</v>
      </c>
      <c r="R374">
        <v>1</v>
      </c>
      <c r="AD374" t="s">
        <v>3023</v>
      </c>
      <c r="AE374">
        <v>2</v>
      </c>
      <c r="AF374" t="s">
        <v>2117</v>
      </c>
      <c r="AG374" t="s">
        <v>2132</v>
      </c>
      <c r="AH374">
        <v>255</v>
      </c>
      <c r="AK374">
        <v>1</v>
      </c>
      <c r="AM374" t="str">
        <f t="shared" si="5"/>
        <v>{dwID=18105,nLevel=1,szNote="仇非",col={255,204,0,},[1]={bScreenHead=true,},[2]={},aCataclysmBuff={{szReminder="仇 分山奇穴仇非免死",nPriority=2,col="#FFCC00FF",colScreenHead="#FFCC00",nColAlpha=255,bScreenHead=true,},},},</v>
      </c>
    </row>
    <row r="375" spans="3:39" x14ac:dyDescent="0.15">
      <c r="C375">
        <v>8450</v>
      </c>
      <c r="D375">
        <v>1</v>
      </c>
      <c r="K375" t="s">
        <v>412</v>
      </c>
      <c r="L375" t="s">
        <v>2133</v>
      </c>
      <c r="R375">
        <v>1</v>
      </c>
      <c r="AD375" t="s">
        <v>3024</v>
      </c>
      <c r="AE375">
        <v>4</v>
      </c>
      <c r="AF375" t="s">
        <v>2135</v>
      </c>
      <c r="AG375" t="s">
        <v>2136</v>
      </c>
      <c r="AH375">
        <v>255</v>
      </c>
      <c r="AK375">
        <v>1</v>
      </c>
      <c r="AM375" t="str">
        <f t="shared" si="5"/>
        <v>{dwID=8450,nLevel=1,szNote="雷云",col={165,96,232,},[1]={bScreenHead=true,},[2]={},aCataclysmBuff={{szReminder="默 奇穴雷云沉默",nPriority=4,col="#FF0055FF",colScreenHead="#A560E8",nColAlpha=255,bScreenHead=true,},},},</v>
      </c>
    </row>
    <row r="376" spans="3:39" x14ac:dyDescent="0.15">
      <c r="C376">
        <v>20728</v>
      </c>
      <c r="D376">
        <v>1</v>
      </c>
      <c r="K376" t="s">
        <v>191</v>
      </c>
      <c r="L376" t="s">
        <v>2120</v>
      </c>
      <c r="AD376" t="s">
        <v>3025</v>
      </c>
      <c r="AE376">
        <v>11</v>
      </c>
      <c r="AF376" t="s">
        <v>2123</v>
      </c>
      <c r="AH376">
        <v>255</v>
      </c>
      <c r="AM376" t="str">
        <f t="shared" si="5"/>
        <v>{dwID=20728,nLevel=1,szNote="过涯",col={179,238,58,},[1]={},[2]={},aCataclysmBuff={{szReminder="血 分山奇穴过涯血上限延迟治疗",nPriority=11,col="#B3EE3AFF",nColAlpha=255,},},},</v>
      </c>
    </row>
    <row r="377" spans="3:39" x14ac:dyDescent="0.15">
      <c r="C377">
        <v>18109</v>
      </c>
      <c r="D377">
        <v>1</v>
      </c>
      <c r="K377" t="s">
        <v>335</v>
      </c>
      <c r="L377" t="s">
        <v>2228</v>
      </c>
      <c r="AD377" t="s">
        <v>3026</v>
      </c>
      <c r="AE377">
        <v>12</v>
      </c>
      <c r="AF377" t="s">
        <v>2230</v>
      </c>
      <c r="AH377">
        <v>255</v>
      </c>
      <c r="AM377" t="str">
        <f t="shared" si="5"/>
        <v>{dwID=18109,nLevel=1,szNote="摧城",col={31,63,255,},[1]={},[2]={},aCataclysmBuff={{szReminder="晕 奇穴断马眩晕",nPriority=12,col="#1F3FFFFF",nColAlpha=255,},},},</v>
      </c>
    </row>
    <row r="378" spans="3:39" x14ac:dyDescent="0.15">
      <c r="C378">
        <v>8570</v>
      </c>
      <c r="D378">
        <v>1</v>
      </c>
      <c r="K378" t="s">
        <v>414</v>
      </c>
      <c r="L378" t="s">
        <v>2228</v>
      </c>
      <c r="AD378" t="s">
        <v>3027</v>
      </c>
      <c r="AE378">
        <v>12</v>
      </c>
      <c r="AF378" t="s">
        <v>2230</v>
      </c>
      <c r="AH378">
        <v>255</v>
      </c>
      <c r="AM378" t="str">
        <f t="shared" si="5"/>
        <v>{dwID=8570,nLevel=1,szNote="盾猛",col={31,63,255,},[1]={},[2]={},aCataclysmBuff={{szReminder="倒 技能盾猛击倒",nPriority=12,col="#1F3FFFFF",nColAlpha=255,},},},</v>
      </c>
    </row>
    <row r="379" spans="3:39" x14ac:dyDescent="0.15">
      <c r="C379">
        <v>24324</v>
      </c>
      <c r="D379">
        <v>1</v>
      </c>
      <c r="K379" t="s">
        <v>589</v>
      </c>
      <c r="L379" t="s">
        <v>2133</v>
      </c>
      <c r="AD379" t="s">
        <v>3028</v>
      </c>
      <c r="AE379">
        <v>13</v>
      </c>
      <c r="AF379" t="s">
        <v>2459</v>
      </c>
      <c r="AH379">
        <v>255</v>
      </c>
      <c r="AM379" t="str">
        <f t="shared" si="5"/>
        <v>{dwID=24324,nLevel=1,szNote="血誓",col={165,96,232,},[1]={},[2]={},aCataclysmBuff={{szReminder="疗 分山奇穴血誓减疗",nPriority=13,col="#A560E8FF",nColAlpha=255,},},},</v>
      </c>
    </row>
    <row r="380" spans="3:39" x14ac:dyDescent="0.15">
      <c r="C380">
        <v>24343</v>
      </c>
      <c r="D380">
        <v>1</v>
      </c>
      <c r="K380" t="s">
        <v>590</v>
      </c>
      <c r="L380" t="s">
        <v>2133</v>
      </c>
      <c r="AD380" t="s">
        <v>3029</v>
      </c>
      <c r="AE380">
        <v>13</v>
      </c>
      <c r="AF380" t="s">
        <v>2459</v>
      </c>
      <c r="AH380">
        <v>255</v>
      </c>
      <c r="AM380" t="str">
        <f t="shared" si="5"/>
        <v>{dwID=24343,nLevel=1,szNote="锋寒",col={165,96,232,},[1]={},[2]={},aCataclysmBuff={{szReminder="疗 分山奇穴祭血关山限疗",nPriority=13,col="#A560E8FF",nColAlpha=255,},},},</v>
      </c>
    </row>
    <row r="381" spans="3:39" x14ac:dyDescent="0.15">
      <c r="C381">
        <v>8251</v>
      </c>
      <c r="D381">
        <v>1</v>
      </c>
      <c r="K381" t="s">
        <v>409</v>
      </c>
      <c r="L381" t="s">
        <v>2228</v>
      </c>
      <c r="AD381" t="s">
        <v>3030</v>
      </c>
      <c r="AE381">
        <v>14</v>
      </c>
      <c r="AF381" t="s">
        <v>2230</v>
      </c>
      <c r="AH381">
        <v>255</v>
      </c>
      <c r="AM381" t="str">
        <f t="shared" si="5"/>
        <v>{dwID=8251,nLevel=1,szNote="落雁",col={31,63,255,},[1]={},[2]={},aCataclysmBuff={{szReminder="定 斩刀_锁足效果",nPriority=14,col="#1F3FFFFF",nColAlpha=255,},},},</v>
      </c>
    </row>
    <row r="382" spans="3:39" x14ac:dyDescent="0.15">
      <c r="C382">
        <v>28096</v>
      </c>
      <c r="D382">
        <v>1</v>
      </c>
      <c r="K382" t="s">
        <v>3031</v>
      </c>
      <c r="L382" t="s">
        <v>2228</v>
      </c>
      <c r="AD382" t="s">
        <v>3032</v>
      </c>
      <c r="AE382">
        <v>12</v>
      </c>
      <c r="AF382" t="s">
        <v>2230</v>
      </c>
      <c r="AH382">
        <v>255</v>
      </c>
      <c r="AM382" t="str">
        <f t="shared" si="5"/>
        <v>{dwID=28096,nLevel=1,szNote="麾远",col={31,63,255,},[1]={},[2]={},aCataclysmBuff={{szReminder="晕 奇穴麾远眩晕",nPriority=12,col="#1F3FFFFF",nColAlpha=255,},},},</v>
      </c>
    </row>
    <row r="383" spans="3:39" x14ac:dyDescent="0.15">
      <c r="C383">
        <v>28181</v>
      </c>
      <c r="D383">
        <v>1</v>
      </c>
      <c r="K383" t="s">
        <v>3033</v>
      </c>
      <c r="L383" t="s">
        <v>2133</v>
      </c>
      <c r="AD383" t="s">
        <v>3034</v>
      </c>
      <c r="AE383">
        <v>13</v>
      </c>
      <c r="AF383" t="s">
        <v>2459</v>
      </c>
      <c r="AH383">
        <v>255</v>
      </c>
      <c r="AM383" t="str">
        <f t="shared" si="5"/>
        <v>{dwID=28181,nLevel=1,szNote="残楼",col={165,96,232,},[1]={},[2]={},aCataclysmBuff={{szReminder="阻 分山奇穴残楼阻疗",nPriority=13,col="#A560E8FF",nColAlpha=255,},},},</v>
      </c>
    </row>
    <row r="384" spans="3:39" x14ac:dyDescent="0.15">
      <c r="C384">
        <v>9299</v>
      </c>
      <c r="D384">
        <v>1</v>
      </c>
      <c r="K384" t="s">
        <v>195</v>
      </c>
      <c r="L384" t="s">
        <v>2120</v>
      </c>
      <c r="AD384" t="s">
        <v>3035</v>
      </c>
      <c r="AE384">
        <v>1</v>
      </c>
      <c r="AF384" t="s">
        <v>2123</v>
      </c>
      <c r="AH384">
        <v>255</v>
      </c>
      <c r="AI384">
        <v>1</v>
      </c>
      <c r="AM384" t="str">
        <f t="shared" si="5"/>
        <v>{dwID=9299,nLevel=1,szNote="杯水留影",col={179,238,58,},[1]={},[2]={},aCataclysmBuff={{szReminder="杯 使自身短暂恢复战斗能力",nPriority=1,col="#B3EE3AFF",nColAlpha=255,bAttention=true,},},},</v>
      </c>
    </row>
    <row r="385" spans="3:39" x14ac:dyDescent="0.15">
      <c r="C385">
        <v>24639</v>
      </c>
      <c r="D385">
        <v>1</v>
      </c>
      <c r="K385" t="s">
        <v>325</v>
      </c>
      <c r="AD385" t="s">
        <v>3036</v>
      </c>
      <c r="AE385">
        <v>15</v>
      </c>
      <c r="AH385">
        <v>255</v>
      </c>
      <c r="AM385" t="str">
        <f t="shared" si="5"/>
        <v>{dwID=24639,nLevel=1,szNote="同归",[1]={},[2]={},aCataclysmBuff={{szReminder="回 奶歌奇穴化羽同归标记",nPriority=15,nColAlpha=255,},},},</v>
      </c>
    </row>
    <row r="386" spans="3:39" x14ac:dyDescent="0.15">
      <c r="C386">
        <v>9378</v>
      </c>
      <c r="D386">
        <v>1</v>
      </c>
      <c r="K386" t="s">
        <v>422</v>
      </c>
      <c r="L386" t="s">
        <v>2133</v>
      </c>
      <c r="R386">
        <v>1</v>
      </c>
      <c r="AD386" t="s">
        <v>3037</v>
      </c>
      <c r="AE386">
        <v>4</v>
      </c>
      <c r="AF386" t="s">
        <v>2135</v>
      </c>
      <c r="AG386" t="s">
        <v>2136</v>
      </c>
      <c r="AH386">
        <v>255</v>
      </c>
      <c r="AI386">
        <v>1</v>
      </c>
      <c r="AJ386">
        <v>1</v>
      </c>
      <c r="AK386">
        <v>1</v>
      </c>
      <c r="AM386" t="str">
        <f t="shared" ref="AM386:AM449" si="6">IF(B386&lt;&gt;"",IF(IFERROR(VALUE(C385),0)&lt;=0,"["&amp;B386&amp;"]={","},["&amp;B386&amp;"]={"),IF(C386&gt;0,"{dwID="&amp;C386&amp;","&amp;"nLevel="&amp;D386&amp;","&amp;IF(E386&gt;0,"nCount="&amp;E386&amp;",","")&amp;IF(F386&gt;0,"nIcon="&amp;F386&amp;",","")&amp;IF(G386&lt;&gt;"","szName="""&amp;G386&amp;""",","")&amp;IF(H386&gt;0,"bCheckLevel=true,","")&amp;IF(I386&gt;0,"nScrutinyType="&amp;I386&amp;",","")&amp;IF(J386&lt;&gt;"","tKungFu={"&amp;J386&amp;"},","")&amp;IF(K386&lt;&gt;"","szNote="""&amp;K386&amp;""",","")&amp;IF(L386&lt;&gt;"","col={"&amp;L386&amp;"},","")&amp;"[1]={"&amp;IF(M386&lt;&gt;"","tMark={"&amp;M386&amp;"},","")&amp;IF(N386&lt;&gt;"","szVoice="""&amp;N386&amp;""",","")&amp;IF(O386&gt;0,"bCheckLevel=true,","")&amp;IF(P386&gt;0,"bWhisperChannel=true,","")&amp;IF(Q386&gt;0,"bCenterAlarm=true,","")&amp;IF(R386&gt;0,"bScreenHead=true,","")&amp;IF(S386&gt;0,"bPartyBuffList=true,","")&amp;IF(T386&gt;0,"bBuffList=true,","")&amp;IF(U386&gt;0,"bTeamPanel=true,","")&amp;IF(V386&gt;0,"bOnlySelfSrc=true,","")&amp;"},"&amp;"[2]={"&amp;IF(W386&gt;0,"bCheckLevel=true,","")&amp;IF(X386&gt;0,"bWhisperChannel=true,","")&amp;IF(Y386&gt;0,"bCenterAlarm=true,","")&amp;"},"&amp;IF(OR(Z386&gt;0,AD386&lt;&gt;"",AE386&gt;0,AF386&lt;&gt;"",AG386&lt;&gt;"",AH386&gt;0,AI386&gt;0,AJ386&gt;0,AK386&gt;0),"aCataclysmBuff={{"&amp;IF(Z386&gt;0,"nStackNum="&amp;Z386&amp;",","")&amp;IF(AA386&lt;&gt;"","szStackOp="""&amp;AA386&amp;""",","")&amp;IF(AB386&gt;0,"bOnlyMine=true,","")&amp;IF(AC386&gt;0,"bOnlyMe=true,","")&amp;IF(AD386&lt;&gt;"","szReminder="""&amp;AD386&amp;""",","")&amp;IF(AE386&gt;0,"nPriority="&amp;AE386&amp;",","")&amp;IF(AF386&lt;&gt;"","col="""&amp;AF386&amp;""",","")&amp;IF(AG386&lt;&gt;"","colScreenHead="""&amp;AG386&amp;""",","")&amp;IF(AH386&gt;0,"nColAlpha="&amp;AH386&amp;",","")&amp;IF(AI386&gt;0,"bAttention=true,","")&amp;IF(AJ386&gt;0,"bCaution=true,","")&amp;IF(AK386&gt;0,"bScreenHead=true,","")&amp;"},"&amp;AL386&amp;"},","")&amp;IF(AN386&lt;&gt;"","tCountdown={"&amp;_xlfn.TEXTJOIN("",TRUE,AN386:ZY386)&amp;"},","")&amp;"},",IF(C385&gt;0,"},","")&amp;IF(AND(B386="",C386="",OR(B385&lt;&gt;"",C385&lt;&gt;"")),"},}","")))</f>
        <v>{dwID=9378,nLevel=1,szNote="井仪",col={165,96,232,},[1]={bScreenHead=true,},[2]={},aCataclysmBuff={{szReminder="默 奇穴井仪沉默",nPriority=4,col="#FF0055FF",colScreenHead="#A560E8",nColAlpha=255,bAttention=true,bCaution=true,bScreenHead=true,},},},</v>
      </c>
    </row>
    <row r="387" spans="3:39" x14ac:dyDescent="0.15">
      <c r="C387">
        <v>9214</v>
      </c>
      <c r="D387">
        <v>1</v>
      </c>
      <c r="K387" t="s">
        <v>418</v>
      </c>
      <c r="L387" t="s">
        <v>2133</v>
      </c>
      <c r="R387">
        <v>1</v>
      </c>
      <c r="AD387" t="s">
        <v>3038</v>
      </c>
      <c r="AE387">
        <v>4</v>
      </c>
      <c r="AF387" t="s">
        <v>2135</v>
      </c>
      <c r="AG387" t="s">
        <v>2136</v>
      </c>
      <c r="AH387">
        <v>255</v>
      </c>
      <c r="AI387">
        <v>1</v>
      </c>
      <c r="AJ387">
        <v>1</v>
      </c>
      <c r="AK387">
        <v>1</v>
      </c>
      <c r="AM387" t="str">
        <f t="shared" si="6"/>
        <v>{dwID=9214,nLevel=1,szNote="清音长啸",col={165,96,232,},[1]={bScreenHead=true,},[2]={},aCataclysmBuff={{szReminder="封 莫问奇穴清音长啸封内",nPriority=4,col="#FF0055FF",colScreenHead="#A560E8",nColAlpha=255,bAttention=true,bCaution=true,bScreenHead=true,},},},</v>
      </c>
    </row>
    <row r="388" spans="3:39" x14ac:dyDescent="0.15">
      <c r="C388">
        <v>4300</v>
      </c>
      <c r="D388">
        <v>1</v>
      </c>
      <c r="K388" t="s">
        <v>368</v>
      </c>
      <c r="L388" t="s">
        <v>2120</v>
      </c>
      <c r="AD388" t="s">
        <v>3039</v>
      </c>
      <c r="AE388">
        <v>11</v>
      </c>
      <c r="AF388" t="s">
        <v>2123</v>
      </c>
      <c r="AH388">
        <v>255</v>
      </c>
      <c r="AM388" t="str">
        <f t="shared" si="6"/>
        <v>{dwID=4300,nLevel=1,szNote="残影",col={179,238,58,},[1]={},[2]={},aCataclysmBuff={{szReminder="减 奇穴超然减伤",nPriority=11,col="#B3EE3AFF",nColAlpha=255,},},},</v>
      </c>
    </row>
    <row r="389" spans="3:39" x14ac:dyDescent="0.15">
      <c r="C389">
        <v>9265</v>
      </c>
      <c r="D389">
        <v>1</v>
      </c>
      <c r="K389" t="s">
        <v>420</v>
      </c>
      <c r="L389" t="s">
        <v>2120</v>
      </c>
      <c r="R389">
        <v>1</v>
      </c>
      <c r="AD389" t="s">
        <v>2308</v>
      </c>
      <c r="AE389">
        <v>11</v>
      </c>
      <c r="AF389" t="s">
        <v>2123</v>
      </c>
      <c r="AG389" t="s">
        <v>2130</v>
      </c>
      <c r="AH389">
        <v>255</v>
      </c>
      <c r="AI389">
        <v>1</v>
      </c>
      <c r="AK389">
        <v>1</v>
      </c>
      <c r="AM389" t="str">
        <f t="shared" si="6"/>
        <v>{dwID=9265,nLevel=1,szNote="云生结海",col={179,238,58,},[1]={bScreenHead=true,},[2]={},aCataclysmBuff={{szReminder="摊 技能云深平摊",nPriority=11,col="#B3EE3AFF",colScreenHead="#B3EE3A",nColAlpha=255,bAttention=true,bScreenHead=true,},},},</v>
      </c>
    </row>
    <row r="390" spans="3:39" x14ac:dyDescent="0.15">
      <c r="C390">
        <v>10000</v>
      </c>
      <c r="D390">
        <v>1</v>
      </c>
      <c r="E390">
        <v>4</v>
      </c>
      <c r="K390" t="s">
        <v>427</v>
      </c>
      <c r="L390" t="s">
        <v>2120</v>
      </c>
      <c r="Z390">
        <v>4</v>
      </c>
      <c r="AA390" t="s">
        <v>2121</v>
      </c>
      <c r="AD390" t="s">
        <v>3040</v>
      </c>
      <c r="AE390">
        <v>11</v>
      </c>
      <c r="AF390" t="s">
        <v>2123</v>
      </c>
      <c r="AH390">
        <v>255</v>
      </c>
      <c r="AL390" t="s">
        <v>3041</v>
      </c>
      <c r="AM390" t="str">
        <f t="shared" si="6"/>
        <v>{dwID=10000,nLevel=1,nCount=4,szNote="盏萤",col={179,238,58,},[1]={},[2]={},aCataclysmBuff={{nStackNum=4,szStackOp="&gt;=",szReminder="盏 莫问奇穴盏萤减伤",nPriority=11,col="#B3EE3AFF",nColAlpha=255,},{szStackOp="&gt;=",nStackNum=1,szReminder="盏 莫问奇穴盏萤减伤",nPriority=12,nColAlpha=255,col="#B3EE3AFF",},},},</v>
      </c>
    </row>
    <row r="391" spans="3:39" x14ac:dyDescent="0.15">
      <c r="C391">
        <v>21117</v>
      </c>
      <c r="D391">
        <v>1</v>
      </c>
      <c r="K391" t="s">
        <v>553</v>
      </c>
      <c r="L391" t="s">
        <v>2120</v>
      </c>
      <c r="R391">
        <v>1</v>
      </c>
      <c r="AD391" t="s">
        <v>2702</v>
      </c>
      <c r="AE391">
        <v>11</v>
      </c>
      <c r="AF391" t="s">
        <v>2123</v>
      </c>
      <c r="AG391" t="s">
        <v>2130</v>
      </c>
      <c r="AH391">
        <v>255</v>
      </c>
      <c r="AK391">
        <v>1</v>
      </c>
      <c r="AM391" t="str">
        <f t="shared" si="6"/>
        <v>{dwID=21117,nLevel=1,szNote="敛意",col={179,238,58,},[1]={bScreenHead=true,},[2]={},aCataclysmBuff={{szReminder="闪 奶歌奇穴敛意闪避提高80%",nPriority=11,col="#B3EE3AFF",colScreenHead="#B3EE3A",nColAlpha=255,bScreenHead=true,},},},</v>
      </c>
    </row>
    <row r="392" spans="3:39" x14ac:dyDescent="0.15">
      <c r="C392">
        <v>15952</v>
      </c>
      <c r="D392">
        <v>1</v>
      </c>
      <c r="K392" t="s">
        <v>487</v>
      </c>
      <c r="L392" t="s">
        <v>2228</v>
      </c>
      <c r="R392">
        <v>1</v>
      </c>
      <c r="AD392" t="s">
        <v>3042</v>
      </c>
      <c r="AE392">
        <v>12</v>
      </c>
      <c r="AF392" t="s">
        <v>2230</v>
      </c>
      <c r="AG392" t="s">
        <v>2231</v>
      </c>
      <c r="AH392">
        <v>255</v>
      </c>
      <c r="AK392">
        <v>1</v>
      </c>
      <c r="AM392" t="str">
        <f t="shared" si="6"/>
        <v>{dwID=15952,nLevel=1,szNote="别鹤",col={31,63,255,},[1]={bScreenHead=true,},[2]={},aCataclysmBuff={{szReminder="定 莫问奇穴别鹤定身",nPriority=12,col="#1F3FFFFF",colScreenHead="#1F3FFF",nColAlpha=255,bScreenHead=true,},},},</v>
      </c>
    </row>
    <row r="393" spans="3:39" x14ac:dyDescent="0.15">
      <c r="C393">
        <v>18118</v>
      </c>
      <c r="D393">
        <v>1</v>
      </c>
      <c r="K393" t="s">
        <v>526</v>
      </c>
      <c r="L393" t="s">
        <v>2228</v>
      </c>
      <c r="AD393" t="s">
        <v>3043</v>
      </c>
      <c r="AE393">
        <v>12</v>
      </c>
      <c r="AF393" t="s">
        <v>2230</v>
      </c>
      <c r="AH393">
        <v>255</v>
      </c>
      <c r="AM393" t="str">
        <f t="shared" si="6"/>
        <v>{dwID=18118,nLevel=1,szNote="剑·商",col={31,63,255,},[1]={},[2]={},aCataclysmBuff={{szReminder="晕 莫问奇穴停拍眩晕",nPriority=12,col="#1F3FFFFF",nColAlpha=255,},},},</v>
      </c>
    </row>
    <row r="394" spans="3:39" x14ac:dyDescent="0.15">
      <c r="C394">
        <v>9514</v>
      </c>
      <c r="D394">
        <v>1</v>
      </c>
      <c r="K394" t="s">
        <v>423</v>
      </c>
      <c r="L394" t="s">
        <v>2133</v>
      </c>
      <c r="AD394" t="s">
        <v>3044</v>
      </c>
      <c r="AE394">
        <v>13</v>
      </c>
      <c r="AF394" t="s">
        <v>2459</v>
      </c>
      <c r="AH394">
        <v>255</v>
      </c>
      <c r="AM394" t="str">
        <f t="shared" si="6"/>
        <v>{dwID=9514,nLevel=1,szNote="楚济",col={165,96,232,},[1]={},[2]={},aCataclysmBuff={{szReminder="疗 莫问奇穴楚济减疗",nPriority=13,col="#A560E8FF",nColAlpha=255,},},},</v>
      </c>
    </row>
    <row r="395" spans="3:39" x14ac:dyDescent="0.15">
      <c r="C395">
        <v>9271</v>
      </c>
      <c r="D395">
        <v>1</v>
      </c>
      <c r="K395" t="s">
        <v>421</v>
      </c>
      <c r="L395" t="s">
        <v>2639</v>
      </c>
      <c r="R395">
        <v>1</v>
      </c>
      <c r="AD395" t="s">
        <v>3045</v>
      </c>
      <c r="AE395">
        <v>14</v>
      </c>
      <c r="AF395" t="s">
        <v>2641</v>
      </c>
      <c r="AG395" t="s">
        <v>2642</v>
      </c>
      <c r="AH395">
        <v>255</v>
      </c>
      <c r="AK395">
        <v>1</v>
      </c>
      <c r="AM395" t="str">
        <f t="shared" si="6"/>
        <v>{dwID=9271,nLevel=1,szNote="迴光",col={255,153,204,},[1]={bScreenHead=true,},[2]={},aCataclysmBuff={{szReminder="拉 技能迴梦",nPriority=14,col="#FF99CCFF",colScreenHead="#FF99CC",nColAlpha=255,bScreenHead=true,},},},</v>
      </c>
    </row>
    <row r="396" spans="3:39" x14ac:dyDescent="0.15">
      <c r="C396">
        <v>9263</v>
      </c>
      <c r="D396">
        <v>1</v>
      </c>
      <c r="K396" t="s">
        <v>419</v>
      </c>
      <c r="L396" t="s">
        <v>2639</v>
      </c>
      <c r="R396">
        <v>1</v>
      </c>
      <c r="AD396" t="s">
        <v>3046</v>
      </c>
      <c r="AE396">
        <v>14</v>
      </c>
      <c r="AF396" t="s">
        <v>2641</v>
      </c>
      <c r="AG396" t="s">
        <v>2642</v>
      </c>
      <c r="AH396">
        <v>255</v>
      </c>
      <c r="AK396">
        <v>1</v>
      </c>
      <c r="AM396" t="str">
        <f t="shared" si="6"/>
        <v>{dwID=9263,nLevel=1,szNote="江逐月天",col={255,153,204,},[1]={bScreenHead=true,},[2]={},aCataclysmBuff={{szReminder="懵 技能江逐降加速",nPriority=14,col="#FF99CCFF",colScreenHead="#FF99CC",nColAlpha=255,bScreenHead=true,},},},</v>
      </c>
    </row>
    <row r="397" spans="3:39" x14ac:dyDescent="0.15">
      <c r="C397">
        <v>12612</v>
      </c>
      <c r="D397">
        <v>1</v>
      </c>
      <c r="K397" t="s">
        <v>461</v>
      </c>
      <c r="L397" t="s">
        <v>2639</v>
      </c>
      <c r="R397">
        <v>1</v>
      </c>
      <c r="AD397" t="s">
        <v>3047</v>
      </c>
      <c r="AE397">
        <v>14</v>
      </c>
      <c r="AF397" t="s">
        <v>2641</v>
      </c>
      <c r="AG397" t="s">
        <v>2642</v>
      </c>
      <c r="AH397">
        <v>255</v>
      </c>
      <c r="AI397">
        <v>1</v>
      </c>
      <c r="AK397">
        <v>1</v>
      </c>
      <c r="AM397" t="str">
        <f t="shared" si="6"/>
        <v>{dwID=12612,nLevel=1,szNote="啸影",col={255,153,204,},[1]={bScreenHead=true,},[2]={},aCataclysmBuff={{szReminder="弹 莫问奇穴啸影反弹",nPriority=14,col="#FF99CCFF",colScreenHead="#FF99CC",nColAlpha=255,bAttention=true,bScreenHead=true,},},},</v>
      </c>
    </row>
    <row r="398" spans="3:39" x14ac:dyDescent="0.15">
      <c r="C398">
        <v>18123</v>
      </c>
      <c r="D398">
        <v>1</v>
      </c>
      <c r="K398" t="s">
        <v>527</v>
      </c>
      <c r="L398" t="s">
        <v>2639</v>
      </c>
      <c r="R398">
        <v>1</v>
      </c>
      <c r="AD398" t="s">
        <v>3048</v>
      </c>
      <c r="AE398">
        <v>14</v>
      </c>
      <c r="AF398" t="s">
        <v>2641</v>
      </c>
      <c r="AG398" t="s">
        <v>2642</v>
      </c>
      <c r="AH398">
        <v>255</v>
      </c>
      <c r="AI398">
        <v>1</v>
      </c>
      <c r="AK398">
        <v>1</v>
      </c>
      <c r="AM398" t="str">
        <f t="shared" si="6"/>
        <v>{dwID=18123,nLevel=1,szNote="游太清",col={255,153,204,},[1]={bScreenHead=true,},[2]={},aCataclysmBuff={{szReminder="游 奶歌奇穴游太清锁血",nPriority=14,col="#FF99CCFF",colScreenHead="#FF99CC",nColAlpha=255,bAttention=true,bScreenHead=true,},},},</v>
      </c>
    </row>
    <row r="399" spans="3:39" x14ac:dyDescent="0.15">
      <c r="C399">
        <v>21222</v>
      </c>
      <c r="D399">
        <v>1</v>
      </c>
      <c r="K399" t="s">
        <v>555</v>
      </c>
      <c r="L399" t="s">
        <v>2639</v>
      </c>
      <c r="AD399" t="s">
        <v>3049</v>
      </c>
      <c r="AE399">
        <v>14</v>
      </c>
      <c r="AF399" t="s">
        <v>2641</v>
      </c>
      <c r="AH399">
        <v>255</v>
      </c>
      <c r="AM399" t="str">
        <f t="shared" si="6"/>
        <v>{dwID=21222,nLevel=1,szNote="青鸾剑气",col={255,153,204,},[1]={},[2]={},aCataclysmBuff={{szReminder="爆 莫问奇穴不愧君引爆",nPriority=14,col="#FF99CCFF",nColAlpha=255,},},},</v>
      </c>
    </row>
    <row r="400" spans="3:39" x14ac:dyDescent="0.15">
      <c r="C400">
        <v>11171</v>
      </c>
      <c r="D400">
        <v>1</v>
      </c>
      <c r="K400" t="s">
        <v>445</v>
      </c>
      <c r="L400" t="s">
        <v>2133</v>
      </c>
      <c r="R400">
        <v>1</v>
      </c>
      <c r="AD400" t="s">
        <v>3050</v>
      </c>
      <c r="AE400">
        <v>4</v>
      </c>
      <c r="AF400" t="s">
        <v>2135</v>
      </c>
      <c r="AG400" t="s">
        <v>2136</v>
      </c>
      <c r="AH400">
        <v>255</v>
      </c>
      <c r="AI400">
        <v>1</v>
      </c>
      <c r="AJ400">
        <v>1</v>
      </c>
      <c r="AK400">
        <v>1</v>
      </c>
      <c r="AM400" t="str">
        <f t="shared" si="6"/>
        <v>{dwID=11171,nLevel=1,szNote="风切",col={165,96,232,},[1]={bScreenHead=true,},[2]={},aCataclysmBuff={{szReminder="默 技能雷走沉默",nPriority=4,col="#FF0055FF",colScreenHead="#A560E8",nColAlpha=255,bAttention=true,bCaution=true,bScreenHead=true,},},},</v>
      </c>
    </row>
    <row r="401" spans="3:39" x14ac:dyDescent="0.15">
      <c r="C401">
        <v>7007</v>
      </c>
      <c r="D401">
        <v>1</v>
      </c>
      <c r="K401" t="s">
        <v>400</v>
      </c>
      <c r="L401" t="s">
        <v>2120</v>
      </c>
      <c r="AD401" t="s">
        <v>3051</v>
      </c>
      <c r="AE401">
        <v>11</v>
      </c>
      <c r="AF401" t="s">
        <v>2123</v>
      </c>
      <c r="AH401">
        <v>255</v>
      </c>
      <c r="AM401" t="str">
        <f t="shared" si="6"/>
        <v>{dwID=7007,nLevel=1,szNote="易水",col={179,238,58,},[1]={},[2]={},aCataclysmBuff={{szReminder="减 奇穴易水减伤",nPriority=11,col="#B3EE3AFF",nColAlpha=255,},},},</v>
      </c>
    </row>
    <row r="402" spans="3:39" x14ac:dyDescent="0.15">
      <c r="C402">
        <v>10815</v>
      </c>
      <c r="D402">
        <v>1</v>
      </c>
      <c r="K402" t="s">
        <v>441</v>
      </c>
      <c r="AD402" t="s">
        <v>3052</v>
      </c>
      <c r="AE402">
        <v>12</v>
      </c>
      <c r="AH402">
        <v>255</v>
      </c>
      <c r="AM402" t="str">
        <f t="shared" si="6"/>
        <v>{dwID=10815,nLevel=1,szNote="秀明尘身",[1]={},[2]={},aCataclysmBuff={{szReminder="大 大刀状态",nPriority=12,nColAlpha=255,},},},</v>
      </c>
    </row>
    <row r="403" spans="3:39" x14ac:dyDescent="0.15">
      <c r="C403">
        <v>11150</v>
      </c>
      <c r="D403">
        <v>1</v>
      </c>
      <c r="K403" t="s">
        <v>444</v>
      </c>
      <c r="L403" t="s">
        <v>2228</v>
      </c>
      <c r="AD403" t="s">
        <v>3053</v>
      </c>
      <c r="AE403">
        <v>14</v>
      </c>
      <c r="AF403" t="s">
        <v>2230</v>
      </c>
      <c r="AH403">
        <v>255</v>
      </c>
      <c r="AM403" t="str">
        <f t="shared" si="6"/>
        <v>{dwID=11150,nLevel=1,szNote="割据秦宫",col={31,63,255,},[1]={},[2]={},aCataclysmBuff={{szReminder="定 割据秦宫一段锁足",nPriority=14,col="#1F3FFFFF",nColAlpha=255,},},},</v>
      </c>
    </row>
    <row r="404" spans="3:39" x14ac:dyDescent="0.15">
      <c r="C404">
        <v>11231</v>
      </c>
      <c r="D404">
        <v>1</v>
      </c>
      <c r="K404" t="s">
        <v>444</v>
      </c>
      <c r="L404" t="s">
        <v>2228</v>
      </c>
      <c r="R404">
        <v>1</v>
      </c>
      <c r="AD404" t="s">
        <v>3054</v>
      </c>
      <c r="AE404">
        <v>12</v>
      </c>
      <c r="AF404" t="s">
        <v>2230</v>
      </c>
      <c r="AG404" t="s">
        <v>2231</v>
      </c>
      <c r="AH404">
        <v>255</v>
      </c>
      <c r="AK404">
        <v>1</v>
      </c>
      <c r="AM404" t="str">
        <f t="shared" si="6"/>
        <v>{dwID=11231,nLevel=1,szNote="割据秦宫",col={31,63,255,},[1]={bScreenHead=true,},[2]={},aCataclysmBuff={{szReminder="晕 割据秦宫二段眩晕",nPriority=12,col="#1F3FFFFF",colScreenHead="#1F3FFF",nColAlpha=255,bScreenHead=true,},},},</v>
      </c>
    </row>
    <row r="405" spans="3:39" x14ac:dyDescent="0.15">
      <c r="C405">
        <v>11233</v>
      </c>
      <c r="D405">
        <v>1</v>
      </c>
      <c r="K405" t="s">
        <v>444</v>
      </c>
      <c r="L405" t="s">
        <v>2228</v>
      </c>
      <c r="R405">
        <v>1</v>
      </c>
      <c r="AD405" t="s">
        <v>3055</v>
      </c>
      <c r="AE405">
        <v>12</v>
      </c>
      <c r="AF405" t="s">
        <v>2230</v>
      </c>
      <c r="AG405" t="s">
        <v>2231</v>
      </c>
      <c r="AH405">
        <v>255</v>
      </c>
      <c r="AK405">
        <v>1</v>
      </c>
      <c r="AM405" t="str">
        <f t="shared" si="6"/>
        <v>{dwID=11233,nLevel=1,szNote="割据秦宫",col={31,63,255,},[1]={bScreenHead=true,},[2]={},aCataclysmBuff={{szReminder="倒 割据秦宫击倒",nPriority=12,col="#1F3FFFFF",colScreenHead="#1F3FFF",nColAlpha=255,bScreenHead=true,},},},</v>
      </c>
    </row>
    <row r="406" spans="3:39" x14ac:dyDescent="0.15">
      <c r="C406">
        <v>28188</v>
      </c>
      <c r="D406">
        <v>1</v>
      </c>
      <c r="K406" t="s">
        <v>444</v>
      </c>
      <c r="L406" t="s">
        <v>2228</v>
      </c>
      <c r="R406">
        <v>1</v>
      </c>
      <c r="AD406" t="s">
        <v>3056</v>
      </c>
      <c r="AE406">
        <v>12</v>
      </c>
      <c r="AF406" t="s">
        <v>2230</v>
      </c>
      <c r="AG406" t="s">
        <v>2231</v>
      </c>
      <c r="AH406">
        <v>255</v>
      </c>
      <c r="AK406">
        <v>1</v>
      </c>
      <c r="AM406" t="str">
        <f t="shared" si="6"/>
        <v>{dwID=28188,nLevel=1,szNote="割据秦宫",col={31,63,255,},[1]={bScreenHead=true,},[2]={},aCataclysmBuff={{szReminder="定 奇穴御侮定身",nPriority=12,col="#1F3FFFFF",colScreenHead="#1F3FFF",nColAlpha=255,bScreenHead=true,},},},</v>
      </c>
    </row>
    <row r="407" spans="3:39" x14ac:dyDescent="0.15">
      <c r="C407">
        <v>11453</v>
      </c>
      <c r="D407">
        <v>1</v>
      </c>
      <c r="K407" t="s">
        <v>451</v>
      </c>
      <c r="L407" t="s">
        <v>2228</v>
      </c>
      <c r="R407">
        <v>1</v>
      </c>
      <c r="AD407" t="s">
        <v>3057</v>
      </c>
      <c r="AE407">
        <v>12</v>
      </c>
      <c r="AF407" t="s">
        <v>2230</v>
      </c>
      <c r="AG407" t="s">
        <v>2231</v>
      </c>
      <c r="AH407">
        <v>255</v>
      </c>
      <c r="AK407">
        <v>1</v>
      </c>
      <c r="AM407" t="str">
        <f t="shared" si="6"/>
        <v>{dwID=11453,nLevel=1,szNote="裁骨",col={31,63,255,},[1]={bScreenHead=true,},[2]={},aCataclysmBuff={{szReminder="晕 奇穴裁骨眩晕",nPriority=12,col="#1F3FFFFF",colScreenHead="#1F3FFF",nColAlpha=255,bScreenHead=true,},},},</v>
      </c>
    </row>
    <row r="408" spans="3:39" x14ac:dyDescent="0.15">
      <c r="C408">
        <v>24364</v>
      </c>
      <c r="D408">
        <v>1</v>
      </c>
      <c r="K408" t="s">
        <v>592</v>
      </c>
      <c r="L408" t="s">
        <v>2228</v>
      </c>
      <c r="R408">
        <v>1</v>
      </c>
      <c r="AD408" t="s">
        <v>3058</v>
      </c>
      <c r="AE408">
        <v>12</v>
      </c>
      <c r="AF408" t="s">
        <v>2230</v>
      </c>
      <c r="AG408" t="s">
        <v>2231</v>
      </c>
      <c r="AH408">
        <v>255</v>
      </c>
      <c r="AK408">
        <v>1</v>
      </c>
      <c r="AM408" t="str">
        <f t="shared" si="6"/>
        <v>{dwID=24364,nLevel=1,szNote="余声",col={31,63,255,},[1]={bScreenHead=true,},[2]={},aCataclysmBuff={{szReminder="晕 奇穴余声眩晕",nPriority=12,col="#1F3FFFFF",colScreenHead="#1F3FFF",nColAlpha=255,bScreenHead=true,},},},</v>
      </c>
    </row>
    <row r="409" spans="3:39" x14ac:dyDescent="0.15">
      <c r="C409">
        <v>11110</v>
      </c>
      <c r="D409">
        <v>1</v>
      </c>
      <c r="K409" t="s">
        <v>443</v>
      </c>
      <c r="L409" t="s">
        <v>2228</v>
      </c>
      <c r="R409">
        <v>1</v>
      </c>
      <c r="AD409" t="s">
        <v>3059</v>
      </c>
      <c r="AE409">
        <v>12</v>
      </c>
      <c r="AF409" t="s">
        <v>2230</v>
      </c>
      <c r="AG409" t="s">
        <v>2231</v>
      </c>
      <c r="AH409">
        <v>255</v>
      </c>
      <c r="AK409">
        <v>1</v>
      </c>
      <c r="AM409" t="str">
        <f t="shared" si="6"/>
        <v>{dwID=11110,nLevel=1,szNote="踏宴扬旗",col={31,63,255,},[1]={bScreenHead=true,},[2]={},aCataclysmBuff={{szReminder="倒 技能踏宴击倒",nPriority=12,col="#1F3FFFFF",colScreenHead="#1F3FFF",nColAlpha=255,bScreenHead=true,},},},</v>
      </c>
    </row>
    <row r="410" spans="3:39" x14ac:dyDescent="0.15">
      <c r="C410">
        <v>27140</v>
      </c>
      <c r="D410">
        <v>1</v>
      </c>
      <c r="K410" t="s">
        <v>3060</v>
      </c>
      <c r="L410" t="s">
        <v>2228</v>
      </c>
      <c r="AD410" t="s">
        <v>3061</v>
      </c>
      <c r="AE410">
        <v>12</v>
      </c>
      <c r="AF410" t="s">
        <v>2230</v>
      </c>
      <c r="AH410">
        <v>255</v>
      </c>
      <c r="AM410" t="str">
        <f t="shared" si="6"/>
        <v>{dwID=27140,nLevel=1,szNote="心境",col={31,63,255,},[1]={},[2]={},aCataclysmBuff={{szReminder="定 奇穴心镜定身",nPriority=12,col="#1F3FFFFF",nColAlpha=255,},},},</v>
      </c>
    </row>
    <row r="411" spans="3:39" x14ac:dyDescent="0.15">
      <c r="C411">
        <v>27240</v>
      </c>
      <c r="D411">
        <v>1</v>
      </c>
      <c r="K411" t="s">
        <v>595</v>
      </c>
      <c r="L411" t="s">
        <v>2228</v>
      </c>
      <c r="AD411" t="s">
        <v>3062</v>
      </c>
      <c r="AE411">
        <v>12</v>
      </c>
      <c r="AF411" t="s">
        <v>2230</v>
      </c>
      <c r="AH411">
        <v>255</v>
      </c>
      <c r="AM411" t="str">
        <f t="shared" si="6"/>
        <v>{dwID=27240,nLevel=1,szNote="渊冰",col={31,63,255,},[1]={},[2]={},aCataclysmBuff={{szReminder="定 奇穴渊冰定身",nPriority=12,col="#1F3FFFFF",nColAlpha=255,},},},</v>
      </c>
    </row>
    <row r="412" spans="3:39" x14ac:dyDescent="0.15">
      <c r="C412">
        <v>11199</v>
      </c>
      <c r="D412">
        <v>1</v>
      </c>
      <c r="K412" t="s">
        <v>446</v>
      </c>
      <c r="L412" t="s">
        <v>2133</v>
      </c>
      <c r="AD412" t="s">
        <v>3063</v>
      </c>
      <c r="AE412">
        <v>13</v>
      </c>
      <c r="AF412" t="s">
        <v>2459</v>
      </c>
      <c r="AH412">
        <v>255</v>
      </c>
      <c r="AM412" t="str">
        <f t="shared" si="6"/>
        <v>{dwID=11199,nLevel=1,szNote="吞楚",col={165,96,232,},[1]={},[2]={},aCataclysmBuff={{szReminder="疗 奇穴吞楚减疗",nPriority=13,col="#A560E8FF",nColAlpha=255,},},},</v>
      </c>
    </row>
    <row r="413" spans="3:39" x14ac:dyDescent="0.15">
      <c r="C413">
        <v>13986</v>
      </c>
      <c r="D413">
        <v>1</v>
      </c>
      <c r="K413" t="s">
        <v>471</v>
      </c>
      <c r="L413" t="s">
        <v>2133</v>
      </c>
      <c r="R413">
        <v>1</v>
      </c>
      <c r="AD413" t="s">
        <v>3064</v>
      </c>
      <c r="AE413">
        <v>3</v>
      </c>
      <c r="AF413" t="s">
        <v>2135</v>
      </c>
      <c r="AG413" t="s">
        <v>2136</v>
      </c>
      <c r="AH413">
        <v>255</v>
      </c>
      <c r="AI413">
        <v>1</v>
      </c>
      <c r="AK413">
        <v>1</v>
      </c>
      <c r="AM413" t="str">
        <f t="shared" si="6"/>
        <v>{dwID=13986,nLevel=1,szNote="无涯",col={165,96,232,},[1]={bScreenHead=true,},[2]={},aCataclysmBuff={{szReminder="关 奇穴无涯隔离",nPriority=3,col="#FF0055FF",colScreenHead="#A560E8",nColAlpha=255,bAttention=true,bScreenHead=true,},},},</v>
      </c>
    </row>
    <row r="414" spans="3:39" x14ac:dyDescent="0.15">
      <c r="C414">
        <v>14091</v>
      </c>
      <c r="D414">
        <v>1</v>
      </c>
      <c r="K414" t="s">
        <v>472</v>
      </c>
      <c r="L414" t="s">
        <v>2133</v>
      </c>
      <c r="R414">
        <v>1</v>
      </c>
      <c r="AD414" t="s">
        <v>3065</v>
      </c>
      <c r="AE414">
        <v>4</v>
      </c>
      <c r="AF414" t="s">
        <v>2135</v>
      </c>
      <c r="AG414" t="s">
        <v>2136</v>
      </c>
      <c r="AH414">
        <v>255</v>
      </c>
      <c r="AI414">
        <v>1</v>
      </c>
      <c r="AJ414">
        <v>1</v>
      </c>
      <c r="AK414">
        <v>1</v>
      </c>
      <c r="AM414" t="str">
        <f t="shared" si="6"/>
        <v>{dwID=14091,nLevel=1,szNote="翔极碧落",col={165,96,232,},[1]={bScreenHead=true,},[2]={},aCataclysmBuff={{szReminder="默 奇穴翔极碧落沉默",nPriority=4,col="#FF0055FF",colScreenHead="#A560E8",nColAlpha=255,bAttention=true,bCaution=true,bScreenHead=true,},},},</v>
      </c>
    </row>
    <row r="415" spans="3:39" x14ac:dyDescent="0.15">
      <c r="C415">
        <v>13917</v>
      </c>
      <c r="D415">
        <v>1</v>
      </c>
      <c r="K415" t="s">
        <v>467</v>
      </c>
      <c r="L415" t="s">
        <v>2133</v>
      </c>
      <c r="R415">
        <v>1</v>
      </c>
      <c r="AD415" t="s">
        <v>3066</v>
      </c>
      <c r="AE415">
        <v>11</v>
      </c>
      <c r="AF415" t="s">
        <v>2135</v>
      </c>
      <c r="AG415" t="s">
        <v>2136</v>
      </c>
      <c r="AH415">
        <v>255</v>
      </c>
      <c r="AK415">
        <v>1</v>
      </c>
      <c r="AM415" t="str">
        <f t="shared" si="6"/>
        <v>{dwID=13917,nLevel=1,szNote="乘龙",col={165,96,232,},[1]={bScreenHead=true,},[2]={},aCataclysmBuff={{szReminder="默 湛然若海沉默",nPriority=11,col="#FF0055FF",colScreenHead="#A560E8",nColAlpha=255,bScreenHead=true,},},},</v>
      </c>
    </row>
    <row r="416" spans="3:39" x14ac:dyDescent="0.15">
      <c r="C416">
        <v>18173</v>
      </c>
      <c r="D416">
        <v>1</v>
      </c>
      <c r="K416" t="s">
        <v>298</v>
      </c>
      <c r="L416" t="s">
        <v>2228</v>
      </c>
      <c r="R416">
        <v>1</v>
      </c>
      <c r="AD416" t="s">
        <v>3067</v>
      </c>
      <c r="AE416">
        <v>12</v>
      </c>
      <c r="AF416" t="s">
        <v>2230</v>
      </c>
      <c r="AG416" t="s">
        <v>2231</v>
      </c>
      <c r="AH416">
        <v>255</v>
      </c>
      <c r="AK416">
        <v>1</v>
      </c>
      <c r="AM416" t="str">
        <f t="shared" si="6"/>
        <v>{dwID=18173,nLevel=1,szNote="飞倾列缺",col={31,63,255,},[1]={bScreenHead=true,},[2]={},aCataclysmBuff={{szReminder="定 奇穴飞倾列缺定身",nPriority=12,col="#1F3FFFFF",colScreenHead="#1F3FFF",nColAlpha=255,bScreenHead=true,},},},</v>
      </c>
    </row>
    <row r="417" spans="3:39" x14ac:dyDescent="0.15">
      <c r="C417">
        <v>15100</v>
      </c>
      <c r="D417">
        <v>1</v>
      </c>
      <c r="K417" t="s">
        <v>411</v>
      </c>
      <c r="L417" t="s">
        <v>2228</v>
      </c>
      <c r="R417">
        <v>1</v>
      </c>
      <c r="AD417" t="s">
        <v>3068</v>
      </c>
      <c r="AE417">
        <v>12</v>
      </c>
      <c r="AF417" t="s">
        <v>2230</v>
      </c>
      <c r="AG417" t="s">
        <v>2231</v>
      </c>
      <c r="AH417">
        <v>255</v>
      </c>
      <c r="AK417">
        <v>1</v>
      </c>
      <c r="AM417" t="str">
        <f t="shared" si="6"/>
        <v>{dwID=15100,nLevel=1,szNote="横绝",col={31,63,255,},[1]={bScreenHead=true,},[2]={},aCataclysmBuff={{szReminder="晕 奇穴横绝眩晕",nPriority=12,col="#1F3FFFFF",colScreenHead="#1F3FFF",nColAlpha=255,bScreenHead=true,},},},</v>
      </c>
    </row>
    <row r="418" spans="3:39" x14ac:dyDescent="0.15">
      <c r="C418">
        <v>14103</v>
      </c>
      <c r="D418">
        <v>1</v>
      </c>
      <c r="K418" t="s">
        <v>473</v>
      </c>
      <c r="L418" t="s">
        <v>2133</v>
      </c>
      <c r="AD418" t="s">
        <v>3069</v>
      </c>
      <c r="AE418">
        <v>13</v>
      </c>
      <c r="AF418" t="s">
        <v>2459</v>
      </c>
      <c r="AH418">
        <v>255</v>
      </c>
      <c r="AM418" t="str">
        <f t="shared" si="6"/>
        <v>{dwID=14103,nLevel=1,szNote="跃潮",col={165,96,232,},[1]={},[2]={},aCataclysmBuff={{szReminder="疗 奇穴跃潮减疗",nPriority=13,col="#A560E8FF",nColAlpha=255,},},},</v>
      </c>
    </row>
    <row r="419" spans="3:39" x14ac:dyDescent="0.15">
      <c r="C419">
        <v>15837</v>
      </c>
      <c r="D419">
        <v>1</v>
      </c>
      <c r="K419" t="s">
        <v>485</v>
      </c>
      <c r="L419" t="s">
        <v>2133</v>
      </c>
      <c r="R419">
        <v>1</v>
      </c>
      <c r="AD419" t="s">
        <v>3070</v>
      </c>
      <c r="AE419">
        <v>4</v>
      </c>
      <c r="AF419" t="s">
        <v>2135</v>
      </c>
      <c r="AG419" t="s">
        <v>2136</v>
      </c>
      <c r="AH419">
        <v>255</v>
      </c>
      <c r="AI419">
        <v>1</v>
      </c>
      <c r="AJ419">
        <v>1</v>
      </c>
      <c r="AK419">
        <v>1</v>
      </c>
      <c r="AM419" t="str">
        <f t="shared" si="6"/>
        <v>{dwID=15837,nLevel=1,szNote="燕歌",col={165,96,232,},[1]={bScreenHead=true,},[2]={},aCataclysmBuff={{szReminder="默 奇穴燕歌沉默",nPriority=4,col="#FF0055FF",colScreenHead="#A560E8",nColAlpha=255,bAttention=true,bCaution=true,bScreenHead=true,},},},</v>
      </c>
    </row>
    <row r="420" spans="3:39" x14ac:dyDescent="0.15">
      <c r="C420">
        <v>15816</v>
      </c>
      <c r="D420">
        <v>1</v>
      </c>
      <c r="K420" t="s">
        <v>484</v>
      </c>
      <c r="L420" t="s">
        <v>2228</v>
      </c>
      <c r="R420">
        <v>1</v>
      </c>
      <c r="AD420" t="s">
        <v>3071</v>
      </c>
      <c r="AE420">
        <v>12</v>
      </c>
      <c r="AF420" t="s">
        <v>2230</v>
      </c>
      <c r="AG420" t="s">
        <v>2231</v>
      </c>
      <c r="AH420">
        <v>255</v>
      </c>
      <c r="AK420">
        <v>1</v>
      </c>
      <c r="AM420" t="str">
        <f t="shared" si="6"/>
        <v>{dwID=15816,nLevel=1,szNote="长绝",col={31,63,255,},[1]={bScreenHead=true,},[2]={},aCataclysmBuff={{szReminder="晕 奇穴长绝眩晕",nPriority=12,col="#1F3FFFFF",colScreenHead="#1F3FFF",nColAlpha=255,bScreenHead=true,},},},</v>
      </c>
    </row>
    <row r="421" spans="3:39" x14ac:dyDescent="0.15">
      <c r="C421">
        <v>16070</v>
      </c>
      <c r="D421">
        <v>1</v>
      </c>
      <c r="K421" t="s">
        <v>489</v>
      </c>
      <c r="L421" t="s">
        <v>2228</v>
      </c>
      <c r="R421">
        <v>1</v>
      </c>
      <c r="AD421" t="s">
        <v>3072</v>
      </c>
      <c r="AE421">
        <v>12</v>
      </c>
      <c r="AF421" t="s">
        <v>2230</v>
      </c>
      <c r="AG421" t="s">
        <v>2231</v>
      </c>
      <c r="AH421">
        <v>255</v>
      </c>
      <c r="AK421">
        <v>1</v>
      </c>
      <c r="AM421" t="str">
        <f t="shared" si="6"/>
        <v>{dwID=16070,nLevel=1,szNote="兵戈",col={31,63,255,},[1]={bScreenHead=true,},[2]={},aCataclysmBuff={{szReminder="晕 奇穴兵戈眩晕",nPriority=12,col="#1F3FFFFF",colScreenHead="#1F3FFF",nColAlpha=255,bScreenHead=true,},},},</v>
      </c>
    </row>
    <row r="422" spans="3:39" x14ac:dyDescent="0.15">
      <c r="C422">
        <v>15557</v>
      </c>
      <c r="D422">
        <v>1</v>
      </c>
      <c r="K422" t="s">
        <v>480</v>
      </c>
      <c r="L422" t="s">
        <v>2228</v>
      </c>
      <c r="AD422" t="s">
        <v>3073</v>
      </c>
      <c r="AE422">
        <v>12</v>
      </c>
      <c r="AF422" t="s">
        <v>2230</v>
      </c>
      <c r="AH422">
        <v>255</v>
      </c>
      <c r="AM422" t="str">
        <f t="shared" si="6"/>
        <v>{dwID=15557,nLevel=1,szNote="骤雨寒江",col={31,63,255,},[1]={},[2]={},aCataclysmBuff={{szReminder="晕 技能骤雨寒江眩晕",nPriority=12,col="#1F3FFFFF",nColAlpha=255,},},},</v>
      </c>
    </row>
    <row r="423" spans="3:39" x14ac:dyDescent="0.15">
      <c r="C423">
        <v>27223</v>
      </c>
      <c r="D423">
        <v>1</v>
      </c>
      <c r="K423" t="s">
        <v>625</v>
      </c>
      <c r="L423" t="s">
        <v>2228</v>
      </c>
      <c r="AD423" t="s">
        <v>3074</v>
      </c>
      <c r="AE423">
        <v>12</v>
      </c>
      <c r="AF423" t="s">
        <v>2230</v>
      </c>
      <c r="AH423">
        <v>255</v>
      </c>
      <c r="AM423" t="str">
        <f t="shared" si="6"/>
        <v>{dwID=27223,nLevel=1,szNote="尘劫",col={31,63,255,},[1]={},[2]={},aCataclysmBuff={{szReminder="晕 奇穴赴尘劫眩晕",nPriority=12,col="#1F3FFFFF",nColAlpha=255,},},},</v>
      </c>
    </row>
    <row r="424" spans="3:39" x14ac:dyDescent="0.15">
      <c r="C424">
        <v>15518</v>
      </c>
      <c r="D424">
        <v>1</v>
      </c>
      <c r="K424" t="s">
        <v>479</v>
      </c>
      <c r="L424" t="s">
        <v>2133</v>
      </c>
      <c r="AD424" t="s">
        <v>3075</v>
      </c>
      <c r="AE424">
        <v>13</v>
      </c>
      <c r="AF424" t="s">
        <v>2459</v>
      </c>
      <c r="AH424">
        <v>255</v>
      </c>
      <c r="AM424" t="str">
        <f t="shared" si="6"/>
        <v>{dwID=15518,nLevel=1,szNote="链接",col={165,96,232,},[1]={},[2]={},aCataclysmBuff={{szReminder="链 技能血覆黄泉链接",nPriority=13,col="#A560E8FF",nColAlpha=255,},},},</v>
      </c>
    </row>
    <row r="425" spans="3:39" x14ac:dyDescent="0.15">
      <c r="C425">
        <v>26995</v>
      </c>
      <c r="D425">
        <v>1</v>
      </c>
      <c r="K425" t="s">
        <v>3076</v>
      </c>
      <c r="L425" t="s">
        <v>2133</v>
      </c>
      <c r="AD425" t="s">
        <v>3077</v>
      </c>
      <c r="AE425">
        <v>13</v>
      </c>
      <c r="AF425" t="s">
        <v>2459</v>
      </c>
      <c r="AH425">
        <v>255</v>
      </c>
      <c r="AM425" t="str">
        <f t="shared" si="6"/>
        <v>{dwID=26995,nLevel=1,szNote="诀狱",col={165,96,232,},[1]={},[2]={},aCataclysmBuff={{szReminder="疗 奇穴无间狱限疗",nPriority=13,col="#A560E8FF",nColAlpha=255,},},},</v>
      </c>
    </row>
    <row r="426" spans="3:39" x14ac:dyDescent="0.15">
      <c r="C426">
        <v>15897</v>
      </c>
      <c r="D426">
        <v>1</v>
      </c>
      <c r="K426" t="s">
        <v>486</v>
      </c>
      <c r="L426" t="s">
        <v>2639</v>
      </c>
      <c r="R426">
        <v>1</v>
      </c>
      <c r="AD426" t="s">
        <v>3078</v>
      </c>
      <c r="AE426">
        <v>14</v>
      </c>
      <c r="AF426" t="s">
        <v>2641</v>
      </c>
      <c r="AG426" t="s">
        <v>2642</v>
      </c>
      <c r="AH426">
        <v>255</v>
      </c>
      <c r="AK426">
        <v>1</v>
      </c>
      <c r="AM426" t="str">
        <f t="shared" si="6"/>
        <v>{dwID=15897,nLevel=1,szNote="横云意",col={255,153,204,},[1]={bScreenHead=true,},[2]={},aCataclysmBuff={{szReminder="横 奇穴横云意束缚",nPriority=14,col="#FF99CCFF",colScreenHead="#FF99CC",nColAlpha=255,bScreenHead=true,},},},</v>
      </c>
    </row>
    <row r="427" spans="3:39" x14ac:dyDescent="0.15">
      <c r="C427">
        <v>16448</v>
      </c>
      <c r="D427">
        <v>1</v>
      </c>
      <c r="K427" t="s">
        <v>481</v>
      </c>
      <c r="L427" t="s">
        <v>2120</v>
      </c>
      <c r="AD427" t="s">
        <v>3079</v>
      </c>
      <c r="AE427">
        <v>11</v>
      </c>
      <c r="AF427" t="s">
        <v>2123</v>
      </c>
      <c r="AH427">
        <v>255</v>
      </c>
      <c r="AM427" t="str">
        <f t="shared" si="6"/>
        <v>{dwID=16448,nLevel=1,szNote="嵬崖",col={179,238,58,},[1]={},[2]={},aCataclysmBuff={{szReminder="免 血覆黄泉免疫控制",nPriority=11,col="#B3EE3AFF",nColAlpha=255,},},},</v>
      </c>
    </row>
    <row r="428" spans="3:39" x14ac:dyDescent="0.15">
      <c r="C428">
        <v>15749</v>
      </c>
      <c r="D428">
        <v>2</v>
      </c>
      <c r="H428">
        <v>1</v>
      </c>
      <c r="K428" t="s">
        <v>483</v>
      </c>
      <c r="L428" t="s">
        <v>2120</v>
      </c>
      <c r="R428">
        <v>1</v>
      </c>
      <c r="AD428" t="s">
        <v>2703</v>
      </c>
      <c r="AE428">
        <v>11</v>
      </c>
      <c r="AF428" t="s">
        <v>2123</v>
      </c>
      <c r="AG428" t="s">
        <v>2130</v>
      </c>
      <c r="AH428">
        <v>255</v>
      </c>
      <c r="AK428">
        <v>1</v>
      </c>
      <c r="AM428" t="str">
        <f t="shared" si="6"/>
        <v>{dwID=15749,nLevel=2,bCheckLevel=true,szNote="乱天狼",col={179,238,58,},[1]={bScreenHead=true,},[2]={},aCataclysmBuff={{szReminder="免 乱天狼锁面向免控",nPriority=11,col="#B3EE3AFF",colScreenHead="#B3EE3A",nColAlpha=255,bScreenHead=true,},},},</v>
      </c>
    </row>
    <row r="429" spans="3:39" x14ac:dyDescent="0.15">
      <c r="C429">
        <v>16362</v>
      </c>
      <c r="D429">
        <v>1</v>
      </c>
      <c r="K429" t="s">
        <v>285</v>
      </c>
      <c r="L429" t="s">
        <v>2228</v>
      </c>
      <c r="AD429" t="s">
        <v>3080</v>
      </c>
      <c r="AE429">
        <v>15</v>
      </c>
      <c r="AF429" t="s">
        <v>2230</v>
      </c>
      <c r="AH429">
        <v>255</v>
      </c>
      <c r="AM429" t="str">
        <f t="shared" si="6"/>
        <v>{dwID=16362,nLevel=1,szNote="幽冥",col={31,63,255,},[1]={},[2]={},aCataclysmBuff={{szReminder="定 幽冥窥月锁足",nPriority=15,col="#1F3FFFFF",nColAlpha=255,},},},</v>
      </c>
    </row>
    <row r="430" spans="3:39" x14ac:dyDescent="0.15">
      <c r="C430">
        <v>21348</v>
      </c>
      <c r="D430">
        <v>1</v>
      </c>
      <c r="K430" t="s">
        <v>556</v>
      </c>
      <c r="L430" t="s">
        <v>2639</v>
      </c>
      <c r="R430">
        <v>1</v>
      </c>
      <c r="AD430" t="s">
        <v>2704</v>
      </c>
      <c r="AE430">
        <v>14</v>
      </c>
      <c r="AF430" t="s">
        <v>2641</v>
      </c>
      <c r="AG430" t="s">
        <v>2642</v>
      </c>
      <c r="AH430">
        <v>255</v>
      </c>
      <c r="AK430">
        <v>1</v>
      </c>
      <c r="AM430" t="str">
        <f t="shared" si="6"/>
        <v>{dwID=21348,nLevel=1,szNote="枭影·引爆",col={255,153,204,},[1]={bScreenHead=true,},[2]={},aCataclysmBuff={{szReminder="换 奇穴链魂互换属性",nPriority=14,col="#FF99CCFF",colScreenHead="#FF99CC",nColAlpha=255,bScreenHead=true,},},},</v>
      </c>
    </row>
    <row r="431" spans="3:39" x14ac:dyDescent="0.15">
      <c r="C431">
        <v>24438</v>
      </c>
      <c r="D431">
        <v>1</v>
      </c>
      <c r="I431">
        <v>1</v>
      </c>
      <c r="K431" t="s">
        <v>597</v>
      </c>
      <c r="L431" t="s">
        <v>2639</v>
      </c>
      <c r="R431">
        <v>1</v>
      </c>
      <c r="AC431">
        <v>1</v>
      </c>
      <c r="AD431" t="s">
        <v>3081</v>
      </c>
      <c r="AE431">
        <v>14</v>
      </c>
      <c r="AF431" t="s">
        <v>2641</v>
      </c>
      <c r="AG431" t="s">
        <v>2642</v>
      </c>
      <c r="AH431">
        <v>255</v>
      </c>
      <c r="AK431">
        <v>1</v>
      </c>
      <c r="AM431" t="str">
        <f t="shared" si="6"/>
        <v>{dwID=24438,nLevel=1,nScrutinyType=1,szNote="威刑",col={255,153,204,},[1]={bScreenHead=true,},[2]={},aCataclysmBuff={{bOnlyMe=true,szReminder="刑 奇穴尽荒狱结束后禁锢",nPriority=14,col="#FF99CCFF",colScreenHead="#FF99CC",nColAlpha=255,bScreenHead=true,},},},</v>
      </c>
    </row>
    <row r="432" spans="3:39" x14ac:dyDescent="0.15">
      <c r="C432">
        <v>24450</v>
      </c>
      <c r="D432">
        <v>1</v>
      </c>
      <c r="K432" t="s">
        <v>598</v>
      </c>
      <c r="L432" t="s">
        <v>2639</v>
      </c>
      <c r="R432">
        <v>1</v>
      </c>
      <c r="AD432" t="s">
        <v>3082</v>
      </c>
      <c r="AE432">
        <v>14</v>
      </c>
      <c r="AF432" t="s">
        <v>2641</v>
      </c>
      <c r="AG432" t="s">
        <v>2642</v>
      </c>
      <c r="AH432">
        <v>255</v>
      </c>
      <c r="AK432">
        <v>1</v>
      </c>
      <c r="AM432" t="str">
        <f t="shared" si="6"/>
        <v>{dwID=24450,nLevel=1,szNote="罚罪狱",col={255,153,204,},[1]={bScreenHead=true,},[2]={},aCataclysmBuff={{szReminder="锢 奇穴尽荒狱禁锢锁足",nPriority=14,col="#FF99CCFF",colScreenHead="#FF99CC",nColAlpha=255,bScreenHead=true,},},},</v>
      </c>
    </row>
    <row r="433" spans="3:39" x14ac:dyDescent="0.15">
      <c r="C433">
        <v>21097</v>
      </c>
      <c r="D433">
        <v>1</v>
      </c>
      <c r="K433" t="s">
        <v>551</v>
      </c>
      <c r="L433" t="s">
        <v>2115</v>
      </c>
      <c r="R433">
        <v>1</v>
      </c>
      <c r="AD433" t="s">
        <v>3083</v>
      </c>
      <c r="AE433">
        <v>2</v>
      </c>
      <c r="AF433" t="s">
        <v>2117</v>
      </c>
      <c r="AG433" t="s">
        <v>2132</v>
      </c>
      <c r="AH433">
        <v>255</v>
      </c>
      <c r="AK433">
        <v>1</v>
      </c>
      <c r="AM433" t="str">
        <f t="shared" si="6"/>
        <v>{dwID=21097,nLevel=1,szNote="神占·山艮",col={255,204,0,},[1]={bScreenHead=true,},[2]={},aCataclysmBuff={{szReminder="变 奇穴神占山卦变形无敌",nPriority=2,col="#FFCC00FF",colScreenHead="#FFCC00",nColAlpha=255,bScreenHead=true,},},},</v>
      </c>
    </row>
    <row r="434" spans="3:39" x14ac:dyDescent="0.15">
      <c r="C434">
        <v>17647</v>
      </c>
      <c r="D434">
        <v>1</v>
      </c>
      <c r="K434" t="s">
        <v>512</v>
      </c>
      <c r="L434" t="s">
        <v>2133</v>
      </c>
      <c r="R434">
        <v>1</v>
      </c>
      <c r="AD434" t="s">
        <v>3084</v>
      </c>
      <c r="AE434">
        <v>3</v>
      </c>
      <c r="AF434" t="s">
        <v>2135</v>
      </c>
      <c r="AG434" t="s">
        <v>2136</v>
      </c>
      <c r="AH434">
        <v>255</v>
      </c>
      <c r="AI434">
        <v>1</v>
      </c>
      <c r="AJ434">
        <v>1</v>
      </c>
      <c r="AK434">
        <v>1</v>
      </c>
      <c r="AM434" t="str">
        <f t="shared" si="6"/>
        <v>{dwID=17647,nLevel=1,szNote="鸿蒙天禁",col={165,96,232,},[1]={bScreenHead=true,},[2]={},aCataclysmBuff={{szReminder="关 技能鸿蒙天禁隔离",nPriority=3,col="#FF0055FF",colScreenHead="#A560E8",nColAlpha=255,bAttention=true,bCaution=true,bScreenHead=true,},},},</v>
      </c>
    </row>
    <row r="435" spans="3:39" x14ac:dyDescent="0.15">
      <c r="C435">
        <v>17974</v>
      </c>
      <c r="D435">
        <v>1</v>
      </c>
      <c r="K435" t="s">
        <v>520</v>
      </c>
      <c r="L435" t="s">
        <v>2133</v>
      </c>
      <c r="R435">
        <v>1</v>
      </c>
      <c r="AD435" t="s">
        <v>3085</v>
      </c>
      <c r="AE435">
        <v>4</v>
      </c>
      <c r="AF435" t="s">
        <v>2135</v>
      </c>
      <c r="AG435" t="s">
        <v>2136</v>
      </c>
      <c r="AH435">
        <v>255</v>
      </c>
      <c r="AJ435">
        <v>1</v>
      </c>
      <c r="AK435">
        <v>1</v>
      </c>
      <c r="AM435" t="str">
        <f t="shared" si="6"/>
        <v>{dwID=17974,nLevel=1,szNote="皆",col={165,96,232,},[1]={bScreenHead=true,},[2]={},aCataclysmBuff={{szReminder="封 奇穴神皆寂封内",nPriority=4,col="#FF0055FF",colScreenHead="#A560E8",nColAlpha=255,bCaution=true,bScreenHead=true,},},},</v>
      </c>
    </row>
    <row r="436" spans="3:39" x14ac:dyDescent="0.15">
      <c r="C436">
        <v>17585</v>
      </c>
      <c r="D436">
        <v>1</v>
      </c>
      <c r="K436" t="s">
        <v>510</v>
      </c>
      <c r="L436" t="s">
        <v>2120</v>
      </c>
      <c r="R436">
        <v>1</v>
      </c>
      <c r="AD436" t="s">
        <v>2705</v>
      </c>
      <c r="AE436">
        <v>11</v>
      </c>
      <c r="AF436" t="s">
        <v>2123</v>
      </c>
      <c r="AG436" t="s">
        <v>2130</v>
      </c>
      <c r="AH436">
        <v>255</v>
      </c>
      <c r="AK436">
        <v>1</v>
      </c>
      <c r="AM436" t="str">
        <f t="shared" si="6"/>
        <v>{dwID=17585,nLevel=1,szNote="踏星行",col={179,238,58,},[1]={bScreenHead=true,},[2]={},aCataclysmBuff={{szReminder="踏 技能踏星行降被命中",nPriority=11,col="#B3EE3AFF",colScreenHead="#B3EE3A",nColAlpha=255,bScreenHead=true,},},},</v>
      </c>
    </row>
    <row r="437" spans="3:39" x14ac:dyDescent="0.15">
      <c r="C437">
        <v>17583</v>
      </c>
      <c r="D437">
        <v>1</v>
      </c>
      <c r="K437" t="s">
        <v>509</v>
      </c>
      <c r="L437" t="s">
        <v>2228</v>
      </c>
      <c r="R437">
        <v>1</v>
      </c>
      <c r="AD437" t="s">
        <v>3086</v>
      </c>
      <c r="AE437">
        <v>12</v>
      </c>
      <c r="AF437" t="s">
        <v>2230</v>
      </c>
      <c r="AG437" t="s">
        <v>2231</v>
      </c>
      <c r="AH437">
        <v>255</v>
      </c>
      <c r="AK437">
        <v>1</v>
      </c>
      <c r="AM437" t="str">
        <f t="shared" si="6"/>
        <v>{dwID=17583,nLevel=1,szNote="者",col={31,63,255,},[1]={bScreenHead=true,},[2]={},aCataclysmBuff={{szReminder="定 技能往者定定身",nPriority=12,col="#1F3FFFFF",colScreenHead="#1F3FFF",nColAlpha=255,bScreenHead=true,},},},</v>
      </c>
    </row>
    <row r="438" spans="3:39" x14ac:dyDescent="0.15">
      <c r="C438">
        <v>18004</v>
      </c>
      <c r="D438">
        <v>1</v>
      </c>
      <c r="K438" t="s">
        <v>521</v>
      </c>
      <c r="L438" t="s">
        <v>2133</v>
      </c>
      <c r="AD438" t="s">
        <v>3087</v>
      </c>
      <c r="AE438">
        <v>13</v>
      </c>
      <c r="AF438" t="s">
        <v>2459</v>
      </c>
      <c r="AH438">
        <v>255</v>
      </c>
      <c r="AM438" t="str">
        <f t="shared" si="6"/>
        <v>{dwID=18004,nLevel=1,szNote="休囚",col={165,96,232,},[1]={},[2]={},aCataclysmBuff={{szReminder="疗 奇穴休囚减疗",nPriority=13,col="#A560E8FF",nColAlpha=255,},},},</v>
      </c>
    </row>
    <row r="439" spans="3:39" x14ac:dyDescent="0.15">
      <c r="C439">
        <v>17605</v>
      </c>
      <c r="D439">
        <v>1</v>
      </c>
      <c r="K439" t="s">
        <v>511</v>
      </c>
      <c r="L439" t="s">
        <v>2639</v>
      </c>
      <c r="AD439" t="s">
        <v>3088</v>
      </c>
      <c r="AE439">
        <v>14</v>
      </c>
      <c r="AF439" t="s">
        <v>2641</v>
      </c>
      <c r="AH439">
        <v>255</v>
      </c>
      <c r="AM439" t="str">
        <f t="shared" si="6"/>
        <v>{dwID=17605,nLevel=1,szNote="祝由·火离",col={255,153,204,},[1]={},[2]={},aCataclysmBuff={{szReminder="火 技能火卦dot",nPriority=14,col="#FF99CCFF",nColAlpha=255,},},},</v>
      </c>
    </row>
    <row r="440" spans="3:39" x14ac:dyDescent="0.15">
      <c r="C440">
        <v>18423</v>
      </c>
      <c r="D440">
        <v>1</v>
      </c>
      <c r="K440" t="s">
        <v>530</v>
      </c>
      <c r="L440" t="s">
        <v>2639</v>
      </c>
      <c r="AD440" t="s">
        <v>3089</v>
      </c>
      <c r="AE440">
        <v>14</v>
      </c>
      <c r="AF440" t="s">
        <v>2641</v>
      </c>
      <c r="AH440">
        <v>255</v>
      </c>
      <c r="AM440" t="str">
        <f t="shared" si="6"/>
        <v>{dwID=18423,nLevel=1,szNote="增卜",col={255,153,204,},[1]={},[2]={},aCataclysmBuff={{szReminder="卜 奇穴增卜层数",nPriority=14,col="#FF99CCFF",nColAlpha=255,},},},</v>
      </c>
    </row>
    <row r="441" spans="3:39" x14ac:dyDescent="0.15">
      <c r="C441">
        <v>24427</v>
      </c>
      <c r="D441">
        <v>1</v>
      </c>
      <c r="E441">
        <v>5</v>
      </c>
      <c r="K441" t="s">
        <v>596</v>
      </c>
      <c r="L441" t="s">
        <v>2639</v>
      </c>
      <c r="Z441">
        <v>5</v>
      </c>
      <c r="AA441" t="s">
        <v>2121</v>
      </c>
      <c r="AD441" t="s">
        <v>3090</v>
      </c>
      <c r="AE441">
        <v>14</v>
      </c>
      <c r="AF441" t="s">
        <v>2641</v>
      </c>
      <c r="AH441">
        <v>255</v>
      </c>
      <c r="AL441" t="s">
        <v>3091</v>
      </c>
      <c r="AM441" t="str">
        <f t="shared" si="6"/>
        <v>{dwID=24427,nLevel=1,nCount=5,szNote="灼痕",col={255,153,204,},[1]={},[2]={},aCataclysmBuff={{nStackNum=5,szStackOp="&gt;=",szReminder="灼 奇穴逆火损失体质",nPriority=14,col="#FF99CCFF",nColAlpha=255,},{szStackOp="&gt;=",nStackNum=1,szReminder="灼 奇穴逆火损失体质",nPriority=15,nColAlpha=255,col="#FF99CCFF",},},},</v>
      </c>
    </row>
    <row r="442" spans="3:39" x14ac:dyDescent="0.15">
      <c r="C442">
        <v>26063</v>
      </c>
      <c r="D442">
        <v>1</v>
      </c>
      <c r="K442" t="s">
        <v>612</v>
      </c>
      <c r="L442" t="s">
        <v>2639</v>
      </c>
      <c r="R442">
        <v>1</v>
      </c>
      <c r="AD442" t="s">
        <v>3092</v>
      </c>
      <c r="AE442">
        <v>14</v>
      </c>
      <c r="AF442" t="s">
        <v>2641</v>
      </c>
      <c r="AG442" t="s">
        <v>2642</v>
      </c>
      <c r="AH442">
        <v>255</v>
      </c>
      <c r="AK442">
        <v>1</v>
      </c>
      <c r="AM442" t="str">
        <f t="shared" si="6"/>
        <v>{dwID=26063,nLevel=1,szNote="荧惑守心",col={255,153,204,},[1]={bScreenHead=true,},[2]={},aCataclysmBuff={{szReminder="荧 奇穴荧惑守心前置",nPriority=14,col="#FF99CCFF",colScreenHead="#FF99CC",nColAlpha=255,bScreenHead=true,},},},</v>
      </c>
    </row>
    <row r="443" spans="3:39" x14ac:dyDescent="0.15">
      <c r="C443">
        <v>17581</v>
      </c>
      <c r="D443">
        <v>1</v>
      </c>
      <c r="K443" t="s">
        <v>3093</v>
      </c>
      <c r="L443" t="s">
        <v>2228</v>
      </c>
      <c r="R443">
        <v>1</v>
      </c>
      <c r="AD443" t="s">
        <v>3094</v>
      </c>
      <c r="AE443">
        <v>14</v>
      </c>
      <c r="AF443" t="s">
        <v>2230</v>
      </c>
      <c r="AG443" t="s">
        <v>2231</v>
      </c>
      <c r="AH443">
        <v>255</v>
      </c>
      <c r="AK443">
        <v>1</v>
      </c>
      <c r="AM443" t="str">
        <f t="shared" si="6"/>
        <v>{dwID=17581,nLevel=1,szNote="往者定",col={31,63,255,},[1]={bScreenHead=true,},[2]={},aCataclysmBuff={{szReminder="滞 移动速度降低70%/80%/90%",nPriority=14,col="#1F3FFFFF",colScreenHead="#1F3FFF",nColAlpha=255,bScreenHead=true,},},},</v>
      </c>
    </row>
    <row r="444" spans="3:39" x14ac:dyDescent="0.15">
      <c r="C444">
        <v>18223</v>
      </c>
      <c r="D444">
        <v>1</v>
      </c>
      <c r="K444" t="s">
        <v>529</v>
      </c>
      <c r="L444" t="s">
        <v>2228</v>
      </c>
      <c r="AD444" t="s">
        <v>3095</v>
      </c>
      <c r="AE444">
        <v>15</v>
      </c>
      <c r="AF444" t="s">
        <v>2230</v>
      </c>
      <c r="AH444">
        <v>255</v>
      </c>
      <c r="AM444" t="str">
        <f t="shared" si="6"/>
        <v>{dwID=18223,nLevel=1,szNote="奇门飞宫",col={31,63,255,},[1]={},[2]={},aCataclysmBuff={{szReminder="定 魂灯锁足效果",nPriority=15,col="#1F3FFFFF",nColAlpha=255,},},},</v>
      </c>
    </row>
    <row r="445" spans="3:39" x14ac:dyDescent="0.15">
      <c r="C445">
        <v>18207</v>
      </c>
      <c r="D445">
        <v>1</v>
      </c>
      <c r="K445" t="s">
        <v>528</v>
      </c>
      <c r="L445" t="s">
        <v>2228</v>
      </c>
      <c r="AD445" t="s">
        <v>3096</v>
      </c>
      <c r="AE445">
        <v>12</v>
      </c>
      <c r="AF445" t="s">
        <v>2230</v>
      </c>
      <c r="AH445">
        <v>255</v>
      </c>
      <c r="AM445" t="str">
        <f t="shared" si="6"/>
        <v>{dwID=18207,nLevel=1,szNote="鬼星开穴",col={31,63,255,},[1]={},[2]={},aCataclysmBuff={{szReminder="滞 移动速度降低80%",nPriority=12,col="#1F3FFFFF",nColAlpha=255,},},},</v>
      </c>
    </row>
    <row r="446" spans="3:39" x14ac:dyDescent="0.15">
      <c r="C446">
        <v>26065</v>
      </c>
      <c r="D446">
        <v>1</v>
      </c>
      <c r="K446" t="s">
        <v>560</v>
      </c>
      <c r="L446" t="s">
        <v>2639</v>
      </c>
      <c r="AD446" t="s">
        <v>3097</v>
      </c>
      <c r="AE446">
        <v>14</v>
      </c>
      <c r="AF446" t="s">
        <v>2641</v>
      </c>
      <c r="AH446">
        <v>255</v>
      </c>
      <c r="AM446" t="str">
        <f t="shared" si="6"/>
        <v>{dwID=26065,nLevel=1,szNote="流火",col={255,153,204,},[1]={},[2]={},aCataclysmBuff={{szReminder="流 奇穴荧惑守心禁增益",nPriority=14,col="#FF99CCFF",nColAlpha=255,},},},</v>
      </c>
    </row>
    <row r="447" spans="3:39" x14ac:dyDescent="0.15">
      <c r="C447">
        <v>20719</v>
      </c>
      <c r="D447">
        <v>1</v>
      </c>
      <c r="K447" t="s">
        <v>543</v>
      </c>
      <c r="L447" t="s">
        <v>2847</v>
      </c>
      <c r="R447">
        <v>1</v>
      </c>
      <c r="AD447" t="s">
        <v>3098</v>
      </c>
      <c r="AE447">
        <v>3</v>
      </c>
      <c r="AF447" t="s">
        <v>2849</v>
      </c>
      <c r="AG447" t="s">
        <v>2850</v>
      </c>
      <c r="AH447">
        <v>255</v>
      </c>
      <c r="AI447">
        <v>1</v>
      </c>
      <c r="AK447">
        <v>1</v>
      </c>
      <c r="AM447" t="str">
        <f t="shared" si="6"/>
        <v>{dwID=20719,nLevel=1,szNote="荡襟",col={170,170,170,},[1]={bScreenHead=true,},[2]={},aCataclysmBuff={{szReminder="禁 无方奇穴荡襟禁疗",nPriority=3,col="#AAAAAAFF",colScreenHead="#AAAAAA",nColAlpha=255,bAttention=true,bScreenHead=true,},},},</v>
      </c>
    </row>
    <row r="448" spans="3:39" x14ac:dyDescent="0.15">
      <c r="C448">
        <v>20060</v>
      </c>
      <c r="D448">
        <v>1</v>
      </c>
      <c r="K448" t="s">
        <v>536</v>
      </c>
      <c r="L448" t="s">
        <v>2133</v>
      </c>
      <c r="R448">
        <v>1</v>
      </c>
      <c r="AD448" t="s">
        <v>3099</v>
      </c>
      <c r="AE448">
        <v>4</v>
      </c>
      <c r="AF448" t="s">
        <v>2135</v>
      </c>
      <c r="AG448" t="s">
        <v>2136</v>
      </c>
      <c r="AH448">
        <v>255</v>
      </c>
      <c r="AJ448">
        <v>1</v>
      </c>
      <c r="AK448">
        <v>1</v>
      </c>
      <c r="AM448" t="str">
        <f t="shared" si="6"/>
        <v>{dwID=20060,nLevel=1,szNote="且待时休",col={165,96,232,},[1]={bScreenHead=true,},[2]={},aCataclysmBuff={{szReminder="默 无方技能且待时休毒性沉默",nPriority=4,col="#FF0055FF",colScreenHead="#A560E8",nColAlpha=255,bCaution=true,bScreenHead=true,},},},</v>
      </c>
    </row>
    <row r="449" spans="3:39" x14ac:dyDescent="0.15">
      <c r="C449">
        <v>20666</v>
      </c>
      <c r="D449">
        <v>1</v>
      </c>
      <c r="K449" t="s">
        <v>536</v>
      </c>
      <c r="L449" t="s">
        <v>2120</v>
      </c>
      <c r="R449">
        <v>1</v>
      </c>
      <c r="AD449" t="s">
        <v>2706</v>
      </c>
      <c r="AE449">
        <v>4</v>
      </c>
      <c r="AF449" t="s">
        <v>2123</v>
      </c>
      <c r="AG449" t="s">
        <v>2130</v>
      </c>
      <c r="AH449">
        <v>255</v>
      </c>
      <c r="AJ449">
        <v>1</v>
      </c>
      <c r="AK449">
        <v>1</v>
      </c>
      <c r="AM449" t="str">
        <f t="shared" si="6"/>
        <v>{dwID=20666,nLevel=1,szNote="且待时休",col={179,238,58,},[1]={bScreenHead=true,},[2]={},aCataclysmBuff={{szReminder="免 且待时休免控（击退和被拉除外）",nPriority=4,col="#B3EE3AFF",colScreenHead="#B3EE3A",nColAlpha=255,bCaution=true,bScreenHead=true,},},},</v>
      </c>
    </row>
    <row r="450" spans="3:39" x14ac:dyDescent="0.15">
      <c r="C450">
        <v>21743</v>
      </c>
      <c r="D450">
        <v>1</v>
      </c>
      <c r="K450" t="s">
        <v>536</v>
      </c>
      <c r="L450" t="s">
        <v>2133</v>
      </c>
      <c r="R450">
        <v>1</v>
      </c>
      <c r="AD450" t="s">
        <v>3100</v>
      </c>
      <c r="AE450">
        <v>11</v>
      </c>
      <c r="AF450" t="s">
        <v>2135</v>
      </c>
      <c r="AG450" t="s">
        <v>2136</v>
      </c>
      <c r="AH450">
        <v>255</v>
      </c>
      <c r="AJ450">
        <v>1</v>
      </c>
      <c r="AK450">
        <v>1</v>
      </c>
      <c r="AM450" t="str">
        <f t="shared" ref="AM450:AM513" si="7">IF(B450&lt;&gt;"",IF(IFERROR(VALUE(C449),0)&lt;=0,"["&amp;B450&amp;"]={","},["&amp;B450&amp;"]={"),IF(C450&gt;0,"{dwID="&amp;C450&amp;","&amp;"nLevel="&amp;D450&amp;","&amp;IF(E450&gt;0,"nCount="&amp;E450&amp;",","")&amp;IF(F450&gt;0,"nIcon="&amp;F450&amp;",","")&amp;IF(G450&lt;&gt;"","szName="""&amp;G450&amp;""",","")&amp;IF(H450&gt;0,"bCheckLevel=true,","")&amp;IF(I450&gt;0,"nScrutinyType="&amp;I450&amp;",","")&amp;IF(J450&lt;&gt;"","tKungFu={"&amp;J450&amp;"},","")&amp;IF(K450&lt;&gt;"","szNote="""&amp;K450&amp;""",","")&amp;IF(L450&lt;&gt;"","col={"&amp;L450&amp;"},","")&amp;"[1]={"&amp;IF(M450&lt;&gt;"","tMark={"&amp;M450&amp;"},","")&amp;IF(N450&lt;&gt;"","szVoice="""&amp;N450&amp;""",","")&amp;IF(O450&gt;0,"bCheckLevel=true,","")&amp;IF(P450&gt;0,"bWhisperChannel=true,","")&amp;IF(Q450&gt;0,"bCenterAlarm=true,","")&amp;IF(R450&gt;0,"bScreenHead=true,","")&amp;IF(S450&gt;0,"bPartyBuffList=true,","")&amp;IF(T450&gt;0,"bBuffList=true,","")&amp;IF(U450&gt;0,"bTeamPanel=true,","")&amp;IF(V450&gt;0,"bOnlySelfSrc=true,","")&amp;"},"&amp;"[2]={"&amp;IF(W450&gt;0,"bCheckLevel=true,","")&amp;IF(X450&gt;0,"bWhisperChannel=true,","")&amp;IF(Y450&gt;0,"bCenterAlarm=true,","")&amp;"},"&amp;IF(OR(Z450&gt;0,AD450&lt;&gt;"",AE450&gt;0,AF450&lt;&gt;"",AG450&lt;&gt;"",AH450&gt;0,AI450&gt;0,AJ450&gt;0,AK450&gt;0),"aCataclysmBuff={{"&amp;IF(Z450&gt;0,"nStackNum="&amp;Z450&amp;",","")&amp;IF(AA450&lt;&gt;"","szStackOp="""&amp;AA450&amp;""",","")&amp;IF(AB450&gt;0,"bOnlyMine=true,","")&amp;IF(AC450&gt;0,"bOnlyMe=true,","")&amp;IF(AD450&lt;&gt;"","szReminder="""&amp;AD450&amp;""",","")&amp;IF(AE450&gt;0,"nPriority="&amp;AE450&amp;",","")&amp;IF(AF450&lt;&gt;"","col="""&amp;AF450&amp;""",","")&amp;IF(AG450&lt;&gt;"","colScreenHead="""&amp;AG450&amp;""",","")&amp;IF(AH450&gt;0,"nColAlpha="&amp;AH450&amp;",","")&amp;IF(AI450&gt;0,"bAttention=true,","")&amp;IF(AJ450&gt;0,"bCaution=true,","")&amp;IF(AK450&gt;0,"bScreenHead=true,","")&amp;"},"&amp;AL450&amp;"},","")&amp;IF(AN450&lt;&gt;"","tCountdown={"&amp;_xlfn.TEXTJOIN("",TRUE,AN450:ZY450)&amp;"},","")&amp;"},",IF(C449&gt;0,"},","")&amp;IF(AND(B450="",C450="",OR(B449&lt;&gt;"",C449&lt;&gt;"")),"},}","")))</f>
        <v>{dwID=21743,nLevel=1,szNote="且待时休",col={165,96,232,},[1]={bScreenHead=true,},[2]={},aCataclysmBuff={{szReminder="默 无方技能且待时休沉默",nPriority=11,col="#FF0055FF",colScreenHead="#A560E8",nColAlpha=255,bCaution=true,bScreenHead=true,},},},</v>
      </c>
    </row>
    <row r="451" spans="3:39" x14ac:dyDescent="0.15">
      <c r="C451">
        <v>21202</v>
      </c>
      <c r="D451">
        <v>1</v>
      </c>
      <c r="K451" t="s">
        <v>554</v>
      </c>
      <c r="L451" t="s">
        <v>2120</v>
      </c>
      <c r="AD451" t="s">
        <v>3101</v>
      </c>
      <c r="AE451">
        <v>11</v>
      </c>
      <c r="AF451" t="s">
        <v>2123</v>
      </c>
      <c r="AH451">
        <v>255</v>
      </c>
      <c r="AM451" t="str">
        <f t="shared" si="7"/>
        <v>{dwID=21202,nLevel=1,szNote="当归四逆",col={179,238,58,},[1]={},[2]={},aCataclysmBuff={{szReminder="减 灵素奇穴妒茵减伤",nPriority=11,col="#B3EE3AFF",nColAlpha=255,},},},</v>
      </c>
    </row>
    <row r="452" spans="3:39" x14ac:dyDescent="0.15">
      <c r="C452">
        <v>20659</v>
      </c>
      <c r="D452">
        <v>1</v>
      </c>
      <c r="K452" t="s">
        <v>542</v>
      </c>
      <c r="L452" t="s">
        <v>2228</v>
      </c>
      <c r="AD452" t="s">
        <v>3102</v>
      </c>
      <c r="AE452">
        <v>12</v>
      </c>
      <c r="AF452" t="s">
        <v>2230</v>
      </c>
      <c r="AH452">
        <v>255</v>
      </c>
      <c r="AM452" t="str">
        <f t="shared" si="7"/>
        <v>{dwID=20659,nLevel=1,szNote="沾衣未妨",col={31,63,255,},[1]={},[2]={},aCataclysmBuff={{szReminder="定 无方技能沾衣未妨定身",nPriority=12,col="#1F3FFFFF",nColAlpha=255,},},},</v>
      </c>
    </row>
    <row r="453" spans="3:39" x14ac:dyDescent="0.15">
      <c r="C453">
        <v>20040</v>
      </c>
      <c r="D453">
        <v>1</v>
      </c>
      <c r="K453" t="s">
        <v>534</v>
      </c>
      <c r="L453" t="s">
        <v>2228</v>
      </c>
      <c r="AD453" t="s">
        <v>3103</v>
      </c>
      <c r="AE453">
        <v>12</v>
      </c>
      <c r="AF453" t="s">
        <v>2230</v>
      </c>
      <c r="AH453">
        <v>255</v>
      </c>
      <c r="AM453" t="str">
        <f t="shared" si="7"/>
        <v>{dwID=20040,nLevel=1,szNote="惊鸿掠水",col={31,63,255,},[1]={},[2]={},aCataclysmBuff={{szReminder="定 技能惊鸿掠水定身",nPriority=12,col="#1F3FFFFF",nColAlpha=255,},},},</v>
      </c>
    </row>
    <row r="454" spans="3:39" x14ac:dyDescent="0.15">
      <c r="C454">
        <v>27039</v>
      </c>
      <c r="D454">
        <v>1</v>
      </c>
      <c r="K454" t="s">
        <v>562</v>
      </c>
      <c r="L454" t="s">
        <v>2228</v>
      </c>
      <c r="AD454" t="s">
        <v>3104</v>
      </c>
      <c r="AE454">
        <v>12</v>
      </c>
      <c r="AF454" t="s">
        <v>2230</v>
      </c>
      <c r="AH454">
        <v>255</v>
      </c>
      <c r="AM454" t="str">
        <f t="shared" si="7"/>
        <v>{dwID=27039,nLevel=1,szNote="荆障",col={31,63,255,},[1]={},[2]={},aCataclysmBuff={{szReminder="定 无方奇穴荆障定身",nPriority=12,col="#1F3FFFFF",nColAlpha=255,},},},</v>
      </c>
    </row>
    <row r="455" spans="3:39" x14ac:dyDescent="0.15">
      <c r="C455">
        <v>20188</v>
      </c>
      <c r="D455">
        <v>1</v>
      </c>
      <c r="K455" t="s">
        <v>538</v>
      </c>
      <c r="L455" t="s">
        <v>2133</v>
      </c>
      <c r="AD455" t="s">
        <v>3105</v>
      </c>
      <c r="AE455">
        <v>13</v>
      </c>
      <c r="AF455" t="s">
        <v>2459</v>
      </c>
      <c r="AH455">
        <v>255</v>
      </c>
      <c r="AM455" t="str">
        <f t="shared" si="7"/>
        <v>{dwID=20188,nLevel=1,szNote="紫叶沉疴",col={165,96,232,},[1]={},[2]={},aCataclysmBuff={{szReminder="疗 无方技能紫叶沉疴限疗",nPriority=13,col="#A560E8FF",nColAlpha=255,},},},</v>
      </c>
    </row>
    <row r="456" spans="3:39" x14ac:dyDescent="0.15">
      <c r="C456">
        <v>20399</v>
      </c>
      <c r="D456">
        <v>1</v>
      </c>
      <c r="K456" t="s">
        <v>541</v>
      </c>
      <c r="L456" t="s">
        <v>2133</v>
      </c>
      <c r="AD456" t="s">
        <v>3106</v>
      </c>
      <c r="AE456">
        <v>13</v>
      </c>
      <c r="AF456" t="s">
        <v>2459</v>
      </c>
      <c r="AH456">
        <v>255</v>
      </c>
      <c r="AM456" t="str">
        <f t="shared" si="7"/>
        <v>{dwID=20399,nLevel=1,szNote="自苦",col={165,96,232,},[1]={},[2]={},aCataclysmBuff={{szReminder="疗 灵素技能龙葵自苦限疗",nPriority=13,col="#A560E8FF",nColAlpha=255,},},},</v>
      </c>
    </row>
    <row r="457" spans="3:39" x14ac:dyDescent="0.15">
      <c r="C457">
        <v>20052</v>
      </c>
      <c r="D457">
        <v>1</v>
      </c>
      <c r="E457">
        <v>4</v>
      </c>
      <c r="K457" t="s">
        <v>535</v>
      </c>
      <c r="L457" t="s">
        <v>2639</v>
      </c>
      <c r="R457">
        <v>1</v>
      </c>
      <c r="Z457">
        <v>4</v>
      </c>
      <c r="AA457" t="s">
        <v>2121</v>
      </c>
      <c r="AD457" t="s">
        <v>3107</v>
      </c>
      <c r="AE457">
        <v>14</v>
      </c>
      <c r="AF457" t="s">
        <v>2641</v>
      </c>
      <c r="AG457" t="s">
        <v>2642</v>
      </c>
      <c r="AH457">
        <v>255</v>
      </c>
      <c r="AK457">
        <v>1</v>
      </c>
      <c r="AL457" t="s">
        <v>3108</v>
      </c>
      <c r="AM457" t="str">
        <f t="shared" si="7"/>
        <v>{dwID=20052,nLevel=1,nCount=4,szNote="逆乱",col={255,153,204,},[1]={bScreenHead=true,},[2]={},aCataclysmBuff={{nStackNum=4,szStackOp="&gt;=",szReminder="逆 无方毒层数",nPriority=14,col="#FF99CCFF",colScreenHead="#FF99CC",nColAlpha=255,bScreenHead=true,},{szStackOp="&gt;=",nStackNum=1,szReminder="逆 无方毒层数",nPriority=15,nColAlpha=255,col="#FF99CCFF",},},},</v>
      </c>
    </row>
    <row r="458" spans="3:39" x14ac:dyDescent="0.15">
      <c r="C458">
        <v>20789</v>
      </c>
      <c r="D458">
        <v>1</v>
      </c>
      <c r="K458" t="s">
        <v>549</v>
      </c>
      <c r="L458" t="s">
        <v>2639</v>
      </c>
      <c r="AD458" t="s">
        <v>3109</v>
      </c>
      <c r="AE458">
        <v>14</v>
      </c>
      <c r="AF458" t="s">
        <v>2641</v>
      </c>
      <c r="AH458">
        <v>255</v>
      </c>
      <c r="AM458" t="str">
        <f t="shared" si="7"/>
        <v>{dwID=20789,nLevel=1,szNote="并蒂夺株·温",col={255,153,204,},[1]={},[2]={},aCataclysmBuff={{szReminder="弹 无方奇穴并蒂夺株反弹",nPriority=14,col="#FF99CCFF",nColAlpha=255,},},},</v>
      </c>
    </row>
    <row r="459" spans="3:39" x14ac:dyDescent="0.15">
      <c r="C459">
        <v>20089</v>
      </c>
      <c r="D459">
        <v>1</v>
      </c>
      <c r="K459" t="s">
        <v>537</v>
      </c>
      <c r="L459" t="s">
        <v>2639</v>
      </c>
      <c r="AD459" t="s">
        <v>3110</v>
      </c>
      <c r="AE459">
        <v>14</v>
      </c>
      <c r="AF459" t="s">
        <v>2641</v>
      </c>
      <c r="AH459">
        <v>255</v>
      </c>
      <c r="AM459" t="str">
        <f t="shared" si="7"/>
        <v>{dwID=20089,nLevel=1,szNote="枯木苏息",col={255,153,204,},[1]={},[2]={},aCataclysmBuff={{szReminder="虚 灵素技能枯木苏息易伤虚弱",nPriority=14,col="#FF99CCFF",nColAlpha=255,},},},</v>
      </c>
    </row>
    <row r="460" spans="3:39" x14ac:dyDescent="0.15">
      <c r="C460">
        <v>24477</v>
      </c>
      <c r="D460">
        <v>1</v>
      </c>
      <c r="K460" t="s">
        <v>3111</v>
      </c>
      <c r="L460" t="s">
        <v>2639</v>
      </c>
      <c r="AD460" t="s">
        <v>3112</v>
      </c>
      <c r="AE460">
        <v>14</v>
      </c>
      <c r="AF460" t="s">
        <v>2641</v>
      </c>
      <c r="AH460">
        <v>255</v>
      </c>
      <c r="AM460" t="str">
        <f t="shared" si="7"/>
        <v>{dwID=24477,nLevel=1,szNote="织翠",col={255,153,204,},[1]={},[2]={},aCataclysmBuff={{szReminder="疗 灵素奇穴织翠减疗减护盾",nPriority=14,col="#FF99CCFF",nColAlpha=255,},},},</v>
      </c>
    </row>
    <row r="461" spans="3:39" x14ac:dyDescent="0.15">
      <c r="C461">
        <v>20787</v>
      </c>
      <c r="D461">
        <v>1</v>
      </c>
      <c r="I461">
        <v>1</v>
      </c>
      <c r="K461" t="s">
        <v>548</v>
      </c>
      <c r="L461" t="s">
        <v>2639</v>
      </c>
      <c r="AC461">
        <v>1</v>
      </c>
      <c r="AD461" t="s">
        <v>3113</v>
      </c>
      <c r="AE461">
        <v>14</v>
      </c>
      <c r="AF461" t="s">
        <v>2641</v>
      </c>
      <c r="AH461">
        <v>255</v>
      </c>
      <c r="AM461" t="str">
        <f t="shared" si="7"/>
        <v>{dwID=20787,nLevel=1,nScrutinyType=1,szNote="并蒂夺株·寒",col={255,153,204,},[1]={},[2]={},aCataclysmBuff={{bOnlyMe=true,szReminder="缓 无方奇穴并蒂夺株降加速50%",nPriority=14,col="#FF99CCFF",nColAlpha=255,},},},</v>
      </c>
    </row>
    <row r="462" spans="3:39" x14ac:dyDescent="0.15">
      <c r="C462">
        <v>24186</v>
      </c>
      <c r="D462">
        <v>1</v>
      </c>
      <c r="K462" t="s">
        <v>583</v>
      </c>
      <c r="L462" t="s">
        <v>2847</v>
      </c>
      <c r="R462">
        <v>1</v>
      </c>
      <c r="AD462" t="s">
        <v>3114</v>
      </c>
      <c r="AE462">
        <v>3</v>
      </c>
      <c r="AF462" t="s">
        <v>2849</v>
      </c>
      <c r="AG462" t="s">
        <v>2850</v>
      </c>
      <c r="AH462">
        <v>255</v>
      </c>
      <c r="AI462">
        <v>1</v>
      </c>
      <c r="AK462">
        <v>1</v>
      </c>
      <c r="AM462" t="str">
        <f t="shared" si="7"/>
        <v>{dwID=24186,nLevel=1,szNote="遏云势",col={170,170,170,},[1]={bScreenHead=true,},[2]={},aCataclysmBuff={{szReminder="禁 奇穴遏云势禁疗",nPriority=3,col="#AAAAAAFF",colScreenHead="#AAAAAA",nColAlpha=255,bAttention=true,bScreenHead=true,},},},</v>
      </c>
    </row>
    <row r="463" spans="3:39" x14ac:dyDescent="0.15">
      <c r="C463">
        <v>23982</v>
      </c>
      <c r="D463">
        <v>1</v>
      </c>
      <c r="K463" t="s">
        <v>577</v>
      </c>
      <c r="L463" t="s">
        <v>2133</v>
      </c>
      <c r="R463">
        <v>1</v>
      </c>
      <c r="AD463" t="s">
        <v>3115</v>
      </c>
      <c r="AE463">
        <v>4</v>
      </c>
      <c r="AF463" t="s">
        <v>2135</v>
      </c>
      <c r="AG463" t="s">
        <v>2136</v>
      </c>
      <c r="AH463">
        <v>255</v>
      </c>
      <c r="AI463">
        <v>1</v>
      </c>
      <c r="AJ463">
        <v>1</v>
      </c>
      <c r="AK463">
        <v>1</v>
      </c>
      <c r="AM463" t="str">
        <f t="shared" si="7"/>
        <v>{dwID=23982,nLevel=1,szNote="洗兵雨",col={165,96,232,},[1]={bScreenHead=true,},[2]={},aCataclysmBuff={{szReminder="缴 技能洗兵雨缴械",nPriority=4,col="#FF0055FF",colScreenHead="#A560E8",nColAlpha=255,bAttention=true,bCaution=true,bScreenHead=true,},},},</v>
      </c>
    </row>
    <row r="464" spans="3:39" x14ac:dyDescent="0.15">
      <c r="C464">
        <v>23898</v>
      </c>
      <c r="D464">
        <v>1</v>
      </c>
      <c r="K464" t="s">
        <v>574</v>
      </c>
      <c r="L464" t="s">
        <v>2120</v>
      </c>
      <c r="R464">
        <v>1</v>
      </c>
      <c r="AD464" t="s">
        <v>2707</v>
      </c>
      <c r="AE464">
        <v>11</v>
      </c>
      <c r="AF464" t="s">
        <v>2123</v>
      </c>
      <c r="AG464" t="s">
        <v>2130</v>
      </c>
      <c r="AH464">
        <v>255</v>
      </c>
      <c r="AK464">
        <v>1</v>
      </c>
      <c r="AM464" t="str">
        <f t="shared" si="7"/>
        <v>{dwID=23898,nLevel=1,szNote="凝云势",col={179,238,58,},[1]={bScreenHead=true,},[2]={},aCataclysmBuff={{szReminder="减 技能凝云势减伤免控（击退和被拉除外）",nPriority=11,col="#B3EE3AFF",colScreenHead="#B3EE3A",nColAlpha=255,bScreenHead=true,},},},</v>
      </c>
    </row>
    <row r="465" spans="3:39" x14ac:dyDescent="0.15">
      <c r="C465">
        <v>24449</v>
      </c>
      <c r="D465">
        <v>1</v>
      </c>
      <c r="K465" t="s">
        <v>582</v>
      </c>
      <c r="L465" t="s">
        <v>2228</v>
      </c>
      <c r="R465">
        <v>1</v>
      </c>
      <c r="AD465" t="s">
        <v>3116</v>
      </c>
      <c r="AE465">
        <v>12</v>
      </c>
      <c r="AF465" t="s">
        <v>2230</v>
      </c>
      <c r="AG465" t="s">
        <v>2231</v>
      </c>
      <c r="AH465">
        <v>255</v>
      </c>
      <c r="AK465">
        <v>1</v>
      </c>
      <c r="AM465" t="str">
        <f t="shared" si="7"/>
        <v>{dwID=24449,nLevel=1,szNote="袭伐",col={31,63,255,},[1]={bScreenHead=true,},[2]={},aCataclysmBuff={{szReminder="晕 奇穴袭伐眩晕",nPriority=12,col="#1F3FFFFF",colScreenHead="#1F3FFF",nColAlpha=255,bScreenHead=true,},},},</v>
      </c>
    </row>
    <row r="466" spans="3:39" x14ac:dyDescent="0.15">
      <c r="C466">
        <v>24170</v>
      </c>
      <c r="D466">
        <v>1</v>
      </c>
      <c r="K466" t="s">
        <v>581</v>
      </c>
      <c r="L466" t="s">
        <v>2228</v>
      </c>
      <c r="R466">
        <v>1</v>
      </c>
      <c r="AD466" t="s">
        <v>3117</v>
      </c>
      <c r="AE466">
        <v>12</v>
      </c>
      <c r="AF466" t="s">
        <v>2230</v>
      </c>
      <c r="AG466" t="s">
        <v>2231</v>
      </c>
      <c r="AH466">
        <v>255</v>
      </c>
      <c r="AK466">
        <v>1</v>
      </c>
      <c r="AM466" t="str">
        <f t="shared" si="7"/>
        <v>{dwID=24170,nLevel=1,szNote="游风飘踪·定身",col={31,63,255,},[1]={bScreenHead=true,},[2]={},aCataclysmBuff={{szReminder="定 技能游风飘踪定身",nPriority=12,col="#1F3FFFFF",colScreenHead="#1F3FFF",nColAlpha=255,bScreenHead=true,},},},</v>
      </c>
    </row>
    <row r="467" spans="3:39" x14ac:dyDescent="0.15">
      <c r="C467">
        <v>24169</v>
      </c>
      <c r="D467">
        <v>1</v>
      </c>
      <c r="K467" t="s">
        <v>580</v>
      </c>
      <c r="L467" t="s">
        <v>2228</v>
      </c>
      <c r="R467">
        <v>1</v>
      </c>
      <c r="AD467" t="s">
        <v>3118</v>
      </c>
      <c r="AE467">
        <v>12</v>
      </c>
      <c r="AF467" t="s">
        <v>2230</v>
      </c>
      <c r="AG467" t="s">
        <v>2231</v>
      </c>
      <c r="AH467">
        <v>255</v>
      </c>
      <c r="AK467">
        <v>1</v>
      </c>
      <c r="AM467" t="str">
        <f t="shared" si="7"/>
        <v>{dwID=24169,nLevel=1,szNote="游风飘踪·眩晕",col={31,63,255,},[1]={bScreenHead=true,},[2]={},aCataclysmBuff={{szReminder="晕 技能游风飘踪眩晕",nPriority=12,col="#1F3FFFFF",colScreenHead="#1F3FFF",nColAlpha=255,bScreenHead=true,},},},</v>
      </c>
    </row>
    <row r="468" spans="3:39" x14ac:dyDescent="0.15">
      <c r="C468">
        <v>27011</v>
      </c>
      <c r="D468">
        <v>1</v>
      </c>
      <c r="K468" t="s">
        <v>584</v>
      </c>
      <c r="L468" t="s">
        <v>2228</v>
      </c>
      <c r="AD468" t="s">
        <v>3119</v>
      </c>
      <c r="AE468">
        <v>12</v>
      </c>
      <c r="AF468" t="s">
        <v>2230</v>
      </c>
      <c r="AH468">
        <v>255</v>
      </c>
      <c r="AM468" t="str">
        <f t="shared" si="7"/>
        <v>{dwID=27011,nLevel=1,szNote="驰心",col={31,63,255,},[1]={},[2]={},aCataclysmBuff={{szReminder="定 奇穴驰心定身",nPriority=12,col="#1F3FFFFF",nColAlpha=255,},},},</v>
      </c>
    </row>
    <row r="469" spans="3:39" x14ac:dyDescent="0.15">
      <c r="C469">
        <v>24223</v>
      </c>
      <c r="D469">
        <v>1</v>
      </c>
      <c r="K469" t="s">
        <v>585</v>
      </c>
      <c r="L469" t="s">
        <v>2133</v>
      </c>
      <c r="AD469" t="s">
        <v>3120</v>
      </c>
      <c r="AE469">
        <v>13</v>
      </c>
      <c r="AF469" t="s">
        <v>2459</v>
      </c>
      <c r="AH469">
        <v>255</v>
      </c>
      <c r="AM469" t="str">
        <f t="shared" si="7"/>
        <v>{dwID=24223,nLevel=1,szNote="辞霈",col={165,96,232,},[1]={},[2]={},aCataclysmBuff={{szReminder="疗 奇穴辞霈减疗减护盾",nPriority=13,col="#A560E8FF",nColAlpha=255,},},},</v>
      </c>
    </row>
    <row r="470" spans="3:39" x14ac:dyDescent="0.15">
      <c r="C470">
        <v>24719</v>
      </c>
      <c r="D470">
        <v>1</v>
      </c>
      <c r="K470" t="s">
        <v>600</v>
      </c>
      <c r="L470" t="s">
        <v>2639</v>
      </c>
      <c r="AD470" t="s">
        <v>3121</v>
      </c>
      <c r="AE470">
        <v>14</v>
      </c>
      <c r="AF470" t="s">
        <v>2641</v>
      </c>
      <c r="AH470">
        <v>255</v>
      </c>
      <c r="AM470" t="str">
        <f t="shared" si="7"/>
        <v>{dwID=24719,nLevel=1,szNote="泽风同承",col={255,153,204,},[1]={},[2]={},aCataclysmBuff={{szReminder="连 奇穴泽风同承伤害传导",nPriority=14,col="#FF99CCFF",nColAlpha=255,},},},</v>
      </c>
    </row>
    <row r="471" spans="3:39" x14ac:dyDescent="0.15">
      <c r="C471">
        <v>24056</v>
      </c>
      <c r="D471">
        <v>1</v>
      </c>
      <c r="E471">
        <v>5</v>
      </c>
      <c r="K471" t="s">
        <v>348</v>
      </c>
      <c r="L471" t="s">
        <v>2639</v>
      </c>
      <c r="Z471">
        <v>5</v>
      </c>
      <c r="AA471" t="s">
        <v>2121</v>
      </c>
      <c r="AD471" t="s">
        <v>3122</v>
      </c>
      <c r="AE471">
        <v>14</v>
      </c>
      <c r="AF471" t="s">
        <v>2641</v>
      </c>
      <c r="AH471">
        <v>255</v>
      </c>
      <c r="AL471" t="s">
        <v>3123</v>
      </c>
      <c r="AM471" t="str">
        <f t="shared" si="7"/>
        <v>{dwID=24056,nLevel=1,nCount=5,szNote="破绽",col={255,153,204,},[1]={},[2]={},aCataclysmBuff={{nStackNum=5,szStackOp="&gt;=",szReminder="破 奇穴承磊六破绽",nPriority=14,col="#FF99CCFF",nColAlpha=255,},{szStackOp="&gt;=",nStackNum=1,szReminder="破 奇穴承磊六破绽",nPriority=15,nColAlpha=255,col="#FF99CCFF",},},},</v>
      </c>
    </row>
    <row r="472" spans="3:39" x14ac:dyDescent="0.15">
      <c r="C472">
        <v>27006</v>
      </c>
      <c r="D472">
        <v>1</v>
      </c>
      <c r="I472">
        <v>1</v>
      </c>
      <c r="K472" t="s">
        <v>3124</v>
      </c>
      <c r="L472" t="s">
        <v>2639</v>
      </c>
      <c r="R472">
        <v>1</v>
      </c>
      <c r="AC472">
        <v>1</v>
      </c>
      <c r="AD472" t="s">
        <v>3125</v>
      </c>
      <c r="AE472">
        <v>14</v>
      </c>
      <c r="AF472" t="s">
        <v>2641</v>
      </c>
      <c r="AG472" t="s">
        <v>2642</v>
      </c>
      <c r="AH472">
        <v>255</v>
      </c>
      <c r="AK472">
        <v>1</v>
      </c>
      <c r="AM472" t="str">
        <f t="shared" si="7"/>
        <v>{dwID=27006,nLevel=1,nScrutinyType=1,szNote="连亘",col={255,153,204,},[1]={bScreenHead=true,},[2]={},aCataclysmBuff={{bOnlyMe=true,szReminder="连 奇穴连亘降命中100%",nPriority=14,col="#FF99CCFF",colScreenHead="#FF99CC",nColAlpha=255,bScreenHead=true,},},},</v>
      </c>
    </row>
    <row r="473" spans="3:39" x14ac:dyDescent="0.15">
      <c r="C473">
        <v>26944</v>
      </c>
      <c r="D473">
        <v>1</v>
      </c>
      <c r="K473" t="s">
        <v>618</v>
      </c>
      <c r="L473" t="s">
        <v>2115</v>
      </c>
      <c r="R473">
        <v>1</v>
      </c>
      <c r="AD473" t="s">
        <v>2708</v>
      </c>
      <c r="AE473">
        <v>2</v>
      </c>
      <c r="AF473" t="s">
        <v>2117</v>
      </c>
      <c r="AG473" t="s">
        <v>2132</v>
      </c>
      <c r="AH473">
        <v>255</v>
      </c>
      <c r="AI473">
        <v>1</v>
      </c>
      <c r="AK473">
        <v>1</v>
      </c>
      <c r="AM473" t="str">
        <f t="shared" si="7"/>
        <v>{dwID=26944,nLevel=1,szNote="合神",col={255,204,0,},[1]={bScreenHead=true,},[2]={},aCataclysmBuff={{szReminder="合 技能汇灵合契变身本体无敌",nPriority=2,col="#FFCC00FF",colScreenHead="#FFCC00",nColAlpha=255,bAttention=true,bScreenHead=true,},},},</v>
      </c>
    </row>
    <row r="474" spans="3:39" x14ac:dyDescent="0.15">
      <c r="C474">
        <v>27038</v>
      </c>
      <c r="D474">
        <v>1</v>
      </c>
      <c r="K474" t="s">
        <v>289</v>
      </c>
      <c r="L474" t="s">
        <v>2133</v>
      </c>
      <c r="R474">
        <v>1</v>
      </c>
      <c r="AD474" t="s">
        <v>3126</v>
      </c>
      <c r="AE474">
        <v>4</v>
      </c>
      <c r="AF474" t="s">
        <v>2135</v>
      </c>
      <c r="AG474" t="s">
        <v>2136</v>
      </c>
      <c r="AH474">
        <v>255</v>
      </c>
      <c r="AI474">
        <v>1</v>
      </c>
      <c r="AJ474">
        <v>1</v>
      </c>
      <c r="AK474">
        <v>1</v>
      </c>
      <c r="AM474" t="str">
        <f t="shared" si="7"/>
        <v>{dwID=27038,nLevel=1,szNote="恐惧",col={165,96,232,},[1]={bScreenHead=true,},[2]={},aCataclysmBuff={{szReminder="恐 变身后技能恐惧",nPriority=4,col="#FF0055FF",colScreenHead="#A560E8",nColAlpha=255,bAttention=true,bCaution=true,bScreenHead=true,},},},</v>
      </c>
    </row>
    <row r="475" spans="3:39" x14ac:dyDescent="0.15">
      <c r="C475">
        <v>26959</v>
      </c>
      <c r="D475">
        <v>1</v>
      </c>
      <c r="K475" t="s">
        <v>619</v>
      </c>
      <c r="L475" t="s">
        <v>2890</v>
      </c>
      <c r="AD475" t="s">
        <v>3127</v>
      </c>
      <c r="AE475">
        <v>15</v>
      </c>
      <c r="AF475" t="s">
        <v>2135</v>
      </c>
      <c r="AH475">
        <v>255</v>
      </c>
      <c r="AM475" t="str">
        <f t="shared" si="7"/>
        <v>{dwID=26959,nLevel=1,szNote="空弦惊雁·减速",col={255,0,85,},[1]={},[2]={},aCataclysmBuff={{szReminder="滞 万灵山庄_减移速50%",nPriority=15,col="#FF0055FF",nColAlpha=255,},},},</v>
      </c>
    </row>
    <row r="476" spans="3:39" x14ac:dyDescent="0.15">
      <c r="C476">
        <v>26960</v>
      </c>
      <c r="D476">
        <v>1</v>
      </c>
      <c r="K476" t="s">
        <v>620</v>
      </c>
      <c r="L476" t="s">
        <v>2890</v>
      </c>
      <c r="AD476" t="s">
        <v>3128</v>
      </c>
      <c r="AE476">
        <v>14</v>
      </c>
      <c r="AF476" t="s">
        <v>2135</v>
      </c>
      <c r="AH476">
        <v>255</v>
      </c>
      <c r="AM476" t="str">
        <f t="shared" si="7"/>
        <v>{dwID=26960,nLevel=1,szNote="空弦惊雁·锁足",col={255,0,85,},[1]={},[2]={},aCataclysmBuff={{szReminder="定 万灵山庄_锁足",nPriority=14,col="#FF0055FF",nColAlpha=255,},},},</v>
      </c>
    </row>
    <row r="477" spans="3:39" x14ac:dyDescent="0.15">
      <c r="C477">
        <v>26961</v>
      </c>
      <c r="D477">
        <v>1</v>
      </c>
      <c r="K477" t="s">
        <v>621</v>
      </c>
      <c r="L477" t="s">
        <v>2890</v>
      </c>
      <c r="R477">
        <v>1</v>
      </c>
      <c r="AD477" t="s">
        <v>3129</v>
      </c>
      <c r="AE477">
        <v>13</v>
      </c>
      <c r="AF477" t="s">
        <v>2230</v>
      </c>
      <c r="AG477" t="s">
        <v>3130</v>
      </c>
      <c r="AH477">
        <v>255</v>
      </c>
      <c r="AK477">
        <v>1</v>
      </c>
      <c r="AM477" t="str">
        <f t="shared" si="7"/>
        <v>{dwID=26961,nLevel=1,szNote="空弦惊雁·定身",col={255,0,85,},[1]={bScreenHead=true,},[2]={},aCataclysmBuff={{szReminder="定 技能空弦惊雁定身",nPriority=13,col="#1F3FFFFF",colScreenHead="#FF0055",nColAlpha=255,bScreenHead=true,},},},</v>
      </c>
    </row>
    <row r="478" spans="3:39" x14ac:dyDescent="0.15">
      <c r="C478">
        <v>26962</v>
      </c>
      <c r="D478">
        <v>1</v>
      </c>
      <c r="K478" t="s">
        <v>622</v>
      </c>
      <c r="L478" t="s">
        <v>2890</v>
      </c>
      <c r="R478">
        <v>1</v>
      </c>
      <c r="AD478" t="s">
        <v>3131</v>
      </c>
      <c r="AE478">
        <v>12</v>
      </c>
      <c r="AF478" t="s">
        <v>2230</v>
      </c>
      <c r="AG478" t="s">
        <v>3130</v>
      </c>
      <c r="AH478">
        <v>255</v>
      </c>
      <c r="AK478">
        <v>1</v>
      </c>
      <c r="AM478" t="str">
        <f t="shared" si="7"/>
        <v>{dwID=26962,nLevel=1,szNote="空弦惊雁·眩晕",col={255,0,85,},[1]={bScreenHead=true,},[2]={},aCataclysmBuff={{szReminder="晕 技能空弦惊雁眩晕",nPriority=12,col="#1F3FFFFF",colScreenHead="#FF0055",nColAlpha=255,bScreenHead=true,},},},</v>
      </c>
    </row>
    <row r="479" spans="3:39" x14ac:dyDescent="0.15">
      <c r="C479">
        <v>26997</v>
      </c>
      <c r="D479">
        <v>1</v>
      </c>
      <c r="K479" t="s">
        <v>3132</v>
      </c>
      <c r="L479" t="s">
        <v>2228</v>
      </c>
      <c r="AD479" t="s">
        <v>3133</v>
      </c>
      <c r="AE479">
        <v>12</v>
      </c>
      <c r="AF479" t="s">
        <v>2230</v>
      </c>
      <c r="AH479">
        <v>255</v>
      </c>
      <c r="AM479" t="str">
        <f t="shared" si="7"/>
        <v>{dwID=26997,nLevel=1,szNote="汇山岚",col={31,63,255,},[1]={},[2]={},aCataclysmBuff={{szReminder="晕 技能汇山岚眩晕",nPriority=12,col="#1F3FFFFF",nColAlpha=255,},},},</v>
      </c>
    </row>
    <row r="480" spans="3:39" x14ac:dyDescent="0.15">
      <c r="C480">
        <v>27053</v>
      </c>
      <c r="D480">
        <v>1</v>
      </c>
      <c r="K480" t="s">
        <v>433</v>
      </c>
      <c r="L480" t="s">
        <v>2133</v>
      </c>
      <c r="AD480" t="s">
        <v>3134</v>
      </c>
      <c r="AE480">
        <v>13</v>
      </c>
      <c r="AF480" t="s">
        <v>2459</v>
      </c>
      <c r="AH480">
        <v>255</v>
      </c>
      <c r="AM480" t="str">
        <f t="shared" si="7"/>
        <v>{dwID=27053,nLevel=1,szNote="减疗",col={165,96,232,},[1]={},[2]={},aCataclysmBuff={{szReminder="疗 奇穴陆吾减疗",nPriority=13,col="#A560E8FF",nColAlpha=255,},},},</v>
      </c>
    </row>
    <row r="481" spans="1:45" x14ac:dyDescent="0.15">
      <c r="C481">
        <v>27087</v>
      </c>
      <c r="D481">
        <v>1</v>
      </c>
      <c r="K481" t="s">
        <v>624</v>
      </c>
      <c r="L481" t="s">
        <v>2133</v>
      </c>
      <c r="AD481" t="s">
        <v>3135</v>
      </c>
      <c r="AE481">
        <v>13</v>
      </c>
      <c r="AF481" t="s">
        <v>2459</v>
      </c>
      <c r="AH481">
        <v>255</v>
      </c>
      <c r="AM481" t="str">
        <f t="shared" si="7"/>
        <v>{dwID=27087,nLevel=1,szNote="汇灵合契",col={165,96,232,},[1]={},[2]={},aCataclysmBuff={{szReminder="疗 技能汇灵合契限疗",nPriority=13,col="#A560E8FF",nColAlpha=255,},},},</v>
      </c>
    </row>
    <row r="482" spans="1:45" x14ac:dyDescent="0.15">
      <c r="C482">
        <v>27082</v>
      </c>
      <c r="D482">
        <v>1</v>
      </c>
      <c r="K482" t="s">
        <v>623</v>
      </c>
      <c r="L482" t="s">
        <v>2639</v>
      </c>
      <c r="AD482" t="s">
        <v>3136</v>
      </c>
      <c r="AE482">
        <v>14</v>
      </c>
      <c r="AF482" t="s">
        <v>2641</v>
      </c>
      <c r="AH482">
        <v>255</v>
      </c>
      <c r="AM482" t="str">
        <f t="shared" si="7"/>
        <v>{dwID=27082,nLevel=1,szNote="焦沃",col={255,153,204,},[1]={},[2]={},aCataclysmBuff={{szReminder="盲 奇穴沃焦致盲",nPriority=14,col="#FF99CCFF",nColAlpha=255,},},},</v>
      </c>
    </row>
    <row r="483" spans="1:45" x14ac:dyDescent="0.15">
      <c r="C483">
        <v>27115</v>
      </c>
      <c r="D483">
        <v>1</v>
      </c>
      <c r="K483" t="s">
        <v>383</v>
      </c>
      <c r="L483" t="s">
        <v>2133</v>
      </c>
      <c r="AD483" t="s">
        <v>3137</v>
      </c>
      <c r="AE483">
        <v>13</v>
      </c>
      <c r="AF483" t="s">
        <v>2459</v>
      </c>
      <c r="AH483">
        <v>255</v>
      </c>
      <c r="AM483" t="str">
        <f t="shared" si="7"/>
        <v>{dwID=27115,nLevel=1,szNote="重创",col={165,96,232,},[1]={},[2]={},aCataclysmBuff={{szReminder="禁 万灵奇穴反曲下一次治疗无效",nPriority=13,col="#A560E8FF",nColAlpha=255,},},},</v>
      </c>
    </row>
    <row r="484" spans="1:45" x14ac:dyDescent="0.15">
      <c r="C484">
        <v>10141</v>
      </c>
      <c r="D484">
        <v>1</v>
      </c>
      <c r="F484">
        <v>7931</v>
      </c>
      <c r="G484" t="s">
        <v>2709</v>
      </c>
      <c r="I484">
        <v>1</v>
      </c>
      <c r="K484" t="s">
        <v>429</v>
      </c>
      <c r="Y484">
        <v>1</v>
      </c>
      <c r="AM484" t="str">
        <f t="shared" si="7"/>
        <v>{dwID=10141,nLevel=1,nIcon=7931,szName="胜负局",nScrutinyType=1,szNote="胜负局_间隔时间BUFF",[1]={},[2]={bCenterAlarm=true,},tCountdown={{nClass=2,nIcon=7931,nFrame=7,szName="奇遇·胜负局·解封",nTime=10,key="奇遇·封印",},{nClass=2,nIcon=7931,nFrame=7,szName="千岛湖·贺城·封博安",nTime=10.1,key="奇遇·解封",},},},</v>
      </c>
      <c r="AN484" t="s">
        <v>3138</v>
      </c>
      <c r="AO484" t="s">
        <v>3139</v>
      </c>
    </row>
    <row r="485" spans="1:45" x14ac:dyDescent="0.15">
      <c r="C485">
        <v>17182</v>
      </c>
      <c r="D485">
        <v>1</v>
      </c>
      <c r="I485">
        <v>1</v>
      </c>
      <c r="K485" t="s">
        <v>2710</v>
      </c>
      <c r="Y485">
        <v>1</v>
      </c>
      <c r="AM485" t="str">
        <f t="shared" si="7"/>
        <v>{dwID=17182,nLevel=1,nScrutinyType=1,szNote="兔江湖·翌日之约",[1]={},[2]={bCenterAlarm=true,},tCountdown={{nClass=2,nIcon=6072,nFrame=7,szName="奇遇·兔江湖·解封",nTime=10,key="奇遇·封印",},{nClass=2,nIcon=6072,nFrame=7,szName="洛阳·战乱·茶馆·神秘人",nTime=10.1,key="奇遇·解封",},},},</v>
      </c>
      <c r="AN485" t="s">
        <v>3140</v>
      </c>
      <c r="AO485" t="s">
        <v>3141</v>
      </c>
    </row>
    <row r="486" spans="1:45" x14ac:dyDescent="0.15">
      <c r="A486" t="s">
        <v>645</v>
      </c>
      <c r="B486">
        <v>1</v>
      </c>
      <c r="AM486" t="str">
        <f t="shared" si="7"/>
        <v>},[1]={</v>
      </c>
    </row>
    <row r="487" spans="1:45" x14ac:dyDescent="0.15">
      <c r="C487">
        <v>13303</v>
      </c>
      <c r="D487">
        <v>4</v>
      </c>
      <c r="H487">
        <v>1</v>
      </c>
      <c r="I487">
        <v>1</v>
      </c>
      <c r="AM487" t="str">
        <f t="shared" si="7"/>
        <v>{dwID=13303,nLevel=4,bCheckLevel=true,nScrutinyType=1,[1]={},[2]={},tCountdown={{nClass=2,nIcon=293,nFrame=5,szName="雪雪·旅行",nTime=0,key="雪雪·旅行",},{nClass=1,nIcon=293,nFrame=5,szName="旅行·稻香村·镜湖亭东北·围棋",nTime=20,key="雪雪·旅行",},{nClass=2,nIcon=293,nFrame=5,szName="可以去溪水里看荷花",nTime=20,key="雪雪·旅行介绍1",},{nClass=2,nIcon=293,nFrame=5,szName="可以顺着桥走去看瀑布",nTime=20,key="雪雪·旅行介绍2",},},},</v>
      </c>
      <c r="AN487" t="s">
        <v>3142</v>
      </c>
      <c r="AO487" t="s">
        <v>3143</v>
      </c>
      <c r="AP487" t="s">
        <v>3144</v>
      </c>
      <c r="AQ487" t="s">
        <v>3145</v>
      </c>
    </row>
    <row r="488" spans="1:45" x14ac:dyDescent="0.15">
      <c r="C488">
        <v>13323</v>
      </c>
      <c r="D488">
        <v>1</v>
      </c>
      <c r="I488">
        <v>1</v>
      </c>
      <c r="AM488" t="str">
        <f t="shared" si="7"/>
        <v>{dwID=13323,nLevel=1,nScrutinyType=1,[1]={},[2]={},tCountdown={{nClass=1,nIcon=293,nFrame=5,szName="雪雪·旅行介绍1",nTime=0,key="雪雪·旅行介绍1",},{nClass=1,nIcon=293,nFrame=5,szName="雪雪·旅行介绍2",nTime=0,key="雪雪·旅行介绍2",},{nClass=2,nIcon=17135,nFrame=0,szName="雪雪·旅行介绍1",nTime=0,key="雪雪·旅行介绍1",},{nClass=2,nIcon=17135,nFrame=0,szName="雪雪·旅行介绍2",nTime=0,key="雪雪·旅行介绍2",},{nClass=1,nIcon=17135,nFrame=0,szName="选项1·命途偏·逸",nTime=10,key="雪雪·旅行介绍1",},{nClass=1,nIcon=17135,nFrame=0,szName="选项2·命途偏·尘",nTime=10,key="雪雪·旅行介绍2",},},},</v>
      </c>
      <c r="AN488" t="s">
        <v>3146</v>
      </c>
      <c r="AO488" t="s">
        <v>3147</v>
      </c>
      <c r="AP488" t="s">
        <v>3148</v>
      </c>
      <c r="AQ488" t="s">
        <v>3149</v>
      </c>
      <c r="AR488" t="s">
        <v>3150</v>
      </c>
      <c r="AS488" t="s">
        <v>3151</v>
      </c>
    </row>
    <row r="489" spans="1:45" x14ac:dyDescent="0.15">
      <c r="A489" t="s">
        <v>232</v>
      </c>
      <c r="B489">
        <v>2</v>
      </c>
      <c r="AM489" t="str">
        <f t="shared" si="7"/>
        <v>},[2]={</v>
      </c>
    </row>
    <row r="490" spans="1:45" x14ac:dyDescent="0.15">
      <c r="C490">
        <v>11582</v>
      </c>
      <c r="D490">
        <v>1</v>
      </c>
      <c r="I490">
        <v>1</v>
      </c>
      <c r="J490" t="s">
        <v>2149</v>
      </c>
      <c r="K490" t="s">
        <v>3152</v>
      </c>
      <c r="L490" t="s">
        <v>2143</v>
      </c>
      <c r="AM490" t="str">
        <f t="shared" si="7"/>
        <v>{dwID=11582,nLevel=1,nScrutinyType=1,tKungFu={["SKILL#10021"]=true,["SKILL#10028"]=true,},szNote="雪山恩仇·万花",col={255,255,0,},[1]={},[2]={},tCountdown={{nClass=1,nIcon=13694,nFrame=7,szName="雪山恩仇·万花·孙思邈",nTime=60,key="雪山恩仇·提示0",},{nClass=2,nIcon=13694,nFrame=7,szName="雪山恩仇·提示0",nTime=0,key="雪山恩仇·提示0",},},},</v>
      </c>
      <c r="AN490" t="s">
        <v>3153</v>
      </c>
      <c r="AO490" t="s">
        <v>3154</v>
      </c>
    </row>
    <row r="491" spans="1:45" x14ac:dyDescent="0.15">
      <c r="C491">
        <v>13303</v>
      </c>
      <c r="D491">
        <v>2</v>
      </c>
      <c r="H491">
        <v>1</v>
      </c>
      <c r="I491">
        <v>1</v>
      </c>
      <c r="AM491" t="str">
        <f t="shared" si="7"/>
        <v>{dwID=13303,nLevel=2,bCheckLevel=true,nScrutinyType=1,[1]={},[2]={},tCountdown={{nClass=2,nIcon=293,nFrame=5,szName="雪雪·旅行",nTime=0,key="雪雪·旅行",},{nClass=1,nIcon=293,nFrame=5,szName="旅行·万花·晴昼海",nTime=20,key="雪雪·旅行",},{nClass=2,nIcon=293,nFrame=5,szName="晴昼海·赵小凯·附近·触发命途",nTime=20,key="雪雪·旅行介绍1",},{nClass=2,nIcon=293,nFrame=5,szName="落星湖小屋找·宇晴",nTime=20,key="雪雪·旅行介绍2",},},},</v>
      </c>
      <c r="AN491" t="s">
        <v>3142</v>
      </c>
      <c r="AO491" t="s">
        <v>3155</v>
      </c>
      <c r="AP491" t="s">
        <v>3156</v>
      </c>
      <c r="AQ491" t="s">
        <v>3157</v>
      </c>
    </row>
    <row r="492" spans="1:45" x14ac:dyDescent="0.15">
      <c r="C492">
        <v>13323</v>
      </c>
      <c r="D492">
        <v>1</v>
      </c>
      <c r="I492">
        <v>1</v>
      </c>
      <c r="AM492" t="str">
        <f t="shared" si="7"/>
        <v>{dwID=13323,nLevel=1,nScrutinyType=1,[1]={},[2]={},tCountdown={{nClass=1,nIcon=293,nFrame=5,szName="雪雪·旅行介绍1",nTime=0,key="雪雪·旅行介绍1",},{nClass=1,nIcon=293,nFrame=5,szName="雪雪·旅行介绍2",nTime=0,key="雪雪·旅行介绍2",},{nClass=2,nIcon=17135,nFrame=0,szName="雪雪·旅行介绍1",nTime=0,key="雪雪·旅行介绍1",},{nClass=2,nIcon=17135,nFrame=0,szName="雪雪·旅行介绍2",nTime=0,key="雪雪·旅行介绍2",},{nClass=1,nIcon=17135,nFrame=0,szName="选项1·命途偏·逸",nTime=10,key="雪雪·旅行介绍1",},{nClass=1,nIcon=17135,nFrame=0,szName="选项2·命途偏·尘",nTime=10,key="雪雪·旅行介绍2",},},},</v>
      </c>
      <c r="AN492" t="s">
        <v>3146</v>
      </c>
      <c r="AO492" t="s">
        <v>3147</v>
      </c>
      <c r="AP492" t="s">
        <v>3148</v>
      </c>
      <c r="AQ492" t="s">
        <v>3149</v>
      </c>
      <c r="AR492" t="s">
        <v>3150</v>
      </c>
      <c r="AS492" t="s">
        <v>3151</v>
      </c>
    </row>
    <row r="493" spans="1:45" x14ac:dyDescent="0.15">
      <c r="C493">
        <v>1624</v>
      </c>
      <c r="D493">
        <v>1</v>
      </c>
      <c r="H493">
        <v>1</v>
      </c>
      <c r="I493">
        <v>1</v>
      </c>
      <c r="AM493" t="str">
        <f t="shared" si="7"/>
        <v>{dwID=1624,nLevel=1,bCheckLevel=true,nScrutinyType=1,[1]={},[2]={},tCountdown={{nClass=1,nIcon=414,nFrame=5,szName="饱食·万花·东方宇轩",nTime=2,nRefresh=3600,key="冬至·饱食·万花",},},},</v>
      </c>
      <c r="AN493" t="s">
        <v>3158</v>
      </c>
    </row>
    <row r="494" spans="1:45" x14ac:dyDescent="0.15">
      <c r="A494" t="s">
        <v>665</v>
      </c>
      <c r="B494">
        <v>5</v>
      </c>
      <c r="AM494" t="str">
        <f t="shared" si="7"/>
        <v>},[5]={</v>
      </c>
    </row>
    <row r="495" spans="1:45" x14ac:dyDescent="0.15">
      <c r="C495">
        <v>11582</v>
      </c>
      <c r="D495">
        <v>1</v>
      </c>
      <c r="I495">
        <v>1</v>
      </c>
      <c r="J495" t="s">
        <v>3159</v>
      </c>
      <c r="K495" t="s">
        <v>3160</v>
      </c>
      <c r="L495" t="s">
        <v>2143</v>
      </c>
      <c r="AM495" t="str">
        <f t="shared" si="7"/>
        <v>{dwID=11582,nLevel=1,nScrutinyType=1,tKungFu={["SKILL#10002"]=true,["SKILL#10003"]=true,},szNote="雪山恩仇·少林",col={255,255,0,},[1]={},[2]={},tCountdown={{nClass=1,nIcon=13693,nFrame=7,szName="雪山恩仇·少林·玄正",nTime=60,key="雪山恩仇·提示0",},{nClass=2,nIcon=13693,nFrame=7,szName="雪山恩仇·提示0",nTime=0,key="雪山恩仇·提示0",},},},</v>
      </c>
      <c r="AN495" t="s">
        <v>3161</v>
      </c>
      <c r="AO495" t="s">
        <v>3162</v>
      </c>
    </row>
    <row r="496" spans="1:45" x14ac:dyDescent="0.15">
      <c r="C496">
        <v>1624</v>
      </c>
      <c r="D496">
        <v>5</v>
      </c>
      <c r="H496">
        <v>1</v>
      </c>
      <c r="I496">
        <v>1</v>
      </c>
      <c r="AM496" t="str">
        <f t="shared" si="7"/>
        <v>{dwID=1624,nLevel=5,bCheckLevel=true,nScrutinyType=1,[1]={},[2]={},tCountdown={{nClass=1,nIcon=438,nFrame=5,szName="饱食·少林·玄正",nTime=2,nRefresh=3600,key="冬至·饱食·少林",},},},</v>
      </c>
      <c r="AN496" t="s">
        <v>3163</v>
      </c>
    </row>
    <row r="497" spans="1:45" x14ac:dyDescent="0.15">
      <c r="C497">
        <v>26192</v>
      </c>
      <c r="D497">
        <v>1</v>
      </c>
      <c r="F497">
        <v>2020</v>
      </c>
      <c r="G497" t="s">
        <v>3164</v>
      </c>
      <c r="I497">
        <v>1</v>
      </c>
      <c r="K497" t="s">
        <v>614</v>
      </c>
      <c r="AM497" t="str">
        <f t="shared" si="7"/>
        <v>{dwID=26192,nLevel=1,nIcon=2020,szName="消帮战败兵CD",nScrutinyType=1,szNote="少林打坐帮战debuff",[1]={},[2]={},tCountdown={{nClass=1,nIcon=2020,nFrame=5,szName="少林打坐帮战debuff",nTime=0.1,nRefresh=7800,key="帮会宣战·败兵",},},},</v>
      </c>
      <c r="AN497" t="s">
        <v>3165</v>
      </c>
    </row>
    <row r="498" spans="1:45" x14ac:dyDescent="0.15">
      <c r="A498" t="s">
        <v>671</v>
      </c>
      <c r="B498">
        <v>6</v>
      </c>
      <c r="AM498" t="str">
        <f t="shared" si="7"/>
        <v>},[6]={</v>
      </c>
    </row>
    <row r="499" spans="1:45" x14ac:dyDescent="0.15">
      <c r="C499">
        <v>11393</v>
      </c>
      <c r="D499">
        <v>2</v>
      </c>
      <c r="F499">
        <v>8591</v>
      </c>
      <c r="G499" t="s">
        <v>2687</v>
      </c>
      <c r="H499">
        <v>1</v>
      </c>
      <c r="I499">
        <v>1</v>
      </c>
      <c r="K499" t="s">
        <v>449</v>
      </c>
      <c r="Y499">
        <v>1</v>
      </c>
      <c r="AM499" t="str">
        <f t="shared" si="7"/>
        <v>{dwID=11393,nLevel=2,nIcon=8591,szName="稚子心",bCheckLevel=true,nScrutinyType=1,szNote="稚子心_标记_buff",[1]={},[2]={bCenterAlarm=true,},tCountdown={{nClass=2,nIcon=8591,nFrame=7,szName="奇遇·稚子心·解封2",nTime=10,key="奇遇·封印",},{nClass=2,nIcon=8591,nFrame=7,szName="扬州·内城杂货区·哈德罗德",nTime=10.1,key="奇遇·解封",},{nClass=1,nIcon=8591,nFrame=7,szName="奇遇·稚子心·封印2·24小时",nTime=10,nRefresh=7200,key="奇遇·封印",},},},</v>
      </c>
      <c r="AN499" t="s">
        <v>2790</v>
      </c>
      <c r="AO499" t="s">
        <v>2791</v>
      </c>
      <c r="AP499" t="s">
        <v>3166</v>
      </c>
    </row>
    <row r="500" spans="1:45" x14ac:dyDescent="0.15">
      <c r="C500">
        <v>7309</v>
      </c>
      <c r="D500">
        <v>1</v>
      </c>
      <c r="I500">
        <v>1</v>
      </c>
      <c r="AM500" t="str">
        <f t="shared" si="7"/>
        <v>{dwID=7309,nLevel=1,nScrutinyType=1,[1]={},[2]={},tCountdown={{nClass=2,nIcon=3314,nFrame=5,szName="断线的风筝",nTime=0,key="断线的风筝",},},},</v>
      </c>
      <c r="AN500" t="s">
        <v>3167</v>
      </c>
    </row>
    <row r="501" spans="1:45" x14ac:dyDescent="0.15">
      <c r="C501">
        <v>7312</v>
      </c>
      <c r="D501">
        <v>1</v>
      </c>
      <c r="F501">
        <v>3393</v>
      </c>
      <c r="G501" t="s">
        <v>2358</v>
      </c>
      <c r="I501">
        <v>1</v>
      </c>
      <c r="L501" t="s">
        <v>3168</v>
      </c>
      <c r="R501">
        <v>1</v>
      </c>
      <c r="T501">
        <v>1</v>
      </c>
      <c r="AM501" t="str">
        <f t="shared" si="7"/>
        <v>{dwID=7312,nLevel=1,nIcon=3393,szName="CD",nScrutinyType=1,col={255,0,255,},[1]={bScreenHead=true,bBuffList=true,},[2]={},tCountdown={{nClass=1,nIcon=5372,nFrame=1,szName="踩花灯·CD",nTime=2,key="踩花灯·CD",},{nClass=2,nIcon=5372,nFrame=5,szName="踩花灯·CD",nTime=0,key="踩花灯·CD",},},},</v>
      </c>
      <c r="AN501" t="s">
        <v>3169</v>
      </c>
      <c r="AO501" t="s">
        <v>3170</v>
      </c>
    </row>
    <row r="502" spans="1:45" x14ac:dyDescent="0.15">
      <c r="A502" t="s">
        <v>675</v>
      </c>
      <c r="B502">
        <v>7</v>
      </c>
      <c r="AM502" t="str">
        <f t="shared" si="7"/>
        <v>},[7]={</v>
      </c>
    </row>
    <row r="503" spans="1:45" x14ac:dyDescent="0.15">
      <c r="C503">
        <v>11582</v>
      </c>
      <c r="D503">
        <v>1</v>
      </c>
      <c r="I503">
        <v>1</v>
      </c>
      <c r="J503" t="s">
        <v>3171</v>
      </c>
      <c r="K503" t="s">
        <v>3172</v>
      </c>
      <c r="L503" t="s">
        <v>2143</v>
      </c>
      <c r="AM503" t="str">
        <f t="shared" si="7"/>
        <v>{dwID=11582,nLevel=1,nScrutinyType=1,tKungFu={["SKILL#10014"]=true,["SKILL#10015"]=true,},szNote="雪山恩仇·纯阳",col={255,255,0,},[1]={},[2]={},tCountdown={{nClass=1,nIcon=13696,nFrame=7,szName="雪山恩仇·纯阳·李忘生",nTime=60,key="雪山恩仇·提示0",},{nClass=2,nIcon=13696,nFrame=7,szName="雪山恩仇·提示0",nTime=0,key="雪山恩仇·提示0",},},},</v>
      </c>
      <c r="AN503" t="s">
        <v>3173</v>
      </c>
      <c r="AO503" t="s">
        <v>3174</v>
      </c>
    </row>
    <row r="504" spans="1:45" x14ac:dyDescent="0.15">
      <c r="C504">
        <v>10326</v>
      </c>
      <c r="D504">
        <v>1</v>
      </c>
      <c r="I504">
        <v>1</v>
      </c>
      <c r="T504">
        <v>1</v>
      </c>
      <c r="AM504" t="str">
        <f t="shared" si="7"/>
        <v>{dwID=10326,nLevel=1,nScrutinyType=1,[1]={bBuffList=true,},[2]={},tCountdown={{nClass=1,nIcon=325,nFrame=3,szName="虚弱·禁疗·打坐消除",nTime=180,key="门派事件·虚弱·禁疗",},{nClass=2,nIcon=325,nFrame=5,szName="门派事件·虚弱·禁疗",nTime=0,key="门派事件·虚弱·禁疗",},{nClass=1,nIcon=325,nFrame=3,szName="读条消失不要动·最终会加分",nTime=30,key="门派事件1",},{nClass=2,nIcon=325,nFrame=5,szName="门派事件1",nTime=0,key="门派事件1",},{nClass=1,nIcon=325,nFrame=3,szName="穿装备打坐回到35%再脱装备",nTime=60,key="门派事件2",},{nClass=2,nIcon=325,nFrame=3,szName="门派事件2",nTime=0,key="门派事件2",},},},</v>
      </c>
      <c r="AN504" t="s">
        <v>3175</v>
      </c>
      <c r="AO504" t="s">
        <v>3176</v>
      </c>
      <c r="AP504" t="s">
        <v>3177</v>
      </c>
      <c r="AQ504" t="s">
        <v>3178</v>
      </c>
      <c r="AR504" t="s">
        <v>3179</v>
      </c>
      <c r="AS504" t="s">
        <v>3180</v>
      </c>
    </row>
    <row r="505" spans="1:45" x14ac:dyDescent="0.15">
      <c r="C505">
        <v>13303</v>
      </c>
      <c r="D505">
        <v>7</v>
      </c>
      <c r="H505">
        <v>1</v>
      </c>
      <c r="I505">
        <v>1</v>
      </c>
      <c r="K505" t="s">
        <v>3181</v>
      </c>
      <c r="AM505" t="str">
        <f t="shared" si="7"/>
        <v>{dwID=13303,nLevel=7,bCheckLevel=true,nScrutinyType=1,szNote="雪雪旅行",[1]={},[2]={},tCountdown={{nClass=2,nIcon=293,nFrame=5,szName="雪雪·旅行",nTime=0,key="雪雪·旅行",},{nClass=1,nIcon=293,nFrame=5,szName="旅行·纯阳·太极广场",nTime=20,key="雪雪·旅行",},{nClass=2,nIcon=293,nFrame=5,szName="纯阳·太极广场·于睿",nTime=20,key="雪雪·旅行介绍1",},{nClass=2,nIcon=293,nFrame=5,szName="纯阳·太极广场东南·小亭子",nTime=20,key="雪雪·旅行介绍2",},},},</v>
      </c>
      <c r="AN505" t="s">
        <v>3142</v>
      </c>
      <c r="AO505" t="s">
        <v>3182</v>
      </c>
      <c r="AP505" t="s">
        <v>3183</v>
      </c>
      <c r="AQ505" t="s">
        <v>3184</v>
      </c>
    </row>
    <row r="506" spans="1:45" x14ac:dyDescent="0.15">
      <c r="C506">
        <v>13323</v>
      </c>
      <c r="D506">
        <v>1</v>
      </c>
      <c r="I506">
        <v>1</v>
      </c>
      <c r="AM506" t="str">
        <f t="shared" si="7"/>
        <v>{dwID=13323,nLevel=1,nScrutinyType=1,[1]={},[2]={},tCountdown={{nClass=1,nIcon=293,nFrame=5,szName="雪雪·旅行介绍1",nTime=0,key="雪雪·旅行介绍1",},{nClass=1,nIcon=293,nFrame=5,szName="雪雪·旅行介绍2",nTime=0,key="雪雪·旅行介绍2",},{nClass=2,nIcon=17135,nFrame=0,szName="雪雪·旅行介绍1",nTime=0,key="雪雪·旅行介绍1",},{nClass=2,nIcon=17135,nFrame=0,szName="雪雪·旅行介绍2",nTime=0,key="雪雪·旅行介绍2",},{nClass=1,nIcon=17135,nFrame=0,szName="选项1·命途偏·逸",nTime=10,key="雪雪·旅行介绍1",},{nClass=1,nIcon=17135,nFrame=0,szName="选项2·命途偏·尘",nTime=10,key="雪雪·旅行介绍2",},},},</v>
      </c>
      <c r="AN506" t="s">
        <v>3146</v>
      </c>
      <c r="AO506" t="s">
        <v>3147</v>
      </c>
      <c r="AP506" t="s">
        <v>3148</v>
      </c>
      <c r="AQ506" t="s">
        <v>3149</v>
      </c>
      <c r="AR506" t="s">
        <v>3150</v>
      </c>
      <c r="AS506" t="s">
        <v>3151</v>
      </c>
    </row>
    <row r="507" spans="1:45" x14ac:dyDescent="0.15">
      <c r="C507">
        <v>1624</v>
      </c>
      <c r="D507">
        <v>4</v>
      </c>
      <c r="H507">
        <v>1</v>
      </c>
      <c r="I507">
        <v>1</v>
      </c>
      <c r="AM507" t="str">
        <f t="shared" si="7"/>
        <v>{dwID=1624,nLevel=4,bCheckLevel=true,nScrutinyType=1,[1]={},[2]={},tCountdown={{nClass=1,nIcon=620,nFrame=5,szName="饱食·纯阳·李忘生",nTime=2,nRefresh=3600,key="冬至·饱食·纯阳",},},},</v>
      </c>
      <c r="AN507" t="s">
        <v>3185</v>
      </c>
    </row>
    <row r="508" spans="1:45" x14ac:dyDescent="0.15">
      <c r="A508" t="s">
        <v>691</v>
      </c>
      <c r="B508">
        <v>11</v>
      </c>
      <c r="AM508" t="str">
        <f t="shared" si="7"/>
        <v>},[11]={</v>
      </c>
    </row>
    <row r="509" spans="1:45" x14ac:dyDescent="0.15">
      <c r="C509">
        <v>11582</v>
      </c>
      <c r="D509">
        <v>1</v>
      </c>
      <c r="I509">
        <v>1</v>
      </c>
      <c r="J509" t="s">
        <v>3186</v>
      </c>
      <c r="K509" t="s">
        <v>3187</v>
      </c>
      <c r="L509" t="s">
        <v>2143</v>
      </c>
      <c r="AM509" t="str">
        <f t="shared" si="7"/>
        <v>{dwID=11582,nLevel=1,nScrutinyType=1,tKungFu={["SKILL#10026"]=true,["SKILL#10062"]=true,},szNote="雪山恩仇·天策",col={255,255,0,},[1]={},[2]={},tCountdown={{nClass=1,nIcon=13695,nFrame=7,szName="雪山恩仇·天策·李承恩",nTime=60,key="雪山恩仇·提示0",},{nClass=2,nIcon=13695,nFrame=7,szName="雪山恩仇·提示0",nTime=0,key="雪山恩仇·提示0",},},},</v>
      </c>
      <c r="AN509" t="s">
        <v>3188</v>
      </c>
      <c r="AO509" t="s">
        <v>3189</v>
      </c>
    </row>
    <row r="510" spans="1:45" x14ac:dyDescent="0.15">
      <c r="C510">
        <v>1624</v>
      </c>
      <c r="D510">
        <v>3</v>
      </c>
      <c r="H510">
        <v>1</v>
      </c>
      <c r="I510">
        <v>1</v>
      </c>
      <c r="AM510" t="str">
        <f t="shared" si="7"/>
        <v>{dwID=1624,nLevel=3,bCheckLevel=true,nScrutinyType=1,[1]={},[2]={},tCountdown={{nClass=1,nIcon=635,nFrame=5,szName="饱食·天策·李承恩",nTime=2,nRefresh=3600,key="冬至·饱食·天策",},},},</v>
      </c>
      <c r="AN510" t="s">
        <v>3190</v>
      </c>
    </row>
    <row r="511" spans="1:45" x14ac:dyDescent="0.15">
      <c r="A511" t="s">
        <v>697</v>
      </c>
      <c r="B511">
        <v>13</v>
      </c>
      <c r="AM511" t="str">
        <f t="shared" si="7"/>
        <v>},[13]={</v>
      </c>
    </row>
    <row r="512" spans="1:45" x14ac:dyDescent="0.15">
      <c r="C512">
        <v>13303</v>
      </c>
      <c r="D512">
        <v>3</v>
      </c>
      <c r="H512">
        <v>1</v>
      </c>
      <c r="I512">
        <v>1</v>
      </c>
      <c r="AM512" t="str">
        <f t="shared" si="7"/>
        <v>{dwID=13303,nLevel=3,bCheckLevel=true,nScrutinyType=1,[1]={},[2]={},tCountdown={{nClass=2,nIcon=293,nFrame=5,szName="雪雪·旅行",nTime=0,key="雪雪·旅行",},{nClass=1,nIcon=293,nFrame=5,szName="旅行·金水镇·金水镇广场",nTime=20,key="雪雪·旅行",},{nClass=2,nIcon=293,nFrame=5,szName="可以去广场戏台找·熊爷",nTime=20,key="雪雪·旅行介绍1",},{nClass=2,nIcon=293,nFrame=5,szName="可以去渡口·刘理阳附近·看湖",nTime=20,key="雪雪·旅行介绍2",},},},</v>
      </c>
      <c r="AN512" t="s">
        <v>3142</v>
      </c>
      <c r="AO512" t="s">
        <v>3191</v>
      </c>
      <c r="AP512" t="s">
        <v>3192</v>
      </c>
      <c r="AQ512" t="s">
        <v>3193</v>
      </c>
    </row>
    <row r="513" spans="1:45" x14ac:dyDescent="0.15">
      <c r="C513">
        <v>23127</v>
      </c>
      <c r="D513">
        <v>1</v>
      </c>
      <c r="AM513" t="str">
        <f t="shared" si="7"/>
        <v>{dwID=23127,nLevel=1,[1]={},[2]={},},</v>
      </c>
    </row>
    <row r="514" spans="1:45" x14ac:dyDescent="0.15">
      <c r="C514">
        <v>23136</v>
      </c>
      <c r="D514">
        <v>1</v>
      </c>
      <c r="I514">
        <v>1</v>
      </c>
      <c r="K514" t="s">
        <v>2681</v>
      </c>
      <c r="Y514">
        <v>1</v>
      </c>
      <c r="AM514" t="str">
        <f t="shared" ref="AM514:AM577" si="8">IF(B514&lt;&gt;"",IF(IFERROR(VALUE(C513),0)&lt;=0,"["&amp;B514&amp;"]={","},["&amp;B514&amp;"]={"),IF(C514&gt;0,"{dwID="&amp;C514&amp;","&amp;"nLevel="&amp;D514&amp;","&amp;IF(E514&gt;0,"nCount="&amp;E514&amp;",","")&amp;IF(F514&gt;0,"nIcon="&amp;F514&amp;",","")&amp;IF(G514&lt;&gt;"","szName="""&amp;G514&amp;""",","")&amp;IF(H514&gt;0,"bCheckLevel=true,","")&amp;IF(I514&gt;0,"nScrutinyType="&amp;I514&amp;",","")&amp;IF(J514&lt;&gt;"","tKungFu={"&amp;J514&amp;"},","")&amp;IF(K514&lt;&gt;"","szNote="""&amp;K514&amp;""",","")&amp;IF(L514&lt;&gt;"","col={"&amp;L514&amp;"},","")&amp;"[1]={"&amp;IF(M514&lt;&gt;"","tMark={"&amp;M514&amp;"},","")&amp;IF(N514&lt;&gt;"","szVoice="""&amp;N514&amp;""",","")&amp;IF(O514&gt;0,"bCheckLevel=true,","")&amp;IF(P514&gt;0,"bWhisperChannel=true,","")&amp;IF(Q514&gt;0,"bCenterAlarm=true,","")&amp;IF(R514&gt;0,"bScreenHead=true,","")&amp;IF(S514&gt;0,"bPartyBuffList=true,","")&amp;IF(T514&gt;0,"bBuffList=true,","")&amp;IF(U514&gt;0,"bTeamPanel=true,","")&amp;IF(V514&gt;0,"bOnlySelfSrc=true,","")&amp;"},"&amp;"[2]={"&amp;IF(W514&gt;0,"bCheckLevel=true,","")&amp;IF(X514&gt;0,"bWhisperChannel=true,","")&amp;IF(Y514&gt;0,"bCenterAlarm=true,","")&amp;"},"&amp;IF(OR(Z514&gt;0,AD514&lt;&gt;"",AE514&gt;0,AF514&lt;&gt;"",AG514&lt;&gt;"",AH514&gt;0,AI514&gt;0,AJ514&gt;0,AK514&gt;0),"aCataclysmBuff={{"&amp;IF(Z514&gt;0,"nStackNum="&amp;Z514&amp;",","")&amp;IF(AA514&lt;&gt;"","szStackOp="""&amp;AA514&amp;""",","")&amp;IF(AB514&gt;0,"bOnlyMine=true,","")&amp;IF(AC514&gt;0,"bOnlyMe=true,","")&amp;IF(AD514&lt;&gt;"","szReminder="""&amp;AD514&amp;""",","")&amp;IF(AE514&gt;0,"nPriority="&amp;AE514&amp;",","")&amp;IF(AF514&lt;&gt;"","col="""&amp;AF514&amp;""",","")&amp;IF(AG514&lt;&gt;"","colScreenHead="""&amp;AG514&amp;""",","")&amp;IF(AH514&gt;0,"nColAlpha="&amp;AH514&amp;",","")&amp;IF(AI514&gt;0,"bAttention=true,","")&amp;IF(AJ514&gt;0,"bCaution=true,","")&amp;IF(AK514&gt;0,"bScreenHead=true,","")&amp;"},"&amp;AL514&amp;"},","")&amp;IF(AN514&lt;&gt;"","tCountdown={"&amp;_xlfn.TEXTJOIN("",TRUE,AN514:ZY514)&amp;"},","")&amp;"},",IF(C513&gt;0,"},","")&amp;IF(AND(B514="",C514="",OR(B513&lt;&gt;"",C513&lt;&gt;"")),"},}","")))</f>
        <v>{dwID=23136,nLevel=1,nScrutinyType=1,szNote="鸠雀记",[1]={},[2]={bCenterAlarm=true,},tCountdown={{nClass=2,nIcon=2399,nFrame=7,szName="奇遇·鸠雀记·解封",nTime=10,key="奇遇·封印",},{nClass=2,nIcon=2399,nFrame=7,szName="扬州·再来镇·张百炼",nTime=10.1,key="奇遇·解封",},{nClass=1,nIcon=2399,nFrame=7,szName="奇遇·鸠雀记·封印·24小时",nTime=10,nRefresh=7200,key="奇遇·封印",},},},</v>
      </c>
      <c r="AN514" t="s">
        <v>2772</v>
      </c>
      <c r="AO514" t="s">
        <v>2773</v>
      </c>
      <c r="AP514" t="s">
        <v>3194</v>
      </c>
    </row>
    <row r="515" spans="1:45" x14ac:dyDescent="0.15">
      <c r="C515">
        <v>13323</v>
      </c>
      <c r="D515">
        <v>1</v>
      </c>
      <c r="I515">
        <v>1</v>
      </c>
      <c r="AM515" t="str">
        <f t="shared" si="8"/>
        <v>{dwID=13323,nLevel=1,nScrutinyType=1,[1]={},[2]={},tCountdown={{nClass=1,nIcon=293,nFrame=5,szName="雪雪·旅行介绍1",nTime=0,key="雪雪·旅行介绍1",},{nClass=1,nIcon=293,nFrame=5,szName="雪雪·旅行介绍2",nTime=0,key="雪雪·旅行介绍2",},{nClass=2,nIcon=17135,nFrame=0,szName="雪雪·旅行介绍1",nTime=0,key="雪雪·旅行介绍1",},{nClass=2,nIcon=17135,nFrame=0,szName="雪雪·旅行介绍2",nTime=0,key="雪雪·旅行介绍2",},{nClass=1,nIcon=17135,nFrame=0,szName="选项1·命途偏·逸",nTime=10,key="雪雪·旅行介绍1",},{nClass=1,nIcon=17135,nFrame=0,szName="选项2·命途偏·尘",nTime=10,key="雪雪·旅行介绍2",},},},</v>
      </c>
      <c r="AN515" t="s">
        <v>3146</v>
      </c>
      <c r="AO515" t="s">
        <v>3147</v>
      </c>
      <c r="AP515" t="s">
        <v>3148</v>
      </c>
      <c r="AQ515" t="s">
        <v>3149</v>
      </c>
      <c r="AR515" t="s">
        <v>3150</v>
      </c>
      <c r="AS515" t="s">
        <v>3151</v>
      </c>
    </row>
    <row r="516" spans="1:45" x14ac:dyDescent="0.15">
      <c r="A516" t="s">
        <v>233</v>
      </c>
      <c r="B516">
        <v>16</v>
      </c>
      <c r="AM516" t="str">
        <f t="shared" si="8"/>
        <v>},[16]={</v>
      </c>
    </row>
    <row r="517" spans="1:45" x14ac:dyDescent="0.15">
      <c r="C517">
        <v>11582</v>
      </c>
      <c r="D517">
        <v>1</v>
      </c>
      <c r="I517">
        <v>1</v>
      </c>
      <c r="J517" t="s">
        <v>2353</v>
      </c>
      <c r="K517" t="s">
        <v>3195</v>
      </c>
      <c r="L517" t="s">
        <v>2143</v>
      </c>
      <c r="AM517" t="str">
        <f t="shared" si="8"/>
        <v>{dwID=11582,nLevel=1,nScrutinyType=1,tKungFu={["SKILL#10080"]=true,["SKILL#10081"]=true,},szNote="雪山恩仇·七秀",col={255,255,0,},[1]={},[2]={},tCountdown={{nClass=1,nIcon=13697,nFrame=7,szName="雪山恩仇·七秀·萧白胭",nTime=60,key="雪山恩仇·提示0",},{nClass=2,nIcon=13697,nFrame=7,szName="雪山恩仇·提示0",nTime=0,key="雪山恩仇·提示0",},},},</v>
      </c>
      <c r="AN517" t="s">
        <v>3196</v>
      </c>
      <c r="AO517" t="s">
        <v>3197</v>
      </c>
    </row>
    <row r="518" spans="1:45" x14ac:dyDescent="0.15">
      <c r="C518">
        <v>10261</v>
      </c>
      <c r="D518">
        <v>1</v>
      </c>
      <c r="K518" t="s">
        <v>2503</v>
      </c>
      <c r="T518">
        <v>1</v>
      </c>
      <c r="U518">
        <v>1</v>
      </c>
      <c r="AM518" t="str">
        <f t="shared" si="8"/>
        <v>{dwID=10261,nLevel=1,szNote="门派事件",[1]={bBuffList=true,bTeamPanel=true,},[2]={},},</v>
      </c>
    </row>
    <row r="519" spans="1:45" x14ac:dyDescent="0.15">
      <c r="C519">
        <v>1624</v>
      </c>
      <c r="D519">
        <v>2</v>
      </c>
      <c r="H519">
        <v>1</v>
      </c>
      <c r="I519">
        <v>1</v>
      </c>
      <c r="AM519" t="str">
        <f t="shared" si="8"/>
        <v>{dwID=1624,nLevel=2,bCheckLevel=true,nScrutinyType=1,[1]={},[2]={},tCountdown={{nClass=1,nIcon=907,nFrame=5,szName="饱食·七秀·叶芷青",nTime=2,nRefresh=3600,key="冬至·饱食·七秀",},},},</v>
      </c>
      <c r="AN519" t="s">
        <v>3198</v>
      </c>
    </row>
    <row r="520" spans="1:45" x14ac:dyDescent="0.15">
      <c r="A520" t="s">
        <v>709</v>
      </c>
      <c r="B520">
        <v>19</v>
      </c>
      <c r="AM520" t="str">
        <f t="shared" si="8"/>
        <v>},[19]={</v>
      </c>
    </row>
    <row r="521" spans="1:45" x14ac:dyDescent="0.15">
      <c r="C521">
        <v>11582</v>
      </c>
      <c r="D521">
        <v>1</v>
      </c>
      <c r="I521">
        <v>1</v>
      </c>
      <c r="K521" t="s">
        <v>2680</v>
      </c>
      <c r="L521" t="s">
        <v>2143</v>
      </c>
      <c r="T521">
        <v>1</v>
      </c>
      <c r="AM521" t="str">
        <f t="shared" si="8"/>
        <v>{dwID=11582,nLevel=1,nScrutinyType=1,szNote="雪山恩仇",col={255,255,0,},[1]={bBuffList=true,},[2]={},tCountdown={{nClass=1,nIcon=4513,nFrame=5,szName="普通空雾峰·玉华池·打坐",nTime=20,key="雪山恩仇·提示0",},{nClass=2,nIcon=4513,nFrame=5,szName="雪山恩仇·提示0",nTime=0,key="雪山恩仇·提示0",},},},</v>
      </c>
      <c r="AN521" t="s">
        <v>3199</v>
      </c>
      <c r="AO521" t="s">
        <v>3200</v>
      </c>
    </row>
    <row r="522" spans="1:45" x14ac:dyDescent="0.15">
      <c r="C522">
        <v>11584</v>
      </c>
      <c r="D522">
        <v>1</v>
      </c>
      <c r="I522">
        <v>1</v>
      </c>
      <c r="K522" t="s">
        <v>2680</v>
      </c>
      <c r="L522" t="s">
        <v>2181</v>
      </c>
      <c r="Y522">
        <v>1</v>
      </c>
      <c r="AM522" t="str">
        <f t="shared" si="8"/>
        <v>{dwID=11584,nLevel=1,nScrutinyType=1,szNote="雪山恩仇",col={255,150,0,},[1]={},[2]={bCenterAlarm=true,},tCountdown={{nClass=2,nIcon=4514,nFrame=0,szName="奇遇·雪山恩仇·解封",nTime=10,key="奇遇·封印",},{nClass=2,nIcon=4514,nFrame=0,szName="普通空雾峰·莫菲菲·传功",nTime=10.1,key="奇遇·解封",},{nClass=1,nIcon=4514,nFrame=0,szName="奇遇·雪山恩仇·封印·23小时",nTime=10,nRefresh=7200,key="奇遇·封印",},},},</v>
      </c>
      <c r="AN522" t="s">
        <v>2770</v>
      </c>
      <c r="AO522" t="s">
        <v>2771</v>
      </c>
      <c r="AP522" t="s">
        <v>3201</v>
      </c>
    </row>
    <row r="523" spans="1:45" x14ac:dyDescent="0.15">
      <c r="A523" t="s">
        <v>711</v>
      </c>
      <c r="B523">
        <v>21</v>
      </c>
      <c r="AM523" t="str">
        <f t="shared" si="8"/>
        <v>},[21]={</v>
      </c>
    </row>
    <row r="524" spans="1:45" x14ac:dyDescent="0.15">
      <c r="C524">
        <v>11326</v>
      </c>
      <c r="D524">
        <v>1</v>
      </c>
      <c r="L524" t="s">
        <v>2168</v>
      </c>
      <c r="T524">
        <v>1</v>
      </c>
      <c r="AM524" t="str">
        <f t="shared" si="8"/>
        <v>{dwID=11326,nLevel=1,col={0,255,0,},[1]={bBuffList=true,},[2]={},},</v>
      </c>
    </row>
    <row r="525" spans="1:45" x14ac:dyDescent="0.15">
      <c r="C525">
        <v>11286</v>
      </c>
      <c r="D525">
        <v>1</v>
      </c>
      <c r="T525">
        <v>1</v>
      </c>
      <c r="AM525" t="str">
        <f t="shared" si="8"/>
        <v>{dwID=11286,nLevel=1,[1]={bBuffList=true,},[2]={},},</v>
      </c>
    </row>
    <row r="526" spans="1:45" x14ac:dyDescent="0.15">
      <c r="C526">
        <v>11284</v>
      </c>
      <c r="D526">
        <v>1</v>
      </c>
      <c r="T526">
        <v>1</v>
      </c>
      <c r="AM526" t="str">
        <f t="shared" si="8"/>
        <v>{dwID=11284,nLevel=1,[1]={bBuffList=true,},[2]={},},</v>
      </c>
    </row>
    <row r="527" spans="1:45" x14ac:dyDescent="0.15">
      <c r="C527">
        <v>11287</v>
      </c>
      <c r="D527">
        <v>1</v>
      </c>
      <c r="T527">
        <v>1</v>
      </c>
      <c r="AM527" t="str">
        <f t="shared" si="8"/>
        <v>{dwID=11287,nLevel=1,[1]={bBuffList=true,},[2]={},},</v>
      </c>
    </row>
    <row r="528" spans="1:45" x14ac:dyDescent="0.15">
      <c r="C528">
        <v>11285</v>
      </c>
      <c r="D528">
        <v>1</v>
      </c>
      <c r="T528">
        <v>1</v>
      </c>
      <c r="AM528" t="str">
        <f t="shared" si="8"/>
        <v>{dwID=11285,nLevel=1,[1]={bBuffList=true,},[2]={},},</v>
      </c>
    </row>
    <row r="529" spans="1:45" x14ac:dyDescent="0.15">
      <c r="C529">
        <v>11487</v>
      </c>
      <c r="D529">
        <v>1</v>
      </c>
      <c r="T529">
        <v>1</v>
      </c>
      <c r="AM529" t="str">
        <f t="shared" si="8"/>
        <v>{dwID=11487,nLevel=1,[1]={bBuffList=true,},[2]={},},</v>
      </c>
    </row>
    <row r="530" spans="1:45" x14ac:dyDescent="0.15">
      <c r="C530">
        <v>11491</v>
      </c>
      <c r="D530">
        <v>1</v>
      </c>
      <c r="T530">
        <v>1</v>
      </c>
      <c r="AM530" t="str">
        <f t="shared" si="8"/>
        <v>{dwID=11491,nLevel=1,[1]={bBuffList=true,},[2]={},},</v>
      </c>
    </row>
    <row r="531" spans="1:45" x14ac:dyDescent="0.15">
      <c r="C531">
        <v>11488</v>
      </c>
      <c r="D531">
        <v>1</v>
      </c>
      <c r="T531">
        <v>1</v>
      </c>
      <c r="AM531" t="str">
        <f t="shared" si="8"/>
        <v>{dwID=11488,nLevel=1,[1]={bBuffList=true,},[2]={},},</v>
      </c>
    </row>
    <row r="532" spans="1:45" x14ac:dyDescent="0.15">
      <c r="C532">
        <v>23663</v>
      </c>
      <c r="D532">
        <v>1</v>
      </c>
      <c r="G532" t="s">
        <v>3202</v>
      </c>
      <c r="I532">
        <v>1</v>
      </c>
      <c r="K532" t="s">
        <v>571</v>
      </c>
      <c r="AM532" t="str">
        <f t="shared" si="8"/>
        <v>{dwID=23663,nLevel=1,szName="好感度",nScrutinyType=1,szNote="好感度任务_唐小珂0_6进行中标记",[1]={},[2]={},},</v>
      </c>
    </row>
    <row r="533" spans="1:45" x14ac:dyDescent="0.15">
      <c r="A533" t="s">
        <v>234</v>
      </c>
      <c r="B533">
        <v>23</v>
      </c>
      <c r="AM533" t="str">
        <f t="shared" si="8"/>
        <v>},[23]={</v>
      </c>
    </row>
    <row r="534" spans="1:45" x14ac:dyDescent="0.15">
      <c r="C534">
        <v>7237</v>
      </c>
      <c r="D534">
        <v>1</v>
      </c>
      <c r="F534">
        <v>3043</v>
      </c>
      <c r="G534" t="s">
        <v>408</v>
      </c>
      <c r="I534">
        <v>1</v>
      </c>
      <c r="K534" t="s">
        <v>3203</v>
      </c>
      <c r="T534">
        <v>1</v>
      </c>
      <c r="AM534" t="str">
        <f t="shared" si="8"/>
        <v>{dwID=7237,nLevel=1,nIcon=3043,szName="宝箱",nScrutinyType=1,szNote="胡月宝箱限制",[1]={bBuffList=true,},[2]={},},</v>
      </c>
    </row>
    <row r="535" spans="1:45" x14ac:dyDescent="0.15">
      <c r="C535">
        <v>5055</v>
      </c>
      <c r="D535">
        <v>1</v>
      </c>
      <c r="F535">
        <v>4579</v>
      </c>
      <c r="G535" t="s">
        <v>2358</v>
      </c>
      <c r="K535" t="s">
        <v>3204</v>
      </c>
      <c r="T535">
        <v>1</v>
      </c>
      <c r="AM535" t="str">
        <f t="shared" si="8"/>
        <v>{dwID=5055,nLevel=1,nIcon=4579,szName="CD",szNote="龙门飞剑内置CD",[1]={bBuffList=true,},[2]={},},</v>
      </c>
    </row>
    <row r="536" spans="1:45" x14ac:dyDescent="0.15">
      <c r="C536">
        <v>5042</v>
      </c>
      <c r="D536">
        <v>1</v>
      </c>
      <c r="F536">
        <v>1289</v>
      </c>
      <c r="G536" t="s">
        <v>109</v>
      </c>
      <c r="K536" t="s">
        <v>377</v>
      </c>
      <c r="T536">
        <v>1</v>
      </c>
      <c r="AM536" t="str">
        <f t="shared" si="8"/>
        <v>{dwID=5042,nLevel=1,nIcon=1289,szName="准备",szNote="龙门飞剑_4秒锁足",[1]={bBuffList=true,},[2]={},},</v>
      </c>
    </row>
    <row r="537" spans="1:45" x14ac:dyDescent="0.15">
      <c r="C537">
        <v>12394</v>
      </c>
      <c r="D537">
        <v>1</v>
      </c>
      <c r="F537">
        <v>6954</v>
      </c>
      <c r="G537" t="s">
        <v>3205</v>
      </c>
      <c r="I537">
        <v>1</v>
      </c>
      <c r="K537" t="s">
        <v>459</v>
      </c>
      <c r="L537" t="s">
        <v>2143</v>
      </c>
      <c r="T537">
        <v>1</v>
      </c>
      <c r="AM537" t="str">
        <f t="shared" si="8"/>
        <v>{dwID=12394,nLevel=1,nIcon=6954,szName="锋芒展·伙计对话",nScrutinyType=1,szNote="锋芒展_伙计对话",col={255,255,0,},[1]={bBuffList=true,},[2]={},},</v>
      </c>
    </row>
    <row r="538" spans="1:45" x14ac:dyDescent="0.15">
      <c r="C538">
        <v>12430</v>
      </c>
      <c r="D538">
        <v>1</v>
      </c>
      <c r="F538">
        <v>19489</v>
      </c>
      <c r="G538" t="s">
        <v>3206</v>
      </c>
      <c r="I538">
        <v>1</v>
      </c>
      <c r="K538" t="s">
        <v>3207</v>
      </c>
      <c r="L538" t="s">
        <v>2143</v>
      </c>
      <c r="T538">
        <v>1</v>
      </c>
      <c r="AM538" t="str">
        <f t="shared" si="8"/>
        <v>{dwID=12430,nLevel=1,nIcon=19489,szName="剧情",nScrutinyType=1,szNote="锋芒展",col={255,255,0,},[1]={bBuffList=true,},[2]={},},</v>
      </c>
    </row>
    <row r="539" spans="1:45" x14ac:dyDescent="0.15">
      <c r="A539" t="s">
        <v>716</v>
      </c>
      <c r="B539">
        <v>30</v>
      </c>
      <c r="AM539" t="str">
        <f t="shared" si="8"/>
        <v>},[30]={</v>
      </c>
    </row>
    <row r="540" spans="1:45" x14ac:dyDescent="0.15">
      <c r="C540">
        <v>13303</v>
      </c>
      <c r="D540">
        <v>5</v>
      </c>
      <c r="H540">
        <v>1</v>
      </c>
      <c r="I540">
        <v>1</v>
      </c>
      <c r="AM540" t="str">
        <f t="shared" si="8"/>
        <v>{dwID=13303,nLevel=5,bCheckLevel=true,nScrutinyType=1,[1]={},[2]={},tCountdown={{nClass=2,nIcon=293,nFrame=5,szName="雪雪·旅行",nTime=0,key="雪雪·旅行",},{nClass=1,nIcon=293,nFrame=5,szName="旅行·昆仑·小遥峰",nTime=20,key="雪雪·旅行",},{nClass=2,nIcon=293,nFrame=5,szName="可以往瀑布方向走·看冰水",nTime=20,key="雪雪·旅行介绍1",},{nClass=2,nIcon=293,nFrame=5,szName="可以找·NPC冰雪",nTime=20,key="雪雪·旅行介绍2",},},},</v>
      </c>
      <c r="AN540" t="s">
        <v>3142</v>
      </c>
      <c r="AO540" t="s">
        <v>3208</v>
      </c>
      <c r="AP540" t="s">
        <v>3209</v>
      </c>
      <c r="AQ540" t="s">
        <v>3210</v>
      </c>
    </row>
    <row r="541" spans="1:45" x14ac:dyDescent="0.15">
      <c r="C541">
        <v>13323</v>
      </c>
      <c r="D541">
        <v>1</v>
      </c>
      <c r="I541">
        <v>1</v>
      </c>
      <c r="AM541" t="str">
        <f t="shared" si="8"/>
        <v>{dwID=13323,nLevel=1,nScrutinyType=1,[1]={},[2]={},tCountdown={{nClass=1,nIcon=293,nFrame=5,szName="雪雪·旅行介绍1",nTime=0,key="雪雪·旅行介绍1",},{nClass=1,nIcon=293,nFrame=5,szName="雪雪·旅行介绍2",nTime=0,key="雪雪·旅行介绍2",},{nClass=2,nIcon=17135,nFrame=0,szName="雪雪·旅行介绍1",nTime=0,key="雪雪·旅行介绍1",},{nClass=2,nIcon=17135,nFrame=0,szName="雪雪·旅行介绍2",nTime=0,key="雪雪·旅行介绍2",},{nClass=1,nIcon=17135,nFrame=0,szName="选项1·命途偏·逸",nTime=10,key="雪雪·旅行介绍1",},{nClass=1,nIcon=17135,nFrame=0,szName="选项2·命途偏·尘",nTime=10,key="雪雪·旅行介绍2",},},},</v>
      </c>
      <c r="AN541" t="s">
        <v>3146</v>
      </c>
      <c r="AO541" t="s">
        <v>3147</v>
      </c>
      <c r="AP541" t="s">
        <v>3148</v>
      </c>
      <c r="AQ541" t="s">
        <v>3149</v>
      </c>
      <c r="AR541" t="s">
        <v>3150</v>
      </c>
      <c r="AS541" t="s">
        <v>3151</v>
      </c>
    </row>
    <row r="542" spans="1:45" x14ac:dyDescent="0.15">
      <c r="A542" t="s">
        <v>242</v>
      </c>
      <c r="B542">
        <v>35</v>
      </c>
      <c r="AM542" t="str">
        <f t="shared" si="8"/>
        <v>},[35]={</v>
      </c>
    </row>
    <row r="543" spans="1:45" x14ac:dyDescent="0.15">
      <c r="C543">
        <v>3841</v>
      </c>
      <c r="D543">
        <v>1</v>
      </c>
      <c r="T543">
        <v>1</v>
      </c>
      <c r="AM543" t="str">
        <f t="shared" si="8"/>
        <v>{dwID=3841,nLevel=1,[1]={bBuffList=true,},[2]={},tCountdown={{nClass=2,nIcon=370,nFrame=5,szName="蜜蜂·采仙草",nTime=0,key="蜜蜂·采仙草",},{nClass=1,nIcon=370,nFrame=5,szName="蜜蜂·靠近水面",nTime=10,key="蜜蜂·采仙草",},},},</v>
      </c>
      <c r="AN543" t="s">
        <v>3211</v>
      </c>
      <c r="AO543" t="s">
        <v>3212</v>
      </c>
    </row>
    <row r="544" spans="1:45" x14ac:dyDescent="0.15">
      <c r="C544">
        <v>3842</v>
      </c>
      <c r="D544">
        <v>1</v>
      </c>
      <c r="T544">
        <v>1</v>
      </c>
      <c r="AM544" t="str">
        <f t="shared" si="8"/>
        <v>{dwID=3842,nLevel=1,[1]={bBuffList=true,},[2]={},tCountdown={{nClass=1,nIcon=370,nFrame=5,szName="蜜蜂·采仙草",nTime=0,key="蜜蜂·采仙草",},{nClass=2,nIcon=370,nFrame=5,szName="蜜蜂·采仙草",nTime=0,key="蜜蜂·采仙草",},},},</v>
      </c>
      <c r="AN544" t="s">
        <v>3213</v>
      </c>
      <c r="AO544" t="s">
        <v>3211</v>
      </c>
    </row>
    <row r="545" spans="1:42" x14ac:dyDescent="0.15">
      <c r="C545">
        <v>8912</v>
      </c>
      <c r="D545">
        <v>1</v>
      </c>
      <c r="T545">
        <v>1</v>
      </c>
      <c r="U545">
        <v>1</v>
      </c>
      <c r="AM545" t="str">
        <f t="shared" si="8"/>
        <v>{dwID=8912,nLevel=1,[1]={bBuffList=true,bTeamPanel=true,},[2]={},},</v>
      </c>
    </row>
    <row r="546" spans="1:42" x14ac:dyDescent="0.15">
      <c r="A546" t="s">
        <v>728</v>
      </c>
      <c r="B546">
        <v>43</v>
      </c>
      <c r="AM546" t="str">
        <f t="shared" si="8"/>
        <v>},[43]={</v>
      </c>
    </row>
    <row r="547" spans="1:42" x14ac:dyDescent="0.15">
      <c r="C547">
        <v>11582</v>
      </c>
      <c r="D547">
        <v>1</v>
      </c>
      <c r="I547">
        <v>1</v>
      </c>
      <c r="K547" t="s">
        <v>2680</v>
      </c>
      <c r="L547" t="s">
        <v>2143</v>
      </c>
      <c r="AM547" t="str">
        <f t="shared" si="8"/>
        <v>{dwID=11582,nLevel=1,nScrutinyType=1,szNote="雪山恩仇",col={255,255,0,},[1]={},[2]={},tCountdown={{nClass=1,nIcon=4513,nFrame=5,szName="请前往·普通空雾峰·玉华池",nTime=10,key="雪山恩仇·提示0",},{nClass=2,nIcon=4513,nFrame=5,szName="雪山恩仇·提示0",nTime=0,key="雪山恩仇·提示0",},},},</v>
      </c>
      <c r="AN547" t="s">
        <v>3214</v>
      </c>
      <c r="AO547" t="s">
        <v>3200</v>
      </c>
    </row>
    <row r="548" spans="1:42" x14ac:dyDescent="0.15">
      <c r="A548" t="s">
        <v>734</v>
      </c>
      <c r="B548">
        <v>49</v>
      </c>
      <c r="AM548" t="str">
        <f t="shared" si="8"/>
        <v>},[49]={</v>
      </c>
    </row>
    <row r="549" spans="1:42" x14ac:dyDescent="0.15">
      <c r="C549">
        <v>11582</v>
      </c>
      <c r="D549">
        <v>1</v>
      </c>
      <c r="I549">
        <v>1</v>
      </c>
      <c r="J549" t="s">
        <v>3215</v>
      </c>
      <c r="K549" t="s">
        <v>3216</v>
      </c>
      <c r="L549" t="s">
        <v>2143</v>
      </c>
      <c r="AM549" t="str">
        <f t="shared" si="8"/>
        <v>{dwID=11582,nLevel=1,nScrutinyType=1,tKungFu={["SKILL#10144"]=true,["SKILL#10145"]=true,},szNote="雪山恩仇·藏剑",col={255,255,0,},[1]={},[2]={},tCountdown={{nClass=1,nIcon=13698,nFrame=7,szName="雪山恩仇·藏剑·叶晖",nTime=60,key="雪山恩仇·提示0",},{nClass=2,nIcon=13698,nFrame=7,szName="雪山恩仇·提示0",nTime=0,key="雪山恩仇·提示0",},},},</v>
      </c>
      <c r="AN549" t="s">
        <v>3217</v>
      </c>
      <c r="AO549" t="s">
        <v>3218</v>
      </c>
    </row>
    <row r="550" spans="1:42" x14ac:dyDescent="0.15">
      <c r="C550">
        <v>10275</v>
      </c>
      <c r="D550">
        <v>1</v>
      </c>
      <c r="T550">
        <v>1</v>
      </c>
      <c r="AM550" t="str">
        <f t="shared" si="8"/>
        <v>{dwID=10275,nLevel=1,[1]={bBuffList=true,},[2]={},},</v>
      </c>
    </row>
    <row r="551" spans="1:42" x14ac:dyDescent="0.15">
      <c r="C551">
        <v>1624</v>
      </c>
      <c r="D551">
        <v>6</v>
      </c>
      <c r="H551">
        <v>1</v>
      </c>
      <c r="I551">
        <v>1</v>
      </c>
      <c r="AM551" t="str">
        <f t="shared" si="8"/>
        <v>{dwID=1624,nLevel=6,bCheckLevel=true,nScrutinyType=1,[1]={},[2]={},tCountdown={{nClass=1,nIcon=2392,nFrame=5,szName="饱食·藏剑·叶英",nTime=2,nRefresh=3600,key="冬至·饱食·藏剑",},},},</v>
      </c>
      <c r="AN551" t="s">
        <v>3219</v>
      </c>
    </row>
    <row r="552" spans="1:42" x14ac:dyDescent="0.15">
      <c r="A552" t="s">
        <v>243</v>
      </c>
      <c r="B552">
        <v>52</v>
      </c>
      <c r="AM552" t="str">
        <f t="shared" si="8"/>
        <v>},[52]={</v>
      </c>
    </row>
    <row r="553" spans="1:42" x14ac:dyDescent="0.15">
      <c r="C553">
        <v>11604</v>
      </c>
      <c r="D553">
        <v>1</v>
      </c>
      <c r="K553" t="s">
        <v>454</v>
      </c>
      <c r="L553" t="s">
        <v>3220</v>
      </c>
      <c r="R553">
        <v>1</v>
      </c>
      <c r="T553">
        <v>1</v>
      </c>
      <c r="U553">
        <v>1</v>
      </c>
      <c r="AD553" t="s">
        <v>3221</v>
      </c>
      <c r="AE553">
        <v>2</v>
      </c>
      <c r="AF553" t="s">
        <v>3222</v>
      </c>
      <c r="AG553" t="s">
        <v>3223</v>
      </c>
      <c r="AH553">
        <v>255</v>
      </c>
      <c r="AK553">
        <v>1</v>
      </c>
      <c r="AM553" t="str">
        <f t="shared" si="8"/>
        <v>{dwID=11604,nLevel=1,szNote="内满·贰",col={255,50,255,},[1]={bScreenHead=true,bBuffList=true,bTeamPanel=true,},[2]={},aCataclysmBuff={{szReminder="爆 内满·贰爆炸15尺内阳性伤害",nPriority=2,col="#FF32FFFF",colScreenHead="#FF32FF",nColAlpha=255,bScreenHead=true,},},},</v>
      </c>
    </row>
    <row r="554" spans="1:42" x14ac:dyDescent="0.15">
      <c r="A554" t="s">
        <v>760</v>
      </c>
      <c r="B554">
        <v>102</v>
      </c>
      <c r="AM554" t="str">
        <f t="shared" si="8"/>
        <v>},[102]={</v>
      </c>
    </row>
    <row r="555" spans="1:42" x14ac:dyDescent="0.15">
      <c r="C555">
        <v>11582</v>
      </c>
      <c r="D555">
        <v>1</v>
      </c>
      <c r="I555">
        <v>1</v>
      </c>
      <c r="J555" t="s">
        <v>2344</v>
      </c>
      <c r="K555" t="s">
        <v>3224</v>
      </c>
      <c r="L555" t="s">
        <v>2143</v>
      </c>
      <c r="AM555" t="str">
        <f t="shared" si="8"/>
        <v>{dwID=11582,nLevel=1,nScrutinyType=1,tKungFu={["SKILL#10175"]=true,["SKILL#10176"]=true,},szNote="雪山恩仇·五毒",col={255,255,0,},[1]={},[2]={},tCountdown={{nClass=1,nIcon=13699,nFrame=7,szName="雪山恩仇·五毒·艾黎",nTime=60,key="雪山恩仇·提示0",},{nClass=2,nIcon=13699,nFrame=7,szName="雪山恩仇·提示0",nTime=0,key="雪山恩仇·提示0",},},},</v>
      </c>
      <c r="AN555" t="s">
        <v>3225</v>
      </c>
      <c r="AO555" t="s">
        <v>3226</v>
      </c>
    </row>
    <row r="556" spans="1:42" x14ac:dyDescent="0.15">
      <c r="C556">
        <v>1624</v>
      </c>
      <c r="D556">
        <v>8</v>
      </c>
      <c r="H556">
        <v>1</v>
      </c>
      <c r="I556">
        <v>1</v>
      </c>
      <c r="AM556" t="str">
        <f t="shared" si="8"/>
        <v>{dwID=1624,nLevel=8,bCheckLevel=true,nScrutinyType=1,[1]={},[2]={},tCountdown={{nClass=1,nIcon=2756,nFrame=5,szName="饱食·五毒·曲云",nTime=2,nRefresh=3600,key="冬至·饱食·五毒",},},},</v>
      </c>
      <c r="AN556" t="s">
        <v>3227</v>
      </c>
    </row>
    <row r="557" spans="1:42" x14ac:dyDescent="0.15">
      <c r="C557">
        <v>11894</v>
      </c>
      <c r="D557">
        <v>1</v>
      </c>
      <c r="I557">
        <v>1</v>
      </c>
      <c r="K557" t="s">
        <v>456</v>
      </c>
      <c r="Y557">
        <v>1</v>
      </c>
      <c r="AM557" t="str">
        <f t="shared" si="8"/>
        <v>{dwID=11894,nLevel=1,nScrutinyType=1,szNote="东海客_隔日CD",[1]={},[2]={bCenterAlarm=true,},tCountdown={{nClass=2,nIcon=1372,nFrame=7,szName="奇遇·东海客·解封",nTime=10,key="奇遇·封印",},{nClass=2,nIcon=1372,nFrame=7,szName="五毒·无心岭·达久婆婆",nTime=10.1,key="奇遇·解封",},{nClass=1,nIcon=1372,nFrame=7,szName="奇遇·东海客·封印·明日7时",nTime=10,nRefresh=7200,key="奇遇·封印",},},},</v>
      </c>
      <c r="AN557" t="s">
        <v>2786</v>
      </c>
      <c r="AO557" t="s">
        <v>2787</v>
      </c>
      <c r="AP557" t="s">
        <v>3228</v>
      </c>
    </row>
    <row r="558" spans="1:42" x14ac:dyDescent="0.15">
      <c r="C558">
        <v>13344</v>
      </c>
      <c r="D558">
        <v>3</v>
      </c>
      <c r="F558">
        <v>2119</v>
      </c>
      <c r="G558" t="s">
        <v>360</v>
      </c>
      <c r="K558" t="s">
        <v>3229</v>
      </c>
      <c r="T558">
        <v>1</v>
      </c>
      <c r="AM558" t="str">
        <f t="shared" si="8"/>
        <v>{dwID=13344,nLevel=3,nIcon=2119,szName="锁定",szNote="雪雪养成",[1]={bBuffList=true,},[2]={},},</v>
      </c>
    </row>
    <row r="559" spans="1:42" x14ac:dyDescent="0.15">
      <c r="C559">
        <v>11461</v>
      </c>
      <c r="D559">
        <v>1</v>
      </c>
      <c r="I559">
        <v>1</v>
      </c>
      <c r="K559" t="s">
        <v>3230</v>
      </c>
      <c r="AM559" t="str">
        <f t="shared" si="8"/>
        <v>{dwID=11461,nLevel=1,nScrutinyType=1,szNote="滇南行·护体圣药",[1]={},[2]={},},</v>
      </c>
    </row>
    <row r="560" spans="1:42" x14ac:dyDescent="0.15">
      <c r="A560" t="s">
        <v>766</v>
      </c>
      <c r="B560">
        <v>108</v>
      </c>
      <c r="AM560" t="str">
        <f t="shared" si="8"/>
        <v>},[108]={</v>
      </c>
    </row>
    <row r="561" spans="1:45" x14ac:dyDescent="0.15">
      <c r="C561">
        <v>9119</v>
      </c>
      <c r="D561">
        <v>1</v>
      </c>
      <c r="I561">
        <v>1</v>
      </c>
      <c r="K561" t="s">
        <v>416</v>
      </c>
      <c r="Y561">
        <v>1</v>
      </c>
      <c r="AM561" t="str">
        <f t="shared" si="8"/>
        <v>{dwID=9119,nLevel=1,nScrutinyType=1,szNote="少年行",[1]={},[2]={bCenterAlarm=true,},tCountdown={{nClass=2,nIcon=1475,nFrame=7,szName="奇遇·少年行·解封",nTime=10.1,key="奇遇·封印",},{nClass=2,nIcon=1475,nFrame=7,szName="奇遇·解封",nTime=0,key="奇遇·解封",},{nClass=1,nIcon=1475,nFrame=7,szName="奇遇·少年行·封印·明日7时",nTime=10,nRefresh=7200,key="奇遇·封印",},},},</v>
      </c>
      <c r="AN561" t="s">
        <v>3231</v>
      </c>
      <c r="AO561" t="s">
        <v>2775</v>
      </c>
      <c r="AP561" t="s">
        <v>3232</v>
      </c>
    </row>
    <row r="562" spans="1:45" x14ac:dyDescent="0.15">
      <c r="C562">
        <v>10753</v>
      </c>
      <c r="D562">
        <v>1</v>
      </c>
      <c r="F562">
        <v>8134</v>
      </c>
      <c r="G562" t="s">
        <v>2685</v>
      </c>
      <c r="I562">
        <v>1</v>
      </c>
      <c r="K562" t="s">
        <v>435</v>
      </c>
      <c r="T562">
        <v>1</v>
      </c>
      <c r="Y562">
        <v>1</v>
      </c>
      <c r="AM562" t="str">
        <f t="shared" si="8"/>
        <v>{dwID=10753,nLevel=1,nIcon=8134,szName="石敢当",nScrutinyType=1,szNote="石敢当奇遇日常buff",[1]={bBuffList=true,},[2]={bCenterAlarm=true,},tCountdown={{nClass=2,nIcon=8134,nFrame=7,szName="奇遇·石敢当·解封",nTime=10,key="奇遇·封印",},{nClass=2,nIcon=8134,nFrame=7,szName="成都·吴为有",nTime=10.1,key="奇遇·解封",},{nClass=1,nIcon=8134,nFrame=7,szName="奇遇·石敢当·封印·明日7时",nTime=10,nRefresh=7200,key="奇遇·封印",},},},</v>
      </c>
      <c r="AN562" t="s">
        <v>2782</v>
      </c>
      <c r="AO562" t="s">
        <v>2783</v>
      </c>
      <c r="AP562" t="s">
        <v>3233</v>
      </c>
    </row>
    <row r="563" spans="1:45" x14ac:dyDescent="0.15">
      <c r="C563">
        <v>21849</v>
      </c>
      <c r="D563">
        <v>1</v>
      </c>
      <c r="I563">
        <v>1</v>
      </c>
      <c r="K563" t="s">
        <v>561</v>
      </c>
      <c r="Y563">
        <v>1</v>
      </c>
      <c r="AM563" t="str">
        <f t="shared" si="8"/>
        <v>{dwID=21849,nLevel=1,nScrutinyType=1,szNote="凌云梯_切磋3天Buff",[1]={},[2]={bCenterAlarm=true,},tCountdown={{nClass=2,nIcon=9,nFrame=7,szName="奇遇·凌云梯·解封",nTime=10,key="奇遇·封印",},{nClass=2,nIcon=9,nFrame=7,szName="成都·擂台·楚辞岩",nTime=10.1,key="奇遇·解封",},{nClass=1,nIcon=9,nFrame=7,szName="奇遇·凌云梯·封印·24小时",nTime=10,nRefresh=7200,key="奇遇·封印",},},},</v>
      </c>
      <c r="AN563" t="s">
        <v>2799</v>
      </c>
      <c r="AO563" t="s">
        <v>2800</v>
      </c>
      <c r="AP563" t="s">
        <v>3234</v>
      </c>
    </row>
    <row r="564" spans="1:45" x14ac:dyDescent="0.15">
      <c r="C564">
        <v>7309</v>
      </c>
      <c r="D564">
        <v>1</v>
      </c>
      <c r="I564">
        <v>1</v>
      </c>
      <c r="AM564" t="str">
        <f t="shared" si="8"/>
        <v>{dwID=7309,nLevel=1,nScrutinyType=1,[1]={},[2]={},tCountdown={{nClass=2,nIcon=3314,nFrame=5,szName="断线的风筝",nTime=0,key="断线的风筝",},},},</v>
      </c>
      <c r="AN564" t="s">
        <v>3167</v>
      </c>
    </row>
    <row r="565" spans="1:45" x14ac:dyDescent="0.15">
      <c r="C565">
        <v>7312</v>
      </c>
      <c r="D565">
        <v>1</v>
      </c>
      <c r="F565">
        <v>3393</v>
      </c>
      <c r="G565" t="s">
        <v>2358</v>
      </c>
      <c r="I565">
        <v>1</v>
      </c>
      <c r="L565" t="s">
        <v>3168</v>
      </c>
      <c r="R565">
        <v>1</v>
      </c>
      <c r="T565">
        <v>1</v>
      </c>
      <c r="AM565" t="str">
        <f t="shared" si="8"/>
        <v>{dwID=7312,nLevel=1,nIcon=3393,szName="CD",nScrutinyType=1,col={255,0,255,},[1]={bScreenHead=true,bBuffList=true,},[2]={},tCountdown={{nClass=1,nIcon=5372,nFrame=1,szName="踩花灯·CD",nTime=2,key="踩花灯·CD",},{nClass=2,nIcon=5372,nFrame=5,szName="踩花灯·CD",nTime=0,key="踩花灯·CD",},},},</v>
      </c>
      <c r="AN565" t="s">
        <v>3169</v>
      </c>
      <c r="AO565" t="s">
        <v>3170</v>
      </c>
    </row>
    <row r="566" spans="1:45" x14ac:dyDescent="0.15">
      <c r="A566" t="s">
        <v>778</v>
      </c>
      <c r="B566">
        <v>120</v>
      </c>
      <c r="AM566" t="str">
        <f t="shared" si="8"/>
        <v>},[120]={</v>
      </c>
    </row>
    <row r="567" spans="1:45" x14ac:dyDescent="0.15">
      <c r="C567">
        <v>3416</v>
      </c>
      <c r="D567">
        <v>1</v>
      </c>
      <c r="L567" t="s">
        <v>3235</v>
      </c>
      <c r="R567">
        <v>1</v>
      </c>
      <c r="T567">
        <v>1</v>
      </c>
      <c r="U567">
        <v>1</v>
      </c>
      <c r="AD567" t="s">
        <v>3236</v>
      </c>
      <c r="AE567">
        <v>3</v>
      </c>
      <c r="AF567" t="s">
        <v>3237</v>
      </c>
      <c r="AG567" t="s">
        <v>3238</v>
      </c>
      <c r="AH567">
        <v>255</v>
      </c>
      <c r="AK567">
        <v>1</v>
      </c>
      <c r="AM567" t="str">
        <f t="shared" si="8"/>
        <v>{dwID=3416,nLevel=1,col={45,255,255,},[1]={bScreenHead=true,bBuffList=true,bTeamPanel=true,},[2]={},aCataclysmBuff={{szReminder="凝",nPriority=3,col="#2DFFFFFF",colScreenHead="#2DFFFF",nColAlpha=255,bScreenHead=true,},},},</v>
      </c>
    </row>
    <row r="568" spans="1:45" x14ac:dyDescent="0.15">
      <c r="C568">
        <v>3454</v>
      </c>
      <c r="D568">
        <v>1</v>
      </c>
      <c r="L568" t="s">
        <v>3239</v>
      </c>
      <c r="R568">
        <v>1</v>
      </c>
      <c r="T568">
        <v>1</v>
      </c>
      <c r="U568">
        <v>1</v>
      </c>
      <c r="AD568" t="s">
        <v>3240</v>
      </c>
      <c r="AF568" t="s">
        <v>3241</v>
      </c>
      <c r="AG568" t="s">
        <v>3242</v>
      </c>
      <c r="AH568">
        <v>255</v>
      </c>
      <c r="AI568">
        <v>1</v>
      </c>
      <c r="AK568">
        <v>1</v>
      </c>
      <c r="AM568" t="str">
        <f t="shared" si="8"/>
        <v>{dwID=3454,nLevel=1,col={255,255,45,},[1]={bScreenHead=true,bBuffList=true,bTeamPanel=true,},[2]={},aCataclysmBuff={{szReminder="石",col="#FFFF2DFF",colScreenHead="#FFFF2D",nColAlpha=255,bAttention=true,bScreenHead=true,},},},</v>
      </c>
    </row>
    <row r="569" spans="1:45" x14ac:dyDescent="0.15">
      <c r="A569" t="s">
        <v>244</v>
      </c>
      <c r="B569">
        <v>122</v>
      </c>
      <c r="AM569" t="str">
        <f t="shared" si="8"/>
        <v>},[122]={</v>
      </c>
    </row>
    <row r="570" spans="1:45" x14ac:dyDescent="0.15">
      <c r="C570">
        <v>11582</v>
      </c>
      <c r="D570">
        <v>1</v>
      </c>
      <c r="I570">
        <v>1</v>
      </c>
      <c r="J570" t="s">
        <v>3243</v>
      </c>
      <c r="K570" t="s">
        <v>3244</v>
      </c>
      <c r="L570" t="s">
        <v>2143</v>
      </c>
      <c r="AM570" t="str">
        <f t="shared" si="8"/>
        <v>{dwID=11582,nLevel=1,nScrutinyType=1,tKungFu={["SKILL#10224"]=true,["SKILL#10225"]=true,},szNote="雪山恩仇·唐门",col={255,255,0,},[1]={},[2]={},tCountdown={{nClass=1,nIcon=13700,nFrame=7,szName="雪山恩仇·唐门·唐老太太",nTime=60,key="雪山恩仇·提示0",},{nClass=2,nIcon=13700,nFrame=7,szName="雪山恩仇·提示0",nTime=0,key="雪山恩仇·提示0",},},},</v>
      </c>
      <c r="AN570" t="s">
        <v>3245</v>
      </c>
      <c r="AO570" t="s">
        <v>3246</v>
      </c>
    </row>
    <row r="571" spans="1:45" x14ac:dyDescent="0.15">
      <c r="C571">
        <v>1624</v>
      </c>
      <c r="D571">
        <v>7</v>
      </c>
      <c r="H571">
        <v>1</v>
      </c>
      <c r="I571">
        <v>1</v>
      </c>
      <c r="AM571" t="str">
        <f t="shared" si="8"/>
        <v>{dwID=1624,nLevel=7,bCheckLevel=true,nScrutinyType=1,[1]={},[2]={},tCountdown={{nClass=1,nIcon=3176,nFrame=5,szName="饱食·唐门·唐老太太",nTime=2,nRefresh=3600,key="冬至·饱食·唐门",},},},</v>
      </c>
      <c r="AN571" t="s">
        <v>3247</v>
      </c>
    </row>
    <row r="572" spans="1:45" x14ac:dyDescent="0.15">
      <c r="A572" t="s">
        <v>245</v>
      </c>
      <c r="B572">
        <v>150</v>
      </c>
      <c r="AM572" t="str">
        <f t="shared" si="8"/>
        <v>},[150]={</v>
      </c>
    </row>
    <row r="573" spans="1:45" x14ac:dyDescent="0.15">
      <c r="C573">
        <v>11486</v>
      </c>
      <c r="D573">
        <v>1</v>
      </c>
      <c r="F573">
        <v>4606</v>
      </c>
      <c r="G573" t="s">
        <v>452</v>
      </c>
      <c r="I573">
        <v>1</v>
      </c>
      <c r="K573" t="s">
        <v>2695</v>
      </c>
      <c r="Y573">
        <v>1</v>
      </c>
      <c r="AM573" t="str">
        <f t="shared" si="8"/>
        <v>{dwID=11486,nLevel=1,nIcon=4606,szName="缘灭",nScrutinyType=1,szNote="福德齐天·CD",[1]={},[2]={bCenterAlarm=true,},tCountdown={{nClass=2,nIcon=4606,nFrame=7,szName="成就·福德齐天·CD消除",nTime=10,key="福德齐天·封印",},{nClass=1,nIcon=4606,nFrame=7,szName="成就·福德齐天·CD·18小时",nTime=10,nRefresh=600,key="福德齐天·封印",},},},</v>
      </c>
      <c r="AN573" t="s">
        <v>2830</v>
      </c>
      <c r="AO573" t="s">
        <v>3248</v>
      </c>
    </row>
    <row r="574" spans="1:45" x14ac:dyDescent="0.15">
      <c r="C574">
        <v>11582</v>
      </c>
      <c r="D574">
        <v>1</v>
      </c>
      <c r="I574">
        <v>1</v>
      </c>
      <c r="J574" t="s">
        <v>3249</v>
      </c>
      <c r="K574" t="s">
        <v>3250</v>
      </c>
      <c r="L574" t="s">
        <v>2143</v>
      </c>
      <c r="AM574" t="str">
        <f t="shared" si="8"/>
        <v>{dwID=11582,nLevel=1,nScrutinyType=1,tKungFu={["SKILL#10242"]=true,["SKILL#10243"]=true,},szNote="雪山恩仇·明教",col={255,255,0,},[1]={},[2]={},tCountdown={{nClass=1,nIcon=13701,nFrame=7,szName="雪山恩仇·明教·陆危楼",nTime=60,key="雪山恩仇·提示0",},{nClass=2,nIcon=13701,nFrame=7,szName="雪山恩仇·提示0",nTime=0,key="雪山恩仇·提示0",},},},</v>
      </c>
      <c r="AN574" t="s">
        <v>3251</v>
      </c>
      <c r="AO574" t="s">
        <v>3252</v>
      </c>
    </row>
    <row r="575" spans="1:45" x14ac:dyDescent="0.15">
      <c r="C575">
        <v>13303</v>
      </c>
      <c r="D575">
        <v>6</v>
      </c>
      <c r="H575">
        <v>1</v>
      </c>
      <c r="I575">
        <v>1</v>
      </c>
      <c r="AM575" t="str">
        <f t="shared" si="8"/>
        <v>{dwID=13303,nLevel=6,bCheckLevel=true,nScrutinyType=1,[1]={},[2]={},tCountdown={{nClass=2,nIcon=293,nFrame=5,szName="雪雪·旅行",nTime=0,key="雪雪·旅行",},{nClass=1,nIcon=293,nFrame=5,szName="旅行·明教·三生树",nTime=20,key="雪雪·旅行",},{nClass=2,nIcon=293,nFrame=5,szName="三生树找·NPC波斯猫",nTime=20,key="雪雪·旅行介绍1",},{nClass=2,nIcon=293,nFrame=5,szName="三生树东北找·两只贴贴的骆驼",nTime=20,key="雪雪·旅行介绍2",},},},</v>
      </c>
      <c r="AN575" t="s">
        <v>3142</v>
      </c>
      <c r="AO575" t="s">
        <v>3253</v>
      </c>
      <c r="AP575" t="s">
        <v>3254</v>
      </c>
      <c r="AQ575" t="s">
        <v>3255</v>
      </c>
    </row>
    <row r="576" spans="1:45" x14ac:dyDescent="0.15">
      <c r="C576">
        <v>13323</v>
      </c>
      <c r="D576">
        <v>1</v>
      </c>
      <c r="I576">
        <v>1</v>
      </c>
      <c r="AM576" t="str">
        <f t="shared" si="8"/>
        <v>{dwID=13323,nLevel=1,nScrutinyType=1,[1]={},[2]={},tCountdown={{nClass=1,nIcon=293,nFrame=5,szName="雪雪·旅行介绍1",nTime=0,key="雪雪·旅行介绍1",},{nClass=1,nIcon=293,nFrame=5,szName="雪雪·旅行介绍2",nTime=0,key="雪雪·旅行介绍2",},{nClass=2,nIcon=17135,nFrame=0,szName="雪雪·旅行介绍1",nTime=0,key="雪雪·旅行介绍1",},{nClass=2,nIcon=17135,nFrame=0,szName="雪雪·旅行介绍2",nTime=0,key="雪雪·旅行介绍2",},{nClass=1,nIcon=17135,nFrame=0,szName="选项1·命途偏·逸",nTime=10,key="雪雪·旅行介绍1",},{nClass=1,nIcon=17135,nFrame=0,szName="选项2·命途偏·尘",nTime=10,key="雪雪·旅行介绍2",},},},</v>
      </c>
      <c r="AN576" t="s">
        <v>3146</v>
      </c>
      <c r="AO576" t="s">
        <v>3147</v>
      </c>
      <c r="AP576" t="s">
        <v>3148</v>
      </c>
      <c r="AQ576" t="s">
        <v>3149</v>
      </c>
      <c r="AR576" t="s">
        <v>3150</v>
      </c>
      <c r="AS576" t="s">
        <v>3151</v>
      </c>
    </row>
    <row r="577" spans="1:46" x14ac:dyDescent="0.15">
      <c r="C577">
        <v>10392</v>
      </c>
      <c r="D577">
        <v>1</v>
      </c>
      <c r="AM577" t="str">
        <f t="shared" si="8"/>
        <v>{dwID=10392,nLevel=1,[1]={},[2]={},},</v>
      </c>
    </row>
    <row r="578" spans="1:46" x14ac:dyDescent="0.15">
      <c r="C578">
        <v>1624</v>
      </c>
      <c r="D578">
        <v>10</v>
      </c>
      <c r="H578">
        <v>1</v>
      </c>
      <c r="I578">
        <v>1</v>
      </c>
      <c r="AM578" t="str">
        <f t="shared" ref="AM578:AM641" si="9">IF(B578&lt;&gt;"",IF(IFERROR(VALUE(C577),0)&lt;=0,"["&amp;B578&amp;"]={","},["&amp;B578&amp;"]={"),IF(C578&gt;0,"{dwID="&amp;C578&amp;","&amp;"nLevel="&amp;D578&amp;","&amp;IF(E578&gt;0,"nCount="&amp;E578&amp;",","")&amp;IF(F578&gt;0,"nIcon="&amp;F578&amp;",","")&amp;IF(G578&lt;&gt;"","szName="""&amp;G578&amp;""",","")&amp;IF(H578&gt;0,"bCheckLevel=true,","")&amp;IF(I578&gt;0,"nScrutinyType="&amp;I578&amp;",","")&amp;IF(J578&lt;&gt;"","tKungFu={"&amp;J578&amp;"},","")&amp;IF(K578&lt;&gt;"","szNote="""&amp;K578&amp;""",","")&amp;IF(L578&lt;&gt;"","col={"&amp;L578&amp;"},","")&amp;"[1]={"&amp;IF(M578&lt;&gt;"","tMark={"&amp;M578&amp;"},","")&amp;IF(N578&lt;&gt;"","szVoice="""&amp;N578&amp;""",","")&amp;IF(O578&gt;0,"bCheckLevel=true,","")&amp;IF(P578&gt;0,"bWhisperChannel=true,","")&amp;IF(Q578&gt;0,"bCenterAlarm=true,","")&amp;IF(R578&gt;0,"bScreenHead=true,","")&amp;IF(S578&gt;0,"bPartyBuffList=true,","")&amp;IF(T578&gt;0,"bBuffList=true,","")&amp;IF(U578&gt;0,"bTeamPanel=true,","")&amp;IF(V578&gt;0,"bOnlySelfSrc=true,","")&amp;"},"&amp;"[2]={"&amp;IF(W578&gt;0,"bCheckLevel=true,","")&amp;IF(X578&gt;0,"bWhisperChannel=true,","")&amp;IF(Y578&gt;0,"bCenterAlarm=true,","")&amp;"},"&amp;IF(OR(Z578&gt;0,AD578&lt;&gt;"",AE578&gt;0,AF578&lt;&gt;"",AG578&lt;&gt;"",AH578&gt;0,AI578&gt;0,AJ578&gt;0,AK578&gt;0),"aCataclysmBuff={{"&amp;IF(Z578&gt;0,"nStackNum="&amp;Z578&amp;",","")&amp;IF(AA578&lt;&gt;"","szStackOp="""&amp;AA578&amp;""",","")&amp;IF(AB578&gt;0,"bOnlyMine=true,","")&amp;IF(AC578&gt;0,"bOnlyMe=true,","")&amp;IF(AD578&lt;&gt;"","szReminder="""&amp;AD578&amp;""",","")&amp;IF(AE578&gt;0,"nPriority="&amp;AE578&amp;",","")&amp;IF(AF578&lt;&gt;"","col="""&amp;AF578&amp;""",","")&amp;IF(AG578&lt;&gt;"","colScreenHead="""&amp;AG578&amp;""",","")&amp;IF(AH578&gt;0,"nColAlpha="&amp;AH578&amp;",","")&amp;IF(AI578&gt;0,"bAttention=true,","")&amp;IF(AJ578&gt;0,"bCaution=true,","")&amp;IF(AK578&gt;0,"bScreenHead=true,","")&amp;"},"&amp;AL578&amp;"},","")&amp;IF(AN578&lt;&gt;"","tCountdown={"&amp;_xlfn.TEXTJOIN("",TRUE,AN578:ZY578)&amp;"},","")&amp;"},",IF(C577&gt;0,"},","")&amp;IF(AND(B578="",C578="",OR(B577&lt;&gt;"",C577&lt;&gt;"")),"},}","")))</f>
        <v>{dwID=1624,nLevel=10,bCheckLevel=true,nScrutinyType=1,[1]={},[2]={},tCountdown={{nClass=1,nIcon=3792,nFrame=5,szName="饱食·明教·陆危楼",nTime=2,nRefresh=3600,key="冬至·饱食·明教",},},},</v>
      </c>
      <c r="AN578" t="s">
        <v>3256</v>
      </c>
    </row>
    <row r="579" spans="1:46" x14ac:dyDescent="0.15">
      <c r="C579">
        <v>11438</v>
      </c>
      <c r="D579">
        <v>1</v>
      </c>
      <c r="F579">
        <v>10208</v>
      </c>
      <c r="G579" t="s">
        <v>3257</v>
      </c>
      <c r="I579">
        <v>1</v>
      </c>
      <c r="K579" t="s">
        <v>450</v>
      </c>
      <c r="T579">
        <v>1</v>
      </c>
      <c r="AM579" t="str">
        <f t="shared" si="9"/>
        <v>{dwID=11438,nLevel=1,nIcon=10208,szName="念红尘",nScrutinyType=1,szNote="方士_念红尘",[1]={bBuffList=true,},[2]={},},</v>
      </c>
    </row>
    <row r="580" spans="1:46" x14ac:dyDescent="0.15">
      <c r="A580" t="s">
        <v>801</v>
      </c>
      <c r="B580">
        <v>151</v>
      </c>
      <c r="AM580" t="str">
        <f t="shared" si="9"/>
        <v>},[151]={</v>
      </c>
    </row>
    <row r="581" spans="1:46" x14ac:dyDescent="0.15">
      <c r="C581">
        <v>9124</v>
      </c>
      <c r="D581">
        <v>1</v>
      </c>
      <c r="F581">
        <v>105</v>
      </c>
      <c r="G581" t="s">
        <v>2682</v>
      </c>
      <c r="I581">
        <v>1</v>
      </c>
      <c r="K581" t="s">
        <v>417</v>
      </c>
      <c r="Y581">
        <v>1</v>
      </c>
      <c r="AM581" t="str">
        <f t="shared" si="9"/>
        <v>{dwID=9124,nLevel=1,nIcon=105,szName="茶馆奇缘",nScrutinyType=1,szNote="茶馆奇缘_CD",[1]={},[2]={bCenterAlarm=true,},tCountdown={{nClass=2,nIcon=105,nFrame=7,szName="奇遇·茶馆奇缘·解封",nTime=10,key="奇遇·封印",},{nClass=2,nIcon=105,nFrame=7,szName="长安·战乱·茶馆·秋画扇",nTime=10.1,key="奇遇·解封",},{nClass=1,nIcon=105,nFrame=7,szName="奇遇·茶馆奇缘·封印·明日7时",nTime=10,nRefresh=7200,key="奇遇·封印",},},},</v>
      </c>
      <c r="AN581" t="s">
        <v>2776</v>
      </c>
      <c r="AO581" t="s">
        <v>2777</v>
      </c>
      <c r="AP581" t="s">
        <v>3258</v>
      </c>
    </row>
    <row r="582" spans="1:46" x14ac:dyDescent="0.15">
      <c r="C582">
        <v>17163</v>
      </c>
      <c r="D582">
        <v>1</v>
      </c>
      <c r="I582">
        <v>1</v>
      </c>
      <c r="AM582" t="str">
        <f t="shared" si="9"/>
        <v>{dwID=17163,nLevel=1,nScrutinyType=1,[1]={},[2]={},tCountdown={{nClass=1,nIcon=17135,nFrame=0,szName="奇遇提示0",nTime=0,key="奇遇提示0",},{nClass=1,nIcon=17135,nFrame=7,bHold=true,szName="准备·QTE",nTime=2,key="奇遇提示2",},{nClass=1,nIcon=17135,nFrame=7,bHold=true,szName="准备·QTE",nTime=2,key="奇遇提示3",},},},</v>
      </c>
      <c r="AN582" t="s">
        <v>3259</v>
      </c>
      <c r="AO582" t="s">
        <v>3260</v>
      </c>
      <c r="AP582" t="s">
        <v>3261</v>
      </c>
    </row>
    <row r="583" spans="1:46" x14ac:dyDescent="0.15">
      <c r="C583">
        <v>17164</v>
      </c>
      <c r="D583">
        <v>1</v>
      </c>
      <c r="F583">
        <v>6934</v>
      </c>
      <c r="G583" t="s">
        <v>2505</v>
      </c>
      <c r="K583" t="s">
        <v>500</v>
      </c>
      <c r="T583">
        <v>1</v>
      </c>
      <c r="AM583" t="str">
        <f t="shared" si="9"/>
        <v>{dwID=17164,nLevel=1,nIcon=6934,szName="按1",szNote="义结金兰QTE跪",[1]={bBuffList=true,},[2]={},tCountdown={{nClass=1,nIcon=6934,nFrame=5,szName="按111",nTime=2,key="QTE·按1",},{nClass=2,nIcon=6934,nFrame=5,szName="QTE·按1",nTime=0,key="QTE·按1",},},},</v>
      </c>
      <c r="AN583" t="s">
        <v>3262</v>
      </c>
      <c r="AO583" t="s">
        <v>3263</v>
      </c>
    </row>
    <row r="584" spans="1:46" x14ac:dyDescent="0.15">
      <c r="C584">
        <v>17171</v>
      </c>
      <c r="D584">
        <v>1</v>
      </c>
      <c r="F584">
        <v>6954</v>
      </c>
      <c r="G584" t="s">
        <v>2508</v>
      </c>
      <c r="K584" t="s">
        <v>501</v>
      </c>
      <c r="T584">
        <v>1</v>
      </c>
      <c r="AM584" t="str">
        <f t="shared" si="9"/>
        <v>{dwID=17171,nLevel=1,nIcon=6954,szName="按2",szNote="义结金兰QTE说",[1]={bBuffList=true,},[2]={},tCountdown={{nClass=1,nIcon=6954,nFrame=6,szName="按222",nTime=2,key="QTE·按2",},{nClass=2,nIcon=6954,nFrame=6,szName="QTE·按2",nTime=0,key="QTE·按2",},},},</v>
      </c>
      <c r="AN584" t="s">
        <v>3264</v>
      </c>
      <c r="AO584" t="s">
        <v>3265</v>
      </c>
    </row>
    <row r="585" spans="1:46" x14ac:dyDescent="0.15">
      <c r="C585">
        <v>17172</v>
      </c>
      <c r="D585">
        <v>1</v>
      </c>
      <c r="F585">
        <v>6965</v>
      </c>
      <c r="G585" t="s">
        <v>2511</v>
      </c>
      <c r="K585" t="s">
        <v>502</v>
      </c>
      <c r="T585">
        <v>1</v>
      </c>
      <c r="AM585" t="str">
        <f t="shared" si="9"/>
        <v>{dwID=17172,nLevel=1,nIcon=6965,szName="按3",szNote="义结金兰QTE站",[1]={bBuffList=true,},[2]={},tCountdown={{nClass=1,nIcon=6965,nFrame=7,szName="按333",nTime=2,key="QTE·按3",},{nClass=2,nIcon=6965,nFrame=7,szName="QTE·按3",nTime=0,key="QTE·按3",},},},</v>
      </c>
      <c r="AN585" t="s">
        <v>3266</v>
      </c>
      <c r="AO585" t="s">
        <v>3267</v>
      </c>
    </row>
    <row r="586" spans="1:46" x14ac:dyDescent="0.15">
      <c r="C586">
        <v>17173</v>
      </c>
      <c r="D586">
        <v>1</v>
      </c>
      <c r="F586">
        <v>6937</v>
      </c>
      <c r="G586" t="s">
        <v>2541</v>
      </c>
      <c r="K586" t="s">
        <v>503</v>
      </c>
      <c r="T586">
        <v>1</v>
      </c>
      <c r="AM586" t="str">
        <f t="shared" si="9"/>
        <v>{dwID=17173,nLevel=1,nIcon=6937,szName="按4",szNote="义结金兰QTE喝",[1]={bBuffList=true,},[2]={},tCountdown={{nClass=1,nIcon=6937,nFrame=8,szName="按444",nTime=2,key="QTE·按4",},{nClass=2,nIcon=6937,nFrame=8,szName="QTE·按4",nTime=0,key="QTE·按4",},},},</v>
      </c>
      <c r="AN586" t="s">
        <v>3268</v>
      </c>
      <c r="AO586" t="s">
        <v>3269</v>
      </c>
    </row>
    <row r="587" spans="1:46" x14ac:dyDescent="0.15">
      <c r="C587">
        <v>17182</v>
      </c>
      <c r="D587">
        <v>1</v>
      </c>
      <c r="K587" t="s">
        <v>2710</v>
      </c>
      <c r="Y587">
        <v>1</v>
      </c>
      <c r="AM587" t="str">
        <f t="shared" si="9"/>
        <v>{dwID=17182,nLevel=1,szNote="兔江湖·翌日之约",[1]={},[2]={bCenterAlarm=true,},tCountdown={{nClass=2,nIcon=6072,nFrame=7,szName="奇遇·兔江湖·解封",nTime=10,key="奇遇·封印",},{nClass=2,nIcon=6072,nFrame=7,szName="洛阳·战乱·茶馆·神秘人",nTime=10.1,key="奇遇·解封",},{nClass=1,nIcon=6072,nFrame=7,szName="奇遇·兔江湖·封印·次日7时",nTime=10,nRefresh=7200,key="奇遇·封印",},{nClass=1,nIcon=6072,nFrame=7,szName="次日·洛阳·战乱·茶馆·神秘人",nTime=10.1,nRefresh=7200,key="奇遇·解封",},{nClass=1,nIcon=6072,nFrame=7,szName="兔江湖",nTime=-1,key="兔江湖",},{nClass=1,nIcon=6072,nFrame=7,szName="奇遇提示2",nTime=-1,key="奇遇提示2",},{nClass=1,nIcon=6072,nFrame=7,szName="奇遇提示3",nTime=-1,key="奇遇提示3",},},},</v>
      </c>
      <c r="AN587" t="s">
        <v>3140</v>
      </c>
      <c r="AO587" t="s">
        <v>3141</v>
      </c>
      <c r="AP587" t="s">
        <v>3270</v>
      </c>
      <c r="AQ587" t="s">
        <v>3271</v>
      </c>
      <c r="AR587" t="s">
        <v>3272</v>
      </c>
      <c r="AS587" t="s">
        <v>3273</v>
      </c>
      <c r="AT587" t="s">
        <v>3274</v>
      </c>
    </row>
    <row r="588" spans="1:46" x14ac:dyDescent="0.15">
      <c r="C588">
        <v>17191</v>
      </c>
      <c r="D588">
        <v>1</v>
      </c>
      <c r="F588">
        <v>6951</v>
      </c>
      <c r="G588" t="s">
        <v>2505</v>
      </c>
      <c r="K588" t="s">
        <v>505</v>
      </c>
      <c r="T588">
        <v>1</v>
      </c>
      <c r="AM588" t="str">
        <f t="shared" si="9"/>
        <v>{dwID=17191,nLevel=1,nIcon=6951,szName="按1",szNote="拔刀相助QTE呔",[1]={bBuffList=true,},[2]={},tCountdown={{nClass=1,nIcon=6951,nFrame=5,szName="按111",nTime=2,key="QTE·按1",},{nClass=2,nIcon=6951,nFrame=5,szName="QTE·按1",nTime=0,key="QTE·按1",},},},</v>
      </c>
      <c r="AN588" t="s">
        <v>3275</v>
      </c>
      <c r="AO588" t="s">
        <v>3276</v>
      </c>
    </row>
    <row r="589" spans="1:46" x14ac:dyDescent="0.15">
      <c r="C589">
        <v>17192</v>
      </c>
      <c r="D589">
        <v>1</v>
      </c>
      <c r="F589">
        <v>6954</v>
      </c>
      <c r="G589" t="s">
        <v>2508</v>
      </c>
      <c r="K589" t="s">
        <v>506</v>
      </c>
      <c r="T589">
        <v>1</v>
      </c>
      <c r="AM589" t="str">
        <f t="shared" si="9"/>
        <v>{dwID=17192,nLevel=1,nIcon=6954,szName="按2",szNote="拔刀相助QTE说",[1]={bBuffList=true,},[2]={},tCountdown={{nClass=1,nIcon=6954,nFrame=5,szName="按222",nTime=2,key="QTE·按2",},{nClass=2,nIcon=6954,nFrame=5,szName="QTE·按2",nTime=0,key="QTE·按2",},},},</v>
      </c>
      <c r="AN589" t="s">
        <v>3277</v>
      </c>
      <c r="AO589" t="s">
        <v>3278</v>
      </c>
    </row>
    <row r="590" spans="1:46" x14ac:dyDescent="0.15">
      <c r="C590">
        <v>17193</v>
      </c>
      <c r="D590">
        <v>1</v>
      </c>
      <c r="F590">
        <v>6920</v>
      </c>
      <c r="G590" t="s">
        <v>2511</v>
      </c>
      <c r="K590" t="s">
        <v>507</v>
      </c>
      <c r="T590">
        <v>1</v>
      </c>
      <c r="AM590" t="str">
        <f t="shared" si="9"/>
        <v>{dwID=17193,nLevel=1,nIcon=6920,szName="按3",szNote="拔刀相助QTE崩",[1]={bBuffList=true,},[2]={},tCountdown={{nClass=1,nIcon=6920,nFrame=5,szName="按333",nTime=2,key="QTE·按3",},{nClass=2,nIcon=6920,nFrame=5,szName="QTE·按3",nTime=0,key="QTE·按3",},},},</v>
      </c>
      <c r="AN590" t="s">
        <v>3279</v>
      </c>
      <c r="AO590" t="s">
        <v>3280</v>
      </c>
    </row>
    <row r="591" spans="1:46" x14ac:dyDescent="0.15">
      <c r="C591">
        <v>17194</v>
      </c>
      <c r="D591">
        <v>1</v>
      </c>
      <c r="F591">
        <v>6962</v>
      </c>
      <c r="G591" t="s">
        <v>2541</v>
      </c>
      <c r="K591" t="s">
        <v>508</v>
      </c>
      <c r="T591">
        <v>1</v>
      </c>
      <c r="AM591" t="str">
        <f t="shared" si="9"/>
        <v>{dwID=17194,nLevel=1,nIcon=6962,szName="按4",szNote="拔刀相助QTE溜",[1]={bBuffList=true,},[2]={},tCountdown={{nClass=1,nIcon=6962,nFrame=5,szName="按444",nTime=2,key="QTE·按4",},{nClass=2,nIcon=6962,nFrame=5,szName="QTE·按4",nTime=0,key="QTE·按4",},},},</v>
      </c>
      <c r="AN591" t="s">
        <v>3281</v>
      </c>
      <c r="AO591" t="s">
        <v>3282</v>
      </c>
    </row>
    <row r="592" spans="1:46" x14ac:dyDescent="0.15">
      <c r="C592">
        <v>17222</v>
      </c>
      <c r="D592">
        <v>1</v>
      </c>
      <c r="AM592" t="str">
        <f t="shared" si="9"/>
        <v>{dwID=17222,nLevel=1,[1]={},[2]={},tCountdown={{nClass=1,nIcon=17135,nFrame=7,bHold=true,szName="QTE·无顺序",nTime=600,key="奇遇提示2",},{nClass=1,nIcon=17135,nFrame=7,bHold=true,szName="打赢·鲁小兔·即可",nTime=600,key="奇遇提示3",},{nClass=2,nIcon=17135,nFrame=7,bHold=true,szName="再次对话 ·鲁小兔",nTime=600,key="奇遇提示2",},{nClass=2,nIcon=17135,nFrame=7,bHold=true,szName="奇遇封印·次日7时",nTime=600,key="奇遇提示3",},},},</v>
      </c>
      <c r="AN592" t="s">
        <v>3283</v>
      </c>
      <c r="AO592" t="s">
        <v>3284</v>
      </c>
      <c r="AP592" t="s">
        <v>3285</v>
      </c>
      <c r="AQ592" t="s">
        <v>3286</v>
      </c>
    </row>
    <row r="593" spans="1:49" x14ac:dyDescent="0.15">
      <c r="A593" t="s">
        <v>805</v>
      </c>
      <c r="B593">
        <v>156</v>
      </c>
      <c r="AM593" t="str">
        <f t="shared" si="9"/>
        <v>},[156]={</v>
      </c>
    </row>
    <row r="594" spans="1:49" x14ac:dyDescent="0.15">
      <c r="C594">
        <v>9124</v>
      </c>
      <c r="D594">
        <v>1</v>
      </c>
      <c r="F594">
        <v>105</v>
      </c>
      <c r="G594" t="s">
        <v>2682</v>
      </c>
      <c r="I594">
        <v>1</v>
      </c>
      <c r="K594" t="s">
        <v>417</v>
      </c>
      <c r="Y594">
        <v>1</v>
      </c>
      <c r="AM594" t="str">
        <f t="shared" si="9"/>
        <v>{dwID=9124,nLevel=1,nIcon=105,szName="茶馆奇缘",nScrutinyType=1,szNote="茶馆奇缘_CD",[1]={},[2]={bCenterAlarm=true,},tCountdown={{nClass=2,nIcon=105,nFrame=7,szName="奇遇·茶馆奇缘·解封",nTime=10,key="奇遇·封印",},{nClass=2,nIcon=105,nFrame=7,szName="长安·战乱·茶馆·秋画扇",nTime=10.1,key="奇遇·解封",},{nClass=1,nIcon=105,nFrame=7,szName="奇遇·茶馆奇缘·封印·明日7时",nTime=10,nRefresh=7200,key="奇遇·封印",},},},</v>
      </c>
      <c r="AN594" t="s">
        <v>2776</v>
      </c>
      <c r="AO594" t="s">
        <v>2777</v>
      </c>
      <c r="AP594" t="s">
        <v>3258</v>
      </c>
    </row>
    <row r="595" spans="1:49" x14ac:dyDescent="0.15">
      <c r="A595" t="s">
        <v>807</v>
      </c>
      <c r="B595">
        <v>158</v>
      </c>
      <c r="AM595" t="str">
        <f t="shared" si="9"/>
        <v>},[158]={</v>
      </c>
    </row>
    <row r="596" spans="1:49" x14ac:dyDescent="0.15">
      <c r="C596">
        <v>11582</v>
      </c>
      <c r="D596">
        <v>1</v>
      </c>
      <c r="I596">
        <v>1</v>
      </c>
      <c r="K596" t="s">
        <v>2680</v>
      </c>
      <c r="L596" t="s">
        <v>2143</v>
      </c>
      <c r="AM596" t="str">
        <f t="shared" si="9"/>
        <v>{dwID=11582,nLevel=1,nScrutinyType=1,szNote="雪山恩仇",col={255,255,0,},[1]={},[2]={},tCountdown={{nClass=1,nIcon=13693,nFrame=5,szName="少林·玄  正|万花·孙思邈",nTime=30,nRefresh=7200,key="雪山恩仇·提示1",},{nClass=1,nIcon=13695,nFrame=5,szName="天策·李承恩|纯阳·李忘生",nTime=30,nRefresh=7200,key="雪山恩仇·提示2",},{nClass=1,nIcon=13697,nFrame=5,szName="七秀·萧白胭|五毒·艾  黎",nTime=30,nRefresh=7200,key="雪山恩仇·提示3",},{nClass=1,nIcon=13700,nFrame=5,szName="唐门·唐老太|藏剑·叶  晖",nTime=30,nRefresh=7200,key="雪山恩仇·提示4",},{nClass=1,nIcon=13702,nFrame=5,szName="丐帮·郭  岩|明教·陆危楼",nTime=30,nRefresh=7200,key="雪山恩仇·提示5",},{nClass=1,nIcon=13703,nFrame=5,szName="苍云·长孙忘情|长歌·杨逸飞",nTime=30,nRefresh=7200,key="雪山恩仇·提示6",},{nClass=1,nIcon=13705,nFrame=5,szName="霸刀·柳静海|蓬莱·方  乾",nTime=30,nRefresh=7200,key="雪山恩仇·提示7",},{nClass=1,nIcon=13707,nFrame=5,szName="凌雪·林白轩|衍天·萧卿云",nTime=30,nRefresh=7200,key="雪山恩仇·提示8",},{nClass=1,nIcon=15593,nFrame=5,szName="药宗·陈  月|刀宗·谢云流",nTime=30,nRefresh=7200,key="雪山恩仇·提示9",},{nClass=1,nIcon=19664,nFrame=5,szName="万灵·颂少风",nTime=30,nRefresh=7200,key="雪山恩仇·提示10",},},},</v>
      </c>
      <c r="AN596" t="s">
        <v>2806</v>
      </c>
      <c r="AO596" t="s">
        <v>2807</v>
      </c>
      <c r="AP596" t="s">
        <v>2808</v>
      </c>
      <c r="AQ596" t="s">
        <v>2809</v>
      </c>
      <c r="AR596" t="s">
        <v>2810</v>
      </c>
      <c r="AS596" t="s">
        <v>2811</v>
      </c>
      <c r="AT596" t="s">
        <v>2812</v>
      </c>
      <c r="AU596" t="s">
        <v>2813</v>
      </c>
      <c r="AV596" t="s">
        <v>2814</v>
      </c>
      <c r="AW596" t="s">
        <v>2815</v>
      </c>
    </row>
    <row r="597" spans="1:49" x14ac:dyDescent="0.15">
      <c r="A597" t="s">
        <v>246</v>
      </c>
      <c r="B597">
        <v>159</v>
      </c>
      <c r="AM597" t="str">
        <f t="shared" si="9"/>
        <v>},[159]={</v>
      </c>
    </row>
    <row r="598" spans="1:49" x14ac:dyDescent="0.15">
      <c r="C598">
        <v>11582</v>
      </c>
      <c r="D598">
        <v>1</v>
      </c>
      <c r="I598">
        <v>1</v>
      </c>
      <c r="J598" t="s">
        <v>3287</v>
      </c>
      <c r="K598" t="s">
        <v>3288</v>
      </c>
      <c r="L598" t="s">
        <v>2143</v>
      </c>
      <c r="AM598" t="str">
        <f t="shared" si="9"/>
        <v>{dwID=11582,nLevel=1,nScrutinyType=1,tKungFu={["SKILL#10268"]=true,},szNote="雪山恩仇·丐帮",col={255,255,0,},[1]={},[2]={},tCountdown={{nClass=1,nIcon=13702,nFrame=7,szName="雪山恩仇·丐帮·郭岩",nTime=60,key="雪山恩仇·提示0",},{nClass=2,nIcon=13702,nFrame=7,szName="雪山恩仇·提示0",nTime=0,key="雪山恩仇·提示0",},},},</v>
      </c>
      <c r="AN598" t="s">
        <v>3289</v>
      </c>
      <c r="AO598" t="s">
        <v>3290</v>
      </c>
    </row>
    <row r="599" spans="1:49" x14ac:dyDescent="0.15">
      <c r="C599">
        <v>1624</v>
      </c>
      <c r="D599">
        <v>9</v>
      </c>
      <c r="H599">
        <v>1</v>
      </c>
      <c r="I599">
        <v>1</v>
      </c>
      <c r="AM599" t="str">
        <f t="shared" si="9"/>
        <v>{dwID=1624,nLevel=9,bCheckLevel=true,nScrutinyType=1,[1]={},[2]={},tCountdown={{nClass=1,nIcon=4884,nFrame=5,szName="饱食·丐帮·郭岩",nTime=2,nRefresh=3600,key="冬至·饱食·丐帮",},},},</v>
      </c>
      <c r="AN599" t="s">
        <v>3291</v>
      </c>
    </row>
    <row r="600" spans="1:49" x14ac:dyDescent="0.15">
      <c r="C600">
        <v>11393</v>
      </c>
      <c r="D600">
        <v>1</v>
      </c>
      <c r="F600">
        <v>8591</v>
      </c>
      <c r="G600" t="s">
        <v>2687</v>
      </c>
      <c r="H600">
        <v>1</v>
      </c>
      <c r="I600">
        <v>1</v>
      </c>
      <c r="K600" t="s">
        <v>449</v>
      </c>
      <c r="Y600">
        <v>1</v>
      </c>
      <c r="AM600" t="str">
        <f t="shared" si="9"/>
        <v>{dwID=11393,nLevel=1,nIcon=8591,szName="稚子心",bCheckLevel=true,nScrutinyType=1,szNote="稚子心_标记_buff",[1]={},[2]={bCenterAlarm=true,},tCountdown={{nClass=2,nIcon=8591,nFrame=7,szName="奇遇·稚子心·解封1",nTime=10,key="奇遇·封印",},{nClass=2,nIcon=8591,nFrame=7,szName="丐帮·君山·苏临渊",nTime=10.1,key="奇遇·解封",},{nClass=1,nIcon=8591,nFrame=7,szName="奇遇·稚子心·封印1·24小时",nTime=10,nRefresh=7200,key="奇遇·封印",},},},</v>
      </c>
      <c r="AN600" t="s">
        <v>2788</v>
      </c>
      <c r="AO600" t="s">
        <v>2789</v>
      </c>
      <c r="AP600" t="s">
        <v>3292</v>
      </c>
    </row>
    <row r="601" spans="1:49" x14ac:dyDescent="0.15">
      <c r="C601">
        <v>11393</v>
      </c>
      <c r="D601">
        <v>3</v>
      </c>
      <c r="F601">
        <v>8591</v>
      </c>
      <c r="G601" t="s">
        <v>2687</v>
      </c>
      <c r="H601">
        <v>1</v>
      </c>
      <c r="I601">
        <v>1</v>
      </c>
      <c r="K601" t="s">
        <v>449</v>
      </c>
      <c r="Y601">
        <v>1</v>
      </c>
      <c r="AM601" t="str">
        <f t="shared" si="9"/>
        <v>{dwID=11393,nLevel=3,nIcon=8591,szName="稚子心",bCheckLevel=true,nScrutinyType=1,szNote="稚子心_标记_buff",[1]={},[2]={bCenterAlarm=true,},tCountdown={{nClass=2,nIcon=8591,nFrame=7,szName="奇遇·稚子心·解封3",nTime=10,key="奇遇·封印",},{nClass=2,nIcon=8591,nFrame=7,szName="丐帮·集市·苏临渊",nTime=10.1,key="奇遇·解封",},{nClass=1,nIcon=8591,nFrame=7,szName="奇遇·稚子心·封印3·24小时",nTime=10,nRefresh=7200,key="奇遇·封印",},},},</v>
      </c>
      <c r="AN601" t="s">
        <v>2792</v>
      </c>
      <c r="AO601" t="s">
        <v>2793</v>
      </c>
      <c r="AP601" t="s">
        <v>3293</v>
      </c>
    </row>
    <row r="602" spans="1:49" x14ac:dyDescent="0.15">
      <c r="C602">
        <v>10447</v>
      </c>
      <c r="D602">
        <v>1</v>
      </c>
      <c r="I602">
        <v>1</v>
      </c>
      <c r="K602" t="s">
        <v>2503</v>
      </c>
      <c r="AM602" t="str">
        <f t="shared" si="9"/>
        <v>{dwID=10447,nLevel=1,nScrutinyType=1,szNote="门派事件",[1]={},[2]={},tCountdown={{nClass=1,nIcon=2678,nFrame=5,szName="钓鱼·QTE10次",nTime=60,key="钓鱼",},},},</v>
      </c>
      <c r="AN602" t="s">
        <v>3294</v>
      </c>
    </row>
    <row r="603" spans="1:49" x14ac:dyDescent="0.15">
      <c r="C603">
        <v>10461</v>
      </c>
      <c r="D603">
        <v>1</v>
      </c>
      <c r="I603">
        <v>1</v>
      </c>
      <c r="K603" t="s">
        <v>2503</v>
      </c>
      <c r="L603" t="s">
        <v>2168</v>
      </c>
      <c r="T603">
        <v>1</v>
      </c>
      <c r="AM603" t="str">
        <f t="shared" si="9"/>
        <v>{dwID=10461,nLevel=1,nScrutinyType=1,szNote="门派事件",col={0,255,0,},[1]={bBuffList=true,},[2]={},},</v>
      </c>
    </row>
    <row r="604" spans="1:49" x14ac:dyDescent="0.15">
      <c r="A604" t="s">
        <v>250</v>
      </c>
      <c r="B604">
        <v>172</v>
      </c>
      <c r="AM604" t="str">
        <f t="shared" si="9"/>
        <v>},[172]={</v>
      </c>
    </row>
    <row r="605" spans="1:49" x14ac:dyDescent="0.15">
      <c r="C605">
        <v>6732</v>
      </c>
      <c r="D605">
        <v>1</v>
      </c>
      <c r="I605">
        <v>1</v>
      </c>
      <c r="AM605" t="str">
        <f t="shared" si="9"/>
        <v>{dwID=6732,nLevel=1,nScrutinyType=1,[1]={},[2]={},tCountdown={{nClass=2,nIcon=16,nFrame=5,szName="闹市猎手",nTime=0,key="闹市猎手",},{nClass=1,nIcon=16,nFrame=0,szName="闹市猎手",nTime=300,key="闹市猎手",},},},</v>
      </c>
      <c r="AN605" t="s">
        <v>3295</v>
      </c>
      <c r="AO605" t="s">
        <v>3296</v>
      </c>
    </row>
    <row r="606" spans="1:49" x14ac:dyDescent="0.15">
      <c r="C606">
        <v>6486</v>
      </c>
      <c r="D606">
        <v>1</v>
      </c>
      <c r="I606">
        <v>1</v>
      </c>
      <c r="T606">
        <v>1</v>
      </c>
      <c r="AM606" t="str">
        <f t="shared" si="9"/>
        <v>{dwID=6486,nLevel=1,nScrutinyType=1,[1]={bBuffList=true,},[2]={},tCountdown={{nClass=2,nIcon=717,nFrame=6,szName="箭无虚发",nTime=0,key="箭无虚发",},{nClass=1,nIcon=717,nFrame=6,szName="箭无虚发",nTime=60,key="箭无虚发",},},},</v>
      </c>
      <c r="AN606" t="s">
        <v>3297</v>
      </c>
      <c r="AO606" t="s">
        <v>3298</v>
      </c>
    </row>
    <row r="607" spans="1:49" x14ac:dyDescent="0.15">
      <c r="C607">
        <v>6505</v>
      </c>
      <c r="D607">
        <v>1</v>
      </c>
      <c r="T607">
        <v>1</v>
      </c>
      <c r="AM607" t="str">
        <f t="shared" si="9"/>
        <v>{dwID=6505,nLevel=1,[1]={bBuffList=true,},[2]={},},</v>
      </c>
    </row>
    <row r="608" spans="1:49" x14ac:dyDescent="0.15">
      <c r="C608">
        <v>6528</v>
      </c>
      <c r="D608">
        <v>1</v>
      </c>
      <c r="F608">
        <v>17408</v>
      </c>
      <c r="G608" t="s">
        <v>380</v>
      </c>
      <c r="K608" t="s">
        <v>397</v>
      </c>
      <c r="L608" t="s">
        <v>2143</v>
      </c>
      <c r="T608">
        <v>1</v>
      </c>
      <c r="AM608" t="str">
        <f t="shared" si="9"/>
        <v>{dwID=6528,nLevel=1,nIcon=17408,szName="跟随",szNote="传军情跟随npc控制",col={255,255,0,},[1]={bBuffList=true,},[2]={},},</v>
      </c>
    </row>
    <row r="609" spans="1:42" x14ac:dyDescent="0.15">
      <c r="C609">
        <v>6506</v>
      </c>
      <c r="D609">
        <v>1</v>
      </c>
      <c r="I609">
        <v>1</v>
      </c>
      <c r="T609">
        <v>1</v>
      </c>
      <c r="AM609" t="str">
        <f t="shared" si="9"/>
        <v>{dwID=6506,nLevel=1,nScrutinyType=1,[1]={bBuffList=true,},[2]={},},</v>
      </c>
    </row>
    <row r="610" spans="1:42" x14ac:dyDescent="0.15">
      <c r="A610" t="s">
        <v>822</v>
      </c>
      <c r="B610">
        <v>178</v>
      </c>
      <c r="AM610" t="str">
        <f t="shared" si="9"/>
        <v>},[178]={</v>
      </c>
    </row>
    <row r="611" spans="1:42" x14ac:dyDescent="0.15">
      <c r="C611">
        <v>7374</v>
      </c>
      <c r="D611">
        <v>1</v>
      </c>
      <c r="K611" t="s">
        <v>3299</v>
      </c>
      <c r="T611">
        <v>1</v>
      </c>
      <c r="U611">
        <v>1</v>
      </c>
      <c r="AM611" t="str">
        <f t="shared" si="9"/>
        <v>{dwID=7374,nLevel=1,szNote="成就·七情覆灭",[1]={bBuffList=true,bTeamPanel=true,},[2]={},tCountdown={{nClass=1,nIcon=3410,nFrame=5,szName="技能三·坐困愁城·愁城冰柱",nTime=8,key="坐困愁城",},{nClass=2,nIcon=3410,nFrame=5,szName="技能三·坐困愁城·愁城冰柱",nTime=0,key="坐困愁城",},},},</v>
      </c>
      <c r="AN611" t="s">
        <v>3300</v>
      </c>
      <c r="AO611" t="s">
        <v>3301</v>
      </c>
    </row>
    <row r="612" spans="1:42" x14ac:dyDescent="0.15">
      <c r="C612">
        <v>7371</v>
      </c>
      <c r="D612">
        <v>1</v>
      </c>
      <c r="K612" t="s">
        <v>3299</v>
      </c>
      <c r="T612">
        <v>1</v>
      </c>
      <c r="AM612" t="str">
        <f t="shared" si="9"/>
        <v>{dwID=7371,nLevel=1,szNote="成就·七情覆灭",[1]={bBuffList=true,},[2]={},tCountdown={{nClass=1,nIcon=3408,nFrame=5,szName="四技能·雪舞惧散·不受控",nTime=0,key="雪舞惧散",},{nClass=1,nIcon=3408,nFrame=5,szName="四技能·雪舞惧散·不受控",nTime=5,key="雪舞惧散",},{nClass=2,nIcon=3408,nFrame=5,szName="四技能·雪舞惧散·不受控",nTime=0,key="雪舞惧散",},},},</v>
      </c>
      <c r="AN612" t="s">
        <v>3302</v>
      </c>
      <c r="AO612" t="s">
        <v>3303</v>
      </c>
      <c r="AP612" t="s">
        <v>3304</v>
      </c>
    </row>
    <row r="613" spans="1:42" x14ac:dyDescent="0.15">
      <c r="C613">
        <v>7406</v>
      </c>
      <c r="D613">
        <v>2</v>
      </c>
      <c r="I613">
        <v>1</v>
      </c>
      <c r="Q613">
        <v>1</v>
      </c>
      <c r="AM613" t="str">
        <f t="shared" si="9"/>
        <v>{dwID=7406,nLevel=2,nScrutinyType=1,[1]={bCenterAlarm=true,},[2]={},tCountdown={{nClass=1,nIcon=1547,nFrame=5,szName="被申猴缴械了",nTime=2,key="猴窃",},{nClass=2,nIcon=1547,nFrame=5,szName="被申猴缴械了",nTime=0,key="猴窃",},},},</v>
      </c>
      <c r="AN613" t="s">
        <v>3305</v>
      </c>
      <c r="AO613" t="s">
        <v>3306</v>
      </c>
    </row>
    <row r="614" spans="1:42" x14ac:dyDescent="0.15">
      <c r="C614">
        <v>7377</v>
      </c>
      <c r="D614">
        <v>1</v>
      </c>
      <c r="K614" t="s">
        <v>3299</v>
      </c>
      <c r="L614" t="s">
        <v>2152</v>
      </c>
      <c r="R614">
        <v>1</v>
      </c>
      <c r="S614">
        <v>1</v>
      </c>
      <c r="T614">
        <v>1</v>
      </c>
      <c r="U614">
        <v>1</v>
      </c>
      <c r="AD614" t="s">
        <v>404</v>
      </c>
      <c r="AE614">
        <v>4</v>
      </c>
      <c r="AF614" t="s">
        <v>3307</v>
      </c>
      <c r="AG614" t="s">
        <v>3308</v>
      </c>
      <c r="AH614">
        <v>255</v>
      </c>
      <c r="AK614">
        <v>1</v>
      </c>
      <c r="AM614" t="str">
        <f t="shared" si="9"/>
        <v>{dwID=7377,nLevel=1,szNote="成就·七情覆灭",col={0,255,255,},[1]={bScreenHead=true,bPartyBuffList=true,bBuffList=true,bTeamPanel=true,},[2]={},aCataclysmBuff={{szReminder="痴",nPriority=4,col="#00FFFFFF",colScreenHead="#00FFFF",nColAlpha=255,bScreenHead=true,},},tCountdown={{nClass=1,nIcon=4552,nFrame=5,szName="五技能·痴断情肠·痴·连线",nTime=2,key="痴断情肠·痴",},{nClass=2,nIcon=4552,nFrame=5,szName="五技能·痴断情肠·痴·连线",nTime=10,key="痴断情肠·痴",},},},</v>
      </c>
      <c r="AN614" t="s">
        <v>3309</v>
      </c>
      <c r="AO614" t="s">
        <v>3310</v>
      </c>
    </row>
    <row r="615" spans="1:42" x14ac:dyDescent="0.15">
      <c r="C615">
        <v>7376</v>
      </c>
      <c r="D615">
        <v>1</v>
      </c>
      <c r="K615" t="s">
        <v>3299</v>
      </c>
      <c r="L615" t="s">
        <v>2676</v>
      </c>
      <c r="R615">
        <v>1</v>
      </c>
      <c r="S615">
        <v>1</v>
      </c>
      <c r="T615">
        <v>1</v>
      </c>
      <c r="U615">
        <v>1</v>
      </c>
      <c r="AD615" t="s">
        <v>403</v>
      </c>
      <c r="AE615">
        <v>4</v>
      </c>
      <c r="AF615" t="s">
        <v>3311</v>
      </c>
      <c r="AG615" t="s">
        <v>3312</v>
      </c>
      <c r="AH615">
        <v>255</v>
      </c>
      <c r="AK615">
        <v>1</v>
      </c>
      <c r="AM615" t="str">
        <f t="shared" si="9"/>
        <v>{dwID=7376,nLevel=1,szNote="成就·七情覆灭",col={255,50,50,},[1]={bScreenHead=true,bPartyBuffList=true,bBuffList=true,bTeamPanel=true,},[2]={},aCataclysmBuff={{szReminder="情",nPriority=4,col="#FF3232FF",colScreenHead="#FF3232",nColAlpha=255,bScreenHead=true,},},tCountdown={{nClass=1,nIcon=4549,nFrame=5,szName="五技能·痴断情肠·情·连线",nTime=2,key="痴断情肠·情",},{nClass=2,nIcon=4549,nFrame=5,szName="五技能·痴断情肠·情·连线",nTime=0,key="痴断情肠·情",},},},</v>
      </c>
      <c r="AN615" t="s">
        <v>3313</v>
      </c>
      <c r="AO615" t="s">
        <v>3314</v>
      </c>
    </row>
    <row r="616" spans="1:42" x14ac:dyDescent="0.15">
      <c r="A616" t="s">
        <v>833</v>
      </c>
      <c r="B616">
        <v>193</v>
      </c>
      <c r="AM616" t="str">
        <f t="shared" si="9"/>
        <v>},[193]={</v>
      </c>
    </row>
    <row r="617" spans="1:42" x14ac:dyDescent="0.15">
      <c r="C617">
        <v>11582</v>
      </c>
      <c r="D617">
        <v>1</v>
      </c>
      <c r="I617">
        <v>1</v>
      </c>
      <c r="J617" t="s">
        <v>3315</v>
      </c>
      <c r="K617" t="s">
        <v>3316</v>
      </c>
      <c r="L617" t="s">
        <v>2143</v>
      </c>
      <c r="AM617" t="str">
        <f t="shared" si="9"/>
        <v>{dwID=11582,nLevel=1,nScrutinyType=1,tKungFu={["SKILL#10389"]=true,["SKILL#10390"]=true,},szNote="雪山恩仇·苍云",col={255,255,0,},[1]={},[2]={},tCountdown={{nClass=1,nIcon=13703,nFrame=7,szName="雪山恩仇·苍云·长孙忘情",nTime=60,key="雪山恩仇·提示0",},{nClass=2,nIcon=13703,nFrame=7,szName="雪山恩仇·提示0",nTime=0,key="雪山恩仇·提示0",},},},</v>
      </c>
      <c r="AN617" t="s">
        <v>3317</v>
      </c>
      <c r="AO617" t="s">
        <v>3318</v>
      </c>
    </row>
    <row r="618" spans="1:42" x14ac:dyDescent="0.15">
      <c r="C618">
        <v>1624</v>
      </c>
      <c r="D618">
        <v>11</v>
      </c>
      <c r="H618">
        <v>1</v>
      </c>
      <c r="I618">
        <v>1</v>
      </c>
      <c r="AM618" t="str">
        <f t="shared" si="9"/>
        <v>{dwID=1624,nLevel=11,bCheckLevel=true,nScrutinyType=1,[1]={},[2]={},tCountdown={{nClass=1,nIcon=6432,nFrame=5,szName="饱食·苍云·长孙忘情",nTime=2,nRefresh=3600,key="冬至·饱食·苍云",},},},</v>
      </c>
      <c r="AN618" t="s">
        <v>3319</v>
      </c>
    </row>
    <row r="619" spans="1:42" x14ac:dyDescent="0.15">
      <c r="C619">
        <v>12829</v>
      </c>
      <c r="D619">
        <v>1</v>
      </c>
      <c r="K619" t="s">
        <v>2686</v>
      </c>
      <c r="L619" t="s">
        <v>2152</v>
      </c>
      <c r="T619">
        <v>1</v>
      </c>
      <c r="AM619" t="str">
        <f t="shared" si="9"/>
        <v>{dwID=12829,nLevel=1,szNote="戎马边",col={0,255,255,},[1]={bBuffList=true,},[2]={},},</v>
      </c>
    </row>
    <row r="620" spans="1:42" x14ac:dyDescent="0.15">
      <c r="A620" t="s">
        <v>834</v>
      </c>
      <c r="B620">
        <v>194</v>
      </c>
      <c r="AM620" t="str">
        <f t="shared" si="9"/>
        <v>},[194]={</v>
      </c>
    </row>
    <row r="621" spans="1:42" x14ac:dyDescent="0.15">
      <c r="C621">
        <v>12829</v>
      </c>
      <c r="D621">
        <v>1</v>
      </c>
      <c r="K621" t="s">
        <v>2686</v>
      </c>
      <c r="L621" t="s">
        <v>2152</v>
      </c>
      <c r="T621">
        <v>1</v>
      </c>
      <c r="AM621" t="str">
        <f t="shared" si="9"/>
        <v>{dwID=12829,nLevel=1,szNote="戎马边",col={0,255,255,},[1]={bBuffList=true,},[2]={},},</v>
      </c>
    </row>
    <row r="622" spans="1:42" x14ac:dyDescent="0.15">
      <c r="C622">
        <v>12830</v>
      </c>
      <c r="D622">
        <v>1</v>
      </c>
      <c r="F622">
        <v>10052</v>
      </c>
      <c r="G622" t="s">
        <v>2686</v>
      </c>
      <c r="I622">
        <v>1</v>
      </c>
      <c r="K622" t="s">
        <v>463</v>
      </c>
      <c r="Y622">
        <v>1</v>
      </c>
      <c r="AM622" t="str">
        <f t="shared" si="9"/>
        <v>{dwID=12830,nLevel=1,nIcon=10052,szName="戎马边",nScrutinyType=1,szNote="戎马边_定时_BUFF",[1]={},[2]={bCenterAlarm=true,},tCountdown={{nClass=2,nIcon=10052,nFrame=7,szName="奇遇·戎马边·解封",nTime=10,key="奇遇·封印",},{nClass=2,nIcon=10052,nFrame=7,szName="太原·怀德门·栾志辉",nTime=10.1,key="奇遇·解封",},{nClass=1,nIcon=10052,nFrame=7,szName="奇遇·戎马边·封印·72小时",nTime=10,nRefresh=7200,key="奇遇·封印",},},},</v>
      </c>
      <c r="AN622" t="s">
        <v>2784</v>
      </c>
      <c r="AO622" t="s">
        <v>2785</v>
      </c>
      <c r="AP622" t="s">
        <v>3320</v>
      </c>
    </row>
    <row r="623" spans="1:42" x14ac:dyDescent="0.15">
      <c r="C623">
        <v>15444</v>
      </c>
      <c r="D623">
        <v>1</v>
      </c>
      <c r="F623">
        <v>8317</v>
      </c>
      <c r="G623" t="s">
        <v>2690</v>
      </c>
      <c r="I623">
        <v>1</v>
      </c>
      <c r="K623" t="s">
        <v>478</v>
      </c>
      <c r="Y623">
        <v>1</v>
      </c>
      <c r="AM623" t="str">
        <f t="shared" si="9"/>
        <v>{dwID=15444,nLevel=1,nIcon=8317,szName="虎啸CD",nScrutinyType=1,szNote="静静_CD_BUFF",[1]={},[2]={bCenterAlarm=true,},tCountdown={{nClass=1,nIcon=8317,nFrame=7,szName="虎啸山林·阴山商路·已尝试",nTime=2,nRefresh=3600,key="奇遇·封印",},},},</v>
      </c>
      <c r="AN623" t="s">
        <v>3321</v>
      </c>
    </row>
    <row r="624" spans="1:42" x14ac:dyDescent="0.15">
      <c r="A624" t="s">
        <v>847</v>
      </c>
      <c r="B624">
        <v>213</v>
      </c>
      <c r="AM624" t="str">
        <f t="shared" si="9"/>
        <v>},[213]={</v>
      </c>
    </row>
    <row r="625" spans="1:43" x14ac:dyDescent="0.15">
      <c r="C625">
        <v>11582</v>
      </c>
      <c r="D625">
        <v>1</v>
      </c>
      <c r="I625">
        <v>1</v>
      </c>
      <c r="J625" t="s">
        <v>3322</v>
      </c>
      <c r="K625" t="s">
        <v>3323</v>
      </c>
      <c r="L625" t="s">
        <v>2143</v>
      </c>
      <c r="AM625" t="str">
        <f t="shared" si="9"/>
        <v>{dwID=11582,nLevel=1,nScrutinyType=1,tKungFu={["SKILL#10447"]=true,["SKILL#10448"]=true,},szNote="雪山恩仇·长歌",col={255,255,0,},[1]={},[2]={},tCountdown={{nClass=1,nIcon=13704,nFrame=7,szName="雪山恩仇·长歌·杨逸飞",nTime=60,key="雪山恩仇·提示0",},{nClass=2,nIcon=13704,nFrame=7,szName="雪山恩仇·提示0",nTime=0,key="雪山恩仇·提示0",},},},</v>
      </c>
      <c r="AN625" t="s">
        <v>3324</v>
      </c>
      <c r="AO625" t="s">
        <v>3325</v>
      </c>
    </row>
    <row r="626" spans="1:43" x14ac:dyDescent="0.15">
      <c r="C626">
        <v>1624</v>
      </c>
      <c r="D626">
        <v>12</v>
      </c>
      <c r="H626">
        <v>1</v>
      </c>
      <c r="I626">
        <v>1</v>
      </c>
      <c r="AM626" t="str">
        <f t="shared" si="9"/>
        <v>{dwID=1624,nLevel=12,bCheckLevel=true,nScrutinyType=1,[1]={},[2]={},tCountdown={{nClass=1,nIcon=7129,nFrame=5,szName="饱食·长歌·杨逸飞",nTime=2,nRefresh=3600,key="冬至·饱食·长歌",},},},</v>
      </c>
      <c r="AN626" t="s">
        <v>3326</v>
      </c>
    </row>
    <row r="627" spans="1:43" x14ac:dyDescent="0.15">
      <c r="A627" t="s">
        <v>252</v>
      </c>
      <c r="B627">
        <v>214</v>
      </c>
      <c r="AM627" t="str">
        <f t="shared" si="9"/>
        <v>},[214]={</v>
      </c>
    </row>
    <row r="628" spans="1:43" x14ac:dyDescent="0.15">
      <c r="C628">
        <v>10197</v>
      </c>
      <c r="D628">
        <v>1</v>
      </c>
      <c r="F628">
        <v>7925</v>
      </c>
      <c r="G628" t="s">
        <v>2689</v>
      </c>
      <c r="I628">
        <v>1</v>
      </c>
      <c r="K628" t="s">
        <v>430</v>
      </c>
      <c r="Y628">
        <v>1</v>
      </c>
      <c r="AM628" t="str">
        <f t="shared" si="9"/>
        <v>{dwID=10197,nLevel=1,nIcon=7925,szName="清茗经",nScrutinyType=1,szNote="清茗经_记录_BUFF",[1]={},[2]={bCenterAlarm=true,},tCountdown={{nClass=2,nIcon=7925,nFrame=7,szName="奇遇·清茗经·解封",nTime=10,key="奇遇·封印",},{nClass=2,nIcon=7925,nFrame=7,szName="1日·五台山·台怀镇·婆娑僧",nTime=10.1,key="奇遇·解封1",},{nClass=2,nIcon=7925,nFrame=7,szName="2日·五台山·缘居林·梵叶禅师",nTime=10.1,key="奇遇·解封2",},{nClass=1,nIcon=7925,nFrame=7,szName="奇遇·清茗经·封印·24小时",nTime=10,nRefresh=7200,key="奇遇·封印",},},},</v>
      </c>
      <c r="AN628" t="s">
        <v>2796</v>
      </c>
      <c r="AO628" t="s">
        <v>2797</v>
      </c>
      <c r="AP628" t="s">
        <v>2798</v>
      </c>
      <c r="AQ628" t="s">
        <v>3327</v>
      </c>
    </row>
    <row r="629" spans="1:43" x14ac:dyDescent="0.15">
      <c r="A629" t="s">
        <v>848</v>
      </c>
      <c r="B629">
        <v>215</v>
      </c>
      <c r="AM629" t="str">
        <f t="shared" si="9"/>
        <v>},[215]={</v>
      </c>
    </row>
    <row r="630" spans="1:43" x14ac:dyDescent="0.15">
      <c r="C630">
        <v>10760</v>
      </c>
      <c r="D630">
        <v>1</v>
      </c>
      <c r="F630">
        <v>331</v>
      </c>
      <c r="G630" t="s">
        <v>1720</v>
      </c>
      <c r="K630" t="s">
        <v>440</v>
      </c>
      <c r="L630" t="s">
        <v>2143</v>
      </c>
      <c r="T630">
        <v>1</v>
      </c>
      <c r="AM630" t="str">
        <f t="shared" si="9"/>
        <v>{dwID=10760,nLevel=1,nIcon=331,szName="QTE",szNote="千岛湖QTE触发CDbuff",col={255,255,0,},[1]={bBuffList=true,},[2]={},},</v>
      </c>
    </row>
    <row r="631" spans="1:43" x14ac:dyDescent="0.15">
      <c r="C631">
        <v>10756</v>
      </c>
      <c r="D631">
        <v>1</v>
      </c>
      <c r="F631">
        <v>4540</v>
      </c>
      <c r="G631" t="s">
        <v>2505</v>
      </c>
      <c r="I631">
        <v>1</v>
      </c>
      <c r="K631" t="s">
        <v>436</v>
      </c>
      <c r="L631" t="s">
        <v>3328</v>
      </c>
      <c r="T631">
        <v>1</v>
      </c>
      <c r="AM631" t="str">
        <f t="shared" si="9"/>
        <v>{dwID=10756,nLevel=1,nIcon=4540,szName="按1",nScrutinyType=1,szNote="石敢当QTE_Buff1",col={235,118,38,},[1]={bBuffList=true,},[2]={},tCountdown={{nClass=1,nIcon=4540,nFrame=0,szName="按111",nTime=3.1,key="石敢当·QTE·按1",},{nClass=2,nIcon=4540,nFrame=5,szName="石敢当·QTE·按1",nTime=0,key="石敢当·QTE·按1",},},},</v>
      </c>
      <c r="AN631" t="s">
        <v>3329</v>
      </c>
      <c r="AO631" t="s">
        <v>3330</v>
      </c>
    </row>
    <row r="632" spans="1:43" x14ac:dyDescent="0.15">
      <c r="C632">
        <v>10757</v>
      </c>
      <c r="D632">
        <v>1</v>
      </c>
      <c r="F632">
        <v>7500</v>
      </c>
      <c r="G632" t="s">
        <v>2508</v>
      </c>
      <c r="I632">
        <v>1</v>
      </c>
      <c r="K632" t="s">
        <v>437</v>
      </c>
      <c r="L632" t="s">
        <v>3331</v>
      </c>
      <c r="T632">
        <v>1</v>
      </c>
      <c r="AM632" t="str">
        <f t="shared" si="9"/>
        <v>{dwID=10757,nLevel=1,nIcon=7500,szName="按2",nScrutinyType=1,szNote="石敢当QTE_Buff2",col={0,146,234,},[1]={bBuffList=true,},[2]={},tCountdown={{nClass=1,nIcon=7500,nFrame=5,szName="按222",nTime=3.1,key="石敢当·QTE·按2",},{nClass=2,nIcon=7500,nFrame=5,szName="石敢当·QTE·按2",nTime=0,key="石敢当·QTE·按2",},},},</v>
      </c>
      <c r="AN632" t="s">
        <v>3332</v>
      </c>
      <c r="AO632" t="s">
        <v>3333</v>
      </c>
    </row>
    <row r="633" spans="1:43" x14ac:dyDescent="0.15">
      <c r="C633">
        <v>10758</v>
      </c>
      <c r="D633">
        <v>1</v>
      </c>
      <c r="F633">
        <v>4224</v>
      </c>
      <c r="G633" t="s">
        <v>2511</v>
      </c>
      <c r="I633">
        <v>1</v>
      </c>
      <c r="K633" t="s">
        <v>438</v>
      </c>
      <c r="L633" t="s">
        <v>3334</v>
      </c>
      <c r="T633">
        <v>1</v>
      </c>
      <c r="AM633" t="str">
        <f t="shared" si="9"/>
        <v>{dwID=10758,nLevel=1,nIcon=4224,szName="按3",nScrutinyType=1,szNote="石敢当QTE_Buff3",col={219,226,68,},[1]={bBuffList=true,},[2]={},tCountdown={{nClass=1,nIcon=4224,nFrame=3,szName="按333",nTime=3.1,key="石敢当·QTE·按3",},{nClass=2,nIcon=4224,nFrame=5,szName="石敢当·QTE·按3",nTime=0,key="石敢当·QTE·按3",},},},</v>
      </c>
      <c r="AN633" t="s">
        <v>3335</v>
      </c>
      <c r="AO633" t="s">
        <v>3336</v>
      </c>
    </row>
    <row r="634" spans="1:43" x14ac:dyDescent="0.15">
      <c r="C634">
        <v>10759</v>
      </c>
      <c r="D634">
        <v>1</v>
      </c>
      <c r="F634">
        <v>3455</v>
      </c>
      <c r="G634" t="s">
        <v>2541</v>
      </c>
      <c r="I634">
        <v>1</v>
      </c>
      <c r="K634" t="s">
        <v>439</v>
      </c>
      <c r="L634" t="s">
        <v>3337</v>
      </c>
      <c r="T634">
        <v>1</v>
      </c>
      <c r="AM634" t="str">
        <f t="shared" si="9"/>
        <v>{dwID=10759,nLevel=1,nIcon=3455,szName="按4",nScrutinyType=1,szNote="石敢当QTE_Buff4",col={147,45,228,},[1]={bBuffList=true,},[2]={},tCountdown={{nClass=1,nIcon=3455,nFrame=8,szName="按444",nTime=3.1,key="石敢当·QTE·按4",},{nClass=2,nIcon=3455,nFrame=5,szName="石敢当·QTE·按4",nTime=0,key="石敢当·QTE·按4",},},},</v>
      </c>
      <c r="AN634" t="s">
        <v>3338</v>
      </c>
      <c r="AO634" t="s">
        <v>3339</v>
      </c>
    </row>
    <row r="635" spans="1:43" x14ac:dyDescent="0.15">
      <c r="C635">
        <v>10141</v>
      </c>
      <c r="D635">
        <v>1</v>
      </c>
      <c r="F635">
        <v>7931</v>
      </c>
      <c r="G635" t="s">
        <v>2709</v>
      </c>
      <c r="I635">
        <v>1</v>
      </c>
      <c r="K635" t="s">
        <v>429</v>
      </c>
      <c r="Y635">
        <v>1</v>
      </c>
      <c r="AM635" t="str">
        <f t="shared" si="9"/>
        <v>{dwID=10141,nLevel=1,nIcon=7931,szName="胜负局",nScrutinyType=1,szNote="胜负局_间隔时间BUFF",[1]={},[2]={bCenterAlarm=true,},tCountdown={{nClass=2,nIcon=7931,nFrame=7,szName="奇遇·胜负局·解封",nTime=10,key="奇遇·封印",},{nClass=2,nIcon=7931,nFrame=7,szName="千岛湖·贺城·封博安",nTime=10,key="奇遇·解封",},{nClass=1,nIcon=7931,nFrame=7,szName="奇遇·胜负局·封印·24小时",nTime=10,nRefresh=7200,key="奇遇·封印",},},},</v>
      </c>
      <c r="AN635" t="s">
        <v>3138</v>
      </c>
      <c r="AO635" t="s">
        <v>3340</v>
      </c>
      <c r="AP635" t="s">
        <v>3341</v>
      </c>
    </row>
    <row r="636" spans="1:43" x14ac:dyDescent="0.15">
      <c r="A636" t="s">
        <v>256</v>
      </c>
      <c r="B636">
        <v>216</v>
      </c>
      <c r="AM636" t="str">
        <f t="shared" si="9"/>
        <v>},[216]={</v>
      </c>
    </row>
    <row r="637" spans="1:43" x14ac:dyDescent="0.15">
      <c r="C637">
        <v>16533</v>
      </c>
      <c r="D637">
        <v>1</v>
      </c>
      <c r="H637">
        <v>1</v>
      </c>
      <c r="I637">
        <v>1</v>
      </c>
      <c r="T637">
        <v>1</v>
      </c>
      <c r="AM637" t="str">
        <f t="shared" si="9"/>
        <v>{dwID=16533,nLevel=1,bCheckLevel=true,nScrutinyType=1,[1]={bBuffList=true,},[2]={},tCountdown={{nClass=2,nIcon=364,nFrame=5,szName="训马·交互",nTime=0,key="训马·交互",},{nClass=1,nIcon=364,nFrame=3,szName="清洁中",nTime=10,key="训马·交互",},},},</v>
      </c>
      <c r="AN637" t="s">
        <v>3342</v>
      </c>
      <c r="AO637" t="s">
        <v>3343</v>
      </c>
    </row>
    <row r="638" spans="1:43" x14ac:dyDescent="0.15">
      <c r="C638">
        <v>16533</v>
      </c>
      <c r="D638">
        <v>3</v>
      </c>
      <c r="H638">
        <v>1</v>
      </c>
      <c r="I638">
        <v>1</v>
      </c>
      <c r="T638">
        <v>1</v>
      </c>
      <c r="AM638" t="str">
        <f t="shared" si="9"/>
        <v>{dwID=16533,nLevel=3,bCheckLevel=true,nScrutinyType=1,[1]={bBuffList=true,},[2]={},tCountdown={{nClass=2,nIcon=219,nFrame=5,szName="训马·交互",nTime=0,key="训马·交互",},{nClass=1,nIcon=219,nFrame=3,szName="放养中",nTime=10,key="训马·交互",},},},</v>
      </c>
      <c r="AN638" t="s">
        <v>3344</v>
      </c>
      <c r="AO638" t="s">
        <v>3345</v>
      </c>
    </row>
    <row r="639" spans="1:43" x14ac:dyDescent="0.15">
      <c r="C639">
        <v>16533</v>
      </c>
      <c r="D639">
        <v>2</v>
      </c>
      <c r="H639">
        <v>1</v>
      </c>
      <c r="I639">
        <v>1</v>
      </c>
      <c r="T639">
        <v>1</v>
      </c>
      <c r="AM639" t="str">
        <f t="shared" si="9"/>
        <v>{dwID=16533,nLevel=2,bCheckLevel=true,nScrutinyType=1,[1]={bBuffList=true,},[2]={},tCountdown={{nClass=2,nIcon=382,nFrame=5,szName="训马·交互",nTime=0,key="训马·交互",},{nClass=1,nIcon=382,nFrame=5,szName="安抚中",nTime=10,key="训马·交互",},},},</v>
      </c>
      <c r="AN639" t="s">
        <v>3346</v>
      </c>
      <c r="AO639" t="s">
        <v>3347</v>
      </c>
    </row>
    <row r="640" spans="1:43" x14ac:dyDescent="0.15">
      <c r="C640">
        <v>16533</v>
      </c>
      <c r="D640">
        <v>4</v>
      </c>
      <c r="H640">
        <v>1</v>
      </c>
      <c r="I640">
        <v>1</v>
      </c>
      <c r="T640">
        <v>1</v>
      </c>
      <c r="AM640" t="str">
        <f t="shared" si="9"/>
        <v>{dwID=16533,nLevel=4,bCheckLevel=true,nScrutinyType=1,[1]={bBuffList=true,},[2]={},tCountdown={{nClass=2,nIcon=296,nFrame=5,szName="训马·交互",nTime=0,key="训马·交互",},{nClass=1,nIcon=296,nFrame=6,szName="训练中",nTime=10,key="训马·交互",},},},</v>
      </c>
      <c r="AN640" t="s">
        <v>3348</v>
      </c>
      <c r="AO640" t="s">
        <v>3349</v>
      </c>
    </row>
    <row r="641" spans="1:45" x14ac:dyDescent="0.15">
      <c r="C641">
        <v>16517</v>
      </c>
      <c r="D641">
        <v>1</v>
      </c>
      <c r="H641">
        <v>1</v>
      </c>
      <c r="I641">
        <v>1</v>
      </c>
      <c r="T641">
        <v>1</v>
      </c>
      <c r="AM641" t="str">
        <f t="shared" si="9"/>
        <v>{dwID=16517,nLevel=1,bCheckLevel=true,nScrutinyType=1,[1]={bBuffList=true,},[2]={},},</v>
      </c>
    </row>
    <row r="642" spans="1:45" x14ac:dyDescent="0.15">
      <c r="C642">
        <v>16517</v>
      </c>
      <c r="D642">
        <v>2</v>
      </c>
      <c r="H642">
        <v>1</v>
      </c>
      <c r="I642">
        <v>1</v>
      </c>
      <c r="T642">
        <v>1</v>
      </c>
      <c r="AM642" t="str">
        <f t="shared" ref="AM642:AM705" si="10">IF(B642&lt;&gt;"",IF(IFERROR(VALUE(C641),0)&lt;=0,"["&amp;B642&amp;"]={","},["&amp;B642&amp;"]={"),IF(C642&gt;0,"{dwID="&amp;C642&amp;","&amp;"nLevel="&amp;D642&amp;","&amp;IF(E642&gt;0,"nCount="&amp;E642&amp;",","")&amp;IF(F642&gt;0,"nIcon="&amp;F642&amp;",","")&amp;IF(G642&lt;&gt;"","szName="""&amp;G642&amp;""",","")&amp;IF(H642&gt;0,"bCheckLevel=true,","")&amp;IF(I642&gt;0,"nScrutinyType="&amp;I642&amp;",","")&amp;IF(J642&lt;&gt;"","tKungFu={"&amp;J642&amp;"},","")&amp;IF(K642&lt;&gt;"","szNote="""&amp;K642&amp;""",","")&amp;IF(L642&lt;&gt;"","col={"&amp;L642&amp;"},","")&amp;"[1]={"&amp;IF(M642&lt;&gt;"","tMark={"&amp;M642&amp;"},","")&amp;IF(N642&lt;&gt;"","szVoice="""&amp;N642&amp;""",","")&amp;IF(O642&gt;0,"bCheckLevel=true,","")&amp;IF(P642&gt;0,"bWhisperChannel=true,","")&amp;IF(Q642&gt;0,"bCenterAlarm=true,","")&amp;IF(R642&gt;0,"bScreenHead=true,","")&amp;IF(S642&gt;0,"bPartyBuffList=true,","")&amp;IF(T642&gt;0,"bBuffList=true,","")&amp;IF(U642&gt;0,"bTeamPanel=true,","")&amp;IF(V642&gt;0,"bOnlySelfSrc=true,","")&amp;"},"&amp;"[2]={"&amp;IF(W642&gt;0,"bCheckLevel=true,","")&amp;IF(X642&gt;0,"bWhisperChannel=true,","")&amp;IF(Y642&gt;0,"bCenterAlarm=true,","")&amp;"},"&amp;IF(OR(Z642&gt;0,AD642&lt;&gt;"",AE642&gt;0,AF642&lt;&gt;"",AG642&lt;&gt;"",AH642&gt;0,AI642&gt;0,AJ642&gt;0,AK642&gt;0),"aCataclysmBuff={{"&amp;IF(Z642&gt;0,"nStackNum="&amp;Z642&amp;",","")&amp;IF(AA642&lt;&gt;"","szStackOp="""&amp;AA642&amp;""",","")&amp;IF(AB642&gt;0,"bOnlyMine=true,","")&amp;IF(AC642&gt;0,"bOnlyMe=true,","")&amp;IF(AD642&lt;&gt;"","szReminder="""&amp;AD642&amp;""",","")&amp;IF(AE642&gt;0,"nPriority="&amp;AE642&amp;",","")&amp;IF(AF642&lt;&gt;"","col="""&amp;AF642&amp;""",","")&amp;IF(AG642&lt;&gt;"","colScreenHead="""&amp;AG642&amp;""",","")&amp;IF(AH642&gt;0,"nColAlpha="&amp;AH642&amp;",","")&amp;IF(AI642&gt;0,"bAttention=true,","")&amp;IF(AJ642&gt;0,"bCaution=true,","")&amp;IF(AK642&gt;0,"bScreenHead=true,","")&amp;"},"&amp;AL642&amp;"},","")&amp;IF(AN642&lt;&gt;"","tCountdown={"&amp;_xlfn.TEXTJOIN("",TRUE,AN642:ZY642)&amp;"},","")&amp;"},",IF(C641&gt;0,"},","")&amp;IF(AND(B642="",C642="",OR(B641&lt;&gt;"",C641&lt;&gt;"")),"},}","")))</f>
        <v>{dwID=16517,nLevel=2,bCheckLevel=true,nScrutinyType=1,[1]={bBuffList=true,},[2]={},},</v>
      </c>
    </row>
    <row r="643" spans="1:45" x14ac:dyDescent="0.15">
      <c r="C643">
        <v>13303</v>
      </c>
      <c r="D643">
        <v>8</v>
      </c>
      <c r="H643">
        <v>1</v>
      </c>
      <c r="I643">
        <v>1</v>
      </c>
      <c r="K643" t="s">
        <v>3181</v>
      </c>
      <c r="AM643" t="str">
        <f t="shared" si="10"/>
        <v>{dwID=13303,nLevel=8,bCheckLevel=true,nScrutinyType=1,szNote="雪雪旅行",[1]={},[2]={},tCountdown={{nClass=2,nIcon=293,nFrame=5,szName="雪雪·旅行",nTime=0,key="雪雪·旅行",},{nClass=1,nIcon=293,nFrame=5,szName="旅行·阴山大草原·阴山集市",nTime=20,key="雪雪·旅行",},{nClass=2,nIcon=293,nFrame=5,szName="阴山集市·黑市附近",nTime=20,key="雪雪·旅行介绍1",},{nClass=2,nIcon=293,nFrame=5,szName="阴山茶馆找·茶馆老板娘",nTime=20,key="雪雪·旅行介绍2",},{nClass=2,nIcon=293,nFrame=5,szName="湖心岛·触发命途",nTime=20,key="雪雪·旅行介绍3",},},},</v>
      </c>
      <c r="AN643" t="s">
        <v>3142</v>
      </c>
      <c r="AO643" t="s">
        <v>3350</v>
      </c>
      <c r="AP643" t="s">
        <v>3351</v>
      </c>
      <c r="AQ643" t="s">
        <v>3352</v>
      </c>
      <c r="AR643" t="s">
        <v>3353</v>
      </c>
    </row>
    <row r="644" spans="1:45" x14ac:dyDescent="0.15">
      <c r="C644">
        <v>26817</v>
      </c>
      <c r="D644">
        <v>1</v>
      </c>
      <c r="I644">
        <v>1</v>
      </c>
      <c r="AM644" t="str">
        <f t="shared" si="10"/>
        <v>{dwID=26817,nLevel=1,nScrutinyType=1,[1]={},[2]={},},</v>
      </c>
    </row>
    <row r="645" spans="1:45" x14ac:dyDescent="0.15">
      <c r="C645">
        <v>13323</v>
      </c>
      <c r="D645">
        <v>1</v>
      </c>
      <c r="I645">
        <v>1</v>
      </c>
      <c r="AM645" t="str">
        <f t="shared" si="10"/>
        <v>{dwID=13323,nLevel=1,nScrutinyType=1,[1]={},[2]={},tCountdown={{nClass=1,nIcon=293,nFrame=5,szName="雪雪·旅行介绍1",nTime=0,key="雪雪·旅行介绍1",},{nClass=1,nIcon=293,nFrame=5,szName="雪雪·旅行介绍2",nTime=0,key="雪雪·旅行介绍2",},{nClass=2,nIcon=17135,nFrame=0,szName="雪雪·旅行介绍1",nTime=0,key="雪雪·旅行介绍1",},{nClass=2,nIcon=17135,nFrame=0,szName="雪雪·旅行介绍2",nTime=0,key="雪雪·旅行介绍2",},{nClass=1,nIcon=17135,nFrame=0,szName="选项1·命途偏·逸",nTime=10,key="雪雪·旅行介绍1",},{nClass=1,nIcon=17135,nFrame=0,szName="选项2·命途偏·尘",nTime=10,key="雪雪·旅行介绍2",},},},</v>
      </c>
      <c r="AN645" t="s">
        <v>3146</v>
      </c>
      <c r="AO645" t="s">
        <v>3147</v>
      </c>
      <c r="AP645" t="s">
        <v>3148</v>
      </c>
      <c r="AQ645" t="s">
        <v>3149</v>
      </c>
      <c r="AR645" t="s">
        <v>3150</v>
      </c>
      <c r="AS645" t="s">
        <v>3151</v>
      </c>
    </row>
    <row r="646" spans="1:45" x14ac:dyDescent="0.15">
      <c r="C646">
        <v>10205</v>
      </c>
      <c r="D646">
        <v>1</v>
      </c>
      <c r="F646">
        <v>541</v>
      </c>
      <c r="G646" t="s">
        <v>358</v>
      </c>
      <c r="I646">
        <v>1</v>
      </c>
      <c r="K646" t="s">
        <v>431</v>
      </c>
      <c r="AM646" t="str">
        <f t="shared" si="10"/>
        <v>{dwID=10205,nLevel=1,nIcon=541,szName="面纱",nScrutinyType=1,szNote="阴山大草原_篝火会_面纱CD",[1]={},[2]={},},</v>
      </c>
    </row>
    <row r="647" spans="1:45" x14ac:dyDescent="0.15">
      <c r="A647" t="s">
        <v>257</v>
      </c>
      <c r="B647">
        <v>217</v>
      </c>
      <c r="AM647" t="str">
        <f t="shared" si="10"/>
        <v>},[217]={</v>
      </c>
    </row>
    <row r="648" spans="1:45" x14ac:dyDescent="0.15">
      <c r="C648">
        <v>16533</v>
      </c>
      <c r="D648">
        <v>1</v>
      </c>
      <c r="H648">
        <v>1</v>
      </c>
      <c r="I648">
        <v>1</v>
      </c>
      <c r="T648">
        <v>1</v>
      </c>
      <c r="AM648" t="str">
        <f t="shared" si="10"/>
        <v>{dwID=16533,nLevel=1,bCheckLevel=true,nScrutinyType=1,[1]={bBuffList=true,},[2]={},tCountdown={{nClass=2,nIcon=364,nFrame=5,szName="训马·交互",nTime=0,key="训马·交互",},{nClass=1,nIcon=364,nFrame=3,szName="清洁中",nTime=10,key="训马·交互",},},},</v>
      </c>
      <c r="AN648" t="s">
        <v>3342</v>
      </c>
      <c r="AO648" t="s">
        <v>3343</v>
      </c>
    </row>
    <row r="649" spans="1:45" x14ac:dyDescent="0.15">
      <c r="C649">
        <v>16533</v>
      </c>
      <c r="D649">
        <v>3</v>
      </c>
      <c r="H649">
        <v>1</v>
      </c>
      <c r="I649">
        <v>1</v>
      </c>
      <c r="T649">
        <v>1</v>
      </c>
      <c r="AM649" t="str">
        <f t="shared" si="10"/>
        <v>{dwID=16533,nLevel=3,bCheckLevel=true,nScrutinyType=1,[1]={bBuffList=true,},[2]={},tCountdown={{nClass=2,nIcon=219,nFrame=5,szName="训马·交互",nTime=0,key="训马·交互",},{nClass=1,nIcon=219,nFrame=3,szName="放养中",nTime=10,key="训马·交互",},},},</v>
      </c>
      <c r="AN649" t="s">
        <v>3344</v>
      </c>
      <c r="AO649" t="s">
        <v>3345</v>
      </c>
    </row>
    <row r="650" spans="1:45" x14ac:dyDescent="0.15">
      <c r="C650">
        <v>16533</v>
      </c>
      <c r="D650">
        <v>2</v>
      </c>
      <c r="H650">
        <v>1</v>
      </c>
      <c r="I650">
        <v>1</v>
      </c>
      <c r="T650">
        <v>1</v>
      </c>
      <c r="AM650" t="str">
        <f t="shared" si="10"/>
        <v>{dwID=16533,nLevel=2,bCheckLevel=true,nScrutinyType=1,[1]={bBuffList=true,},[2]={},tCountdown={{nClass=2,nIcon=382,nFrame=5,szName="训马·交互",nTime=0,key="训马·交互",},{nClass=1,nIcon=382,nFrame=5,szName="安抚中",nTime=10,key="训马·交互",},},},</v>
      </c>
      <c r="AN650" t="s">
        <v>3346</v>
      </c>
      <c r="AO650" t="s">
        <v>3347</v>
      </c>
    </row>
    <row r="651" spans="1:45" x14ac:dyDescent="0.15">
      <c r="C651">
        <v>16533</v>
      </c>
      <c r="D651">
        <v>4</v>
      </c>
      <c r="H651">
        <v>1</v>
      </c>
      <c r="I651">
        <v>1</v>
      </c>
      <c r="T651">
        <v>1</v>
      </c>
      <c r="AM651" t="str">
        <f t="shared" si="10"/>
        <v>{dwID=16533,nLevel=4,bCheckLevel=true,nScrutinyType=1,[1]={bBuffList=true,},[2]={},tCountdown={{nClass=2,nIcon=296,nFrame=5,szName="训马·交互",nTime=0,key="训马·交互",},{nClass=1,nIcon=296,nFrame=6,szName="训练中",nTime=10,key="训马·交互",},},},</v>
      </c>
      <c r="AN651" t="s">
        <v>3348</v>
      </c>
      <c r="AO651" t="s">
        <v>3349</v>
      </c>
    </row>
    <row r="652" spans="1:45" x14ac:dyDescent="0.15">
      <c r="C652">
        <v>16517</v>
      </c>
      <c r="D652">
        <v>1</v>
      </c>
      <c r="H652">
        <v>1</v>
      </c>
      <c r="I652">
        <v>1</v>
      </c>
      <c r="T652">
        <v>1</v>
      </c>
      <c r="AM652" t="str">
        <f t="shared" si="10"/>
        <v>{dwID=16517,nLevel=1,bCheckLevel=true,nScrutinyType=1,[1]={bBuffList=true,},[2]={},},</v>
      </c>
    </row>
    <row r="653" spans="1:45" x14ac:dyDescent="0.15">
      <c r="C653">
        <v>16517</v>
      </c>
      <c r="D653">
        <v>2</v>
      </c>
      <c r="H653">
        <v>1</v>
      </c>
      <c r="I653">
        <v>1</v>
      </c>
      <c r="T653">
        <v>1</v>
      </c>
      <c r="AM653" t="str">
        <f t="shared" si="10"/>
        <v>{dwID=16517,nLevel=2,bCheckLevel=true,nScrutinyType=1,[1]={bBuffList=true,},[2]={},},</v>
      </c>
    </row>
    <row r="654" spans="1:45" x14ac:dyDescent="0.15">
      <c r="A654" t="s">
        <v>258</v>
      </c>
      <c r="B654">
        <v>239</v>
      </c>
      <c r="AM654" t="str">
        <f t="shared" si="10"/>
        <v>},[239]={</v>
      </c>
    </row>
    <row r="655" spans="1:45" x14ac:dyDescent="0.15">
      <c r="C655">
        <v>11901</v>
      </c>
      <c r="D655">
        <v>1</v>
      </c>
      <c r="F655">
        <v>9246</v>
      </c>
      <c r="G655" t="s">
        <v>2684</v>
      </c>
      <c r="I655">
        <v>1</v>
      </c>
      <c r="K655" t="s">
        <v>457</v>
      </c>
      <c r="Y655">
        <v>1</v>
      </c>
      <c r="AM655" t="str">
        <f t="shared" si="10"/>
        <v>{dwID=11901,nLevel=1,nIcon=9246,szName="北行镖",nScrutinyType=1,szNote="北行镖_隔天CD",[1]={},[2]={bCenterAlarm=true,},tCountdown={{nClass=2,nIcon=9246,nFrame=7,szName="奇遇·北行镖·解封",nTime=10,key="奇遇·封印",},{nClass=2,nIcon=9246,nFrame=7,szName="洛阳城·同文书馆·李文绮",nTime=10.1,key="奇遇·解封",},{nClass=1,nIcon=9246,nFrame=7,szName="奇遇·北行镖·封印·明日7时",nTime=10,nRefresh=7200,key="奇遇·封印",},},},</v>
      </c>
      <c r="AN655" t="s">
        <v>2780</v>
      </c>
      <c r="AO655" t="s">
        <v>2781</v>
      </c>
      <c r="AP655" t="s">
        <v>3354</v>
      </c>
    </row>
    <row r="656" spans="1:45" x14ac:dyDescent="0.15">
      <c r="C656">
        <v>11462</v>
      </c>
      <c r="D656">
        <v>1</v>
      </c>
      <c r="AM656" t="str">
        <f t="shared" si="10"/>
        <v>{dwID=11462,nLevel=1,[1]={},[2]={},tCountdown={{nClass=2,nIcon=4473,nFrame=6,szName="陈月·可接取隐藏任务",nTime=10,key="任务·提示2",},},},</v>
      </c>
      <c r="AN656" t="s">
        <v>3355</v>
      </c>
    </row>
    <row r="657" spans="1:43" x14ac:dyDescent="0.15">
      <c r="A657" t="s">
        <v>259</v>
      </c>
      <c r="B657">
        <v>243</v>
      </c>
      <c r="AM657" t="str">
        <f t="shared" si="10"/>
        <v>},[243]={</v>
      </c>
    </row>
    <row r="658" spans="1:43" x14ac:dyDescent="0.15">
      <c r="C658">
        <v>11582</v>
      </c>
      <c r="D658">
        <v>1</v>
      </c>
      <c r="I658">
        <v>1</v>
      </c>
      <c r="J658" t="s">
        <v>3356</v>
      </c>
      <c r="K658" t="s">
        <v>3357</v>
      </c>
      <c r="L658" t="s">
        <v>2143</v>
      </c>
      <c r="AM658" t="str">
        <f t="shared" si="10"/>
        <v>{dwID=11582,nLevel=1,nScrutinyType=1,tKungFu={["SKILL#10464"]=true,},szNote="雪山恩仇·霸刀",col={255,255,0,},[1]={},[2]={},tCountdown={{nClass=1,nIcon=13705,nFrame=7,szName="雪山恩仇·霸刀·柳静海",nTime=60,key="雪山恩仇·提示0",},{nClass=2,nIcon=13705,nFrame=7,szName="雪山恩仇·提示0",nTime=0,key="雪山恩仇·提示0",},},},</v>
      </c>
      <c r="AN658" t="s">
        <v>3358</v>
      </c>
      <c r="AO658" t="s">
        <v>3359</v>
      </c>
    </row>
    <row r="659" spans="1:43" x14ac:dyDescent="0.15">
      <c r="C659">
        <v>11507</v>
      </c>
      <c r="D659">
        <v>1</v>
      </c>
      <c r="F659">
        <v>770</v>
      </c>
      <c r="G659" t="s">
        <v>3360</v>
      </c>
      <c r="H659">
        <v>1</v>
      </c>
      <c r="I659">
        <v>1</v>
      </c>
      <c r="K659" t="s">
        <v>2572</v>
      </c>
      <c r="L659" t="s">
        <v>2168</v>
      </c>
      <c r="T659">
        <v>1</v>
      </c>
      <c r="AM659" t="str">
        <f t="shared" si="10"/>
        <v>{dwID=11507,nLevel=1,nIcon=770,szName="穿风神矢",bCheckLevel=true,nScrutinyType=1,szNote="成就",col={0,255,0,},[1]={bBuffList=true,},[2]={},},</v>
      </c>
    </row>
    <row r="660" spans="1:43" x14ac:dyDescent="0.15">
      <c r="C660">
        <v>1624</v>
      </c>
      <c r="D660">
        <v>13</v>
      </c>
      <c r="H660">
        <v>1</v>
      </c>
      <c r="I660">
        <v>1</v>
      </c>
      <c r="AM660" t="str">
        <f t="shared" si="10"/>
        <v>{dwID=1624,nLevel=13,bCheckLevel=true,nScrutinyType=1,[1]={},[2]={},tCountdown={{nClass=1,nIcon=8629,nFrame=5,szName="饱食·霸刀·柳静海",nTime=2,nRefresh=3600,key="冬至·饱食·霸刀",},},},</v>
      </c>
      <c r="AN660" t="s">
        <v>3361</v>
      </c>
    </row>
    <row r="661" spans="1:43" x14ac:dyDescent="0.15">
      <c r="A661" t="s">
        <v>903</v>
      </c>
      <c r="B661">
        <v>286</v>
      </c>
      <c r="AM661" t="str">
        <f t="shared" si="10"/>
        <v>},[286]={</v>
      </c>
    </row>
    <row r="662" spans="1:43" x14ac:dyDescent="0.15">
      <c r="C662">
        <v>12216</v>
      </c>
      <c r="D662">
        <v>1</v>
      </c>
      <c r="L662" t="s">
        <v>3220</v>
      </c>
      <c r="T662">
        <v>1</v>
      </c>
      <c r="U662">
        <v>1</v>
      </c>
      <c r="AD662" t="s">
        <v>312</v>
      </c>
      <c r="AE662">
        <v>4</v>
      </c>
      <c r="AF662" t="s">
        <v>3222</v>
      </c>
      <c r="AH662">
        <v>255</v>
      </c>
      <c r="AM662" t="str">
        <f t="shared" si="10"/>
        <v>{dwID=12216,nLevel=1,col={255,50,255,},[1]={bBuffList=true,bTeamPanel=true,},[2]={},aCataclysmBuff={{szReminder="毒",nPriority=4,col="#FF32FFFF",nColAlpha=255,},},},</v>
      </c>
    </row>
    <row r="663" spans="1:43" x14ac:dyDescent="0.15">
      <c r="C663">
        <v>12211</v>
      </c>
      <c r="D663">
        <v>1</v>
      </c>
      <c r="K663" t="s">
        <v>3362</v>
      </c>
      <c r="L663" t="s">
        <v>3363</v>
      </c>
      <c r="T663">
        <v>1</v>
      </c>
      <c r="U663">
        <v>1</v>
      </c>
      <c r="AD663" t="s">
        <v>337</v>
      </c>
      <c r="AF663" t="s">
        <v>3364</v>
      </c>
      <c r="AG663" t="s">
        <v>3365</v>
      </c>
      <c r="AH663">
        <v>255</v>
      </c>
      <c r="AI663">
        <v>1</v>
      </c>
      <c r="AM663" t="str">
        <f t="shared" si="10"/>
        <v>{dwID=12211,nLevel=1,szNote="会损失35%气血",col={0,125,255,},[1]={bBuffList=true,bTeamPanel=true,},[2]={},aCataclysmBuff={{szReminder="阴",col="#007DFFFF",colScreenHead="#007DFF",nColAlpha=255,bAttention=true,},},tCountdown={{nClass=2,nIcon=2036,nFrame=5,szName="瘴气·{$receiver}",nTime=0,key="瘴气",},{nClass=1,nIcon=2036,nFrame=5,szName="{$receiver}·驱散·瘴气",nTime=5,key="瘴气",},},},</v>
      </c>
      <c r="AN663" t="s">
        <v>3366</v>
      </c>
      <c r="AO663" t="s">
        <v>3367</v>
      </c>
    </row>
    <row r="664" spans="1:43" x14ac:dyDescent="0.15">
      <c r="A664" t="s">
        <v>918</v>
      </c>
      <c r="B664">
        <v>301</v>
      </c>
      <c r="AM664" t="str">
        <f t="shared" si="10"/>
        <v>},[301]={</v>
      </c>
    </row>
    <row r="665" spans="1:43" x14ac:dyDescent="0.15">
      <c r="C665">
        <v>13377</v>
      </c>
      <c r="D665">
        <v>2</v>
      </c>
      <c r="L665" t="s">
        <v>2676</v>
      </c>
      <c r="R665">
        <v>1</v>
      </c>
      <c r="S665">
        <v>1</v>
      </c>
      <c r="T665">
        <v>1</v>
      </c>
      <c r="U665">
        <v>1</v>
      </c>
      <c r="AD665" t="s">
        <v>3368</v>
      </c>
      <c r="AE665">
        <v>3</v>
      </c>
      <c r="AG665" t="s">
        <v>3369</v>
      </c>
      <c r="AH665">
        <v>255</v>
      </c>
      <c r="AK665">
        <v>1</v>
      </c>
      <c r="AM665" t="str">
        <f t="shared" si="10"/>
        <v>{dwID=13377,nLevel=2,col={255,50,50,},[1]={bScreenHead=true,bPartyBuffList=true,bBuffList=true,bTeamPanel=true,},[2]={},aCataclysmBuff={{szReminder="暴毙",nPriority=3,colScreenHead="#DF3F3F",nColAlpha=255,bScreenHead=true,},},tCountdown={{nClass=1,nIcon=4513,nFrame=5,szName="{$13377} ·DPS提前死亡",nTime=15,},},},</v>
      </c>
      <c r="AN665" t="s">
        <v>3370</v>
      </c>
    </row>
    <row r="666" spans="1:43" x14ac:dyDescent="0.15">
      <c r="A666" t="s">
        <v>260</v>
      </c>
      <c r="B666">
        <v>302</v>
      </c>
      <c r="AM666" t="str">
        <f t="shared" si="10"/>
        <v>},[302]={</v>
      </c>
    </row>
    <row r="667" spans="1:43" x14ac:dyDescent="0.15">
      <c r="C667">
        <v>13303</v>
      </c>
      <c r="D667">
        <v>1</v>
      </c>
      <c r="H667">
        <v>1</v>
      </c>
      <c r="I667">
        <v>1</v>
      </c>
      <c r="K667" t="s">
        <v>3181</v>
      </c>
      <c r="AM667" t="str">
        <f t="shared" si="10"/>
        <v>{dwID=13303,nLevel=1,bCheckLevel=true,nScrutinyType=1,szNote="雪雪旅行",[1]={},[2]={},tCountdown={{nClass=2,nIcon=293,nFrame=5,szName="雪雪·旅行",nTime=0,key="雪雪·旅行",},{nClass=1,nIcon=293,nFrame=5,szName="旅行·云梦幽泽·祈梦台",nTime=20,key="雪雪·旅行",},{nClass=2,nIcon=293,nFrame=5,szName="可以去看看周围商铺",nTime=20,key="雪雪·旅行介绍1",},{nClass=2,nIcon=293,nFrame=5,szName="可以去祈梦台大树下许愿",nTime=20,key="雪雪·旅行介绍2",},},},</v>
      </c>
      <c r="AN667" t="s">
        <v>3142</v>
      </c>
      <c r="AO667" t="s">
        <v>3371</v>
      </c>
      <c r="AP667" t="s">
        <v>3372</v>
      </c>
      <c r="AQ667" t="s">
        <v>3373</v>
      </c>
    </row>
    <row r="668" spans="1:43" x14ac:dyDescent="0.15">
      <c r="C668">
        <v>13303</v>
      </c>
      <c r="D668">
        <v>2</v>
      </c>
      <c r="H668">
        <v>1</v>
      </c>
      <c r="I668">
        <v>1</v>
      </c>
      <c r="K668" t="s">
        <v>3181</v>
      </c>
      <c r="AM668" t="str">
        <f t="shared" si="10"/>
        <v>{dwID=13303,nLevel=2,bCheckLevel=true,nScrutinyType=1,szNote="雪雪旅行",[1]={},[2]={},tCountdown={{nClass=2,nIcon=293,nFrame=5,szName="雪雪·旅行",nTime=0,key="雪雪·旅行",},{nClass=1,nIcon=293,nFrame=5,szName="旅行·万花·晴昼海",nTime=20,key="雪雪·旅行",},},},</v>
      </c>
      <c r="AN668" t="s">
        <v>3142</v>
      </c>
      <c r="AO668" t="s">
        <v>3155</v>
      </c>
    </row>
    <row r="669" spans="1:43" x14ac:dyDescent="0.15">
      <c r="C669">
        <v>13303</v>
      </c>
      <c r="D669">
        <v>3</v>
      </c>
      <c r="H669">
        <v>1</v>
      </c>
      <c r="I669">
        <v>1</v>
      </c>
      <c r="K669" t="s">
        <v>3181</v>
      </c>
      <c r="AM669" t="str">
        <f t="shared" si="10"/>
        <v>{dwID=13303,nLevel=3,bCheckLevel=true,nScrutinyType=1,szNote="雪雪旅行",[1]={},[2]={},tCountdown={{nClass=2,nIcon=293,nFrame=5,szName="雪雪·旅行",nTime=0,key="雪雪·旅行",},{nClass=1,nIcon=293,nFrame=5,szName="旅行·金水镇·金水镇广场",nTime=20,key="雪雪·旅行",},},},</v>
      </c>
      <c r="AN669" t="s">
        <v>3142</v>
      </c>
      <c r="AO669" t="s">
        <v>3191</v>
      </c>
    </row>
    <row r="670" spans="1:43" x14ac:dyDescent="0.15">
      <c r="C670">
        <v>13303</v>
      </c>
      <c r="D670">
        <v>4</v>
      </c>
      <c r="H670">
        <v>1</v>
      </c>
      <c r="I670">
        <v>1</v>
      </c>
      <c r="K670" t="s">
        <v>3181</v>
      </c>
      <c r="AM670" t="str">
        <f t="shared" si="10"/>
        <v>{dwID=13303,nLevel=4,bCheckLevel=true,nScrutinyType=1,szNote="雪雪旅行",[1]={},[2]={},tCountdown={{nClass=2,nIcon=293,nFrame=5,szName="雪雪·旅行",nTime=0,key="雪雪·旅行",},{nClass=1,nIcon=293,nFrame=5,szName="旅行·稻香村·镜湖亭·敬师堂传送",nTime=20,key="雪雪·旅行",},},},</v>
      </c>
      <c r="AN670" t="s">
        <v>3142</v>
      </c>
      <c r="AO670" t="s">
        <v>3374</v>
      </c>
    </row>
    <row r="671" spans="1:43" x14ac:dyDescent="0.15">
      <c r="C671">
        <v>13303</v>
      </c>
      <c r="D671">
        <v>5</v>
      </c>
      <c r="H671">
        <v>1</v>
      </c>
      <c r="I671">
        <v>1</v>
      </c>
      <c r="K671" t="s">
        <v>3181</v>
      </c>
      <c r="AM671" t="str">
        <f t="shared" si="10"/>
        <v>{dwID=13303,nLevel=5,bCheckLevel=true,nScrutinyType=1,szNote="雪雪旅行",[1]={},[2]={},tCountdown={{nClass=2,nIcon=293,nFrame=5,szName="雪雪·旅行",nTime=0,key="雪雪·旅行",},{nClass=1,nIcon=293,nFrame=5,szName="旅行·昆仑·小遥峰",nTime=20,key="雪雪·旅行",},},},</v>
      </c>
      <c r="AN671" t="s">
        <v>3142</v>
      </c>
      <c r="AO671" t="s">
        <v>3208</v>
      </c>
    </row>
    <row r="672" spans="1:43" x14ac:dyDescent="0.15">
      <c r="C672">
        <v>13303</v>
      </c>
      <c r="D672">
        <v>6</v>
      </c>
      <c r="H672">
        <v>1</v>
      </c>
      <c r="I672">
        <v>1</v>
      </c>
      <c r="K672" t="s">
        <v>3181</v>
      </c>
      <c r="AM672" t="str">
        <f t="shared" si="10"/>
        <v>{dwID=13303,nLevel=6,bCheckLevel=true,nScrutinyType=1,szNote="雪雪旅行",[1]={},[2]={},tCountdown={{nClass=2,nIcon=293,nFrame=5,szName="雪雪·旅行",nTime=0,key="雪雪·旅行",},{nClass=1,nIcon=293,nFrame=5,szName="旅行·明教·三生树",nTime=20,key="雪雪·旅行",},},},</v>
      </c>
      <c r="AN672" t="s">
        <v>3142</v>
      </c>
      <c r="AO672" t="s">
        <v>3253</v>
      </c>
    </row>
    <row r="673" spans="1:45" x14ac:dyDescent="0.15">
      <c r="C673">
        <v>13303</v>
      </c>
      <c r="D673">
        <v>7</v>
      </c>
      <c r="H673">
        <v>1</v>
      </c>
      <c r="I673">
        <v>1</v>
      </c>
      <c r="K673" t="s">
        <v>3181</v>
      </c>
      <c r="AM673" t="str">
        <f t="shared" si="10"/>
        <v>{dwID=13303,nLevel=7,bCheckLevel=true,nScrutinyType=1,szNote="雪雪旅行",[1]={},[2]={},tCountdown={{nClass=2,nIcon=293,nFrame=5,szName="雪雪·旅行",nTime=0,key="雪雪·旅行",},{nClass=1,nIcon=293,nFrame=5,szName="旅行·纯阳·太极广场",nTime=20,key="雪雪·旅行",},},},</v>
      </c>
      <c r="AN673" t="s">
        <v>3142</v>
      </c>
      <c r="AO673" t="s">
        <v>3182</v>
      </c>
    </row>
    <row r="674" spans="1:45" x14ac:dyDescent="0.15">
      <c r="C674">
        <v>13303</v>
      </c>
      <c r="D674">
        <v>8</v>
      </c>
      <c r="H674">
        <v>1</v>
      </c>
      <c r="I674">
        <v>1</v>
      </c>
      <c r="K674" t="s">
        <v>3181</v>
      </c>
      <c r="AM674" t="str">
        <f t="shared" si="10"/>
        <v>{dwID=13303,nLevel=8,bCheckLevel=true,nScrutinyType=1,szNote="雪雪旅行",[1]={},[2]={},tCountdown={{nClass=2,nIcon=293,nFrame=5,szName="雪雪·旅行",nTime=0,key="雪雪·旅行",},{nClass=1,nIcon=293,nFrame=5,szName="旅行·阴山大草原·阴山集市",nTime=20,key="雪雪·旅行",},},},</v>
      </c>
      <c r="AN674" t="s">
        <v>3142</v>
      </c>
      <c r="AO674" t="s">
        <v>3350</v>
      </c>
    </row>
    <row r="675" spans="1:45" x14ac:dyDescent="0.15">
      <c r="C675">
        <v>13303</v>
      </c>
      <c r="D675">
        <v>9</v>
      </c>
      <c r="H675">
        <v>1</v>
      </c>
      <c r="I675">
        <v>1</v>
      </c>
      <c r="K675" t="s">
        <v>3181</v>
      </c>
      <c r="AM675" t="str">
        <f t="shared" si="10"/>
        <v>{dwID=13303,nLevel=9,bCheckLevel=true,nScrutinyType=1,szNote="雪雪旅行",[1]={},[2]={},tCountdown={{nClass=2,nIcon=293,nFrame=5,szName="雪雪·旅行",nTime=0,key="雪雪·旅行",},{nClass=1,nIcon=293,nFrame=5,szName="旅行·九寨沟·出口·庄千山传送",nTime=20,key="雪雪·旅行",},},},</v>
      </c>
      <c r="AN675" t="s">
        <v>3142</v>
      </c>
      <c r="AO675" t="s">
        <v>3375</v>
      </c>
    </row>
    <row r="676" spans="1:45" x14ac:dyDescent="0.15">
      <c r="C676">
        <v>13176</v>
      </c>
      <c r="D676">
        <v>3</v>
      </c>
      <c r="F676">
        <v>545</v>
      </c>
      <c r="G676" t="s">
        <v>3376</v>
      </c>
      <c r="H676">
        <v>1</v>
      </c>
      <c r="I676">
        <v>1</v>
      </c>
      <c r="K676" t="s">
        <v>3229</v>
      </c>
      <c r="T676">
        <v>1</v>
      </c>
      <c r="AM676" t="str">
        <f t="shared" si="10"/>
        <v>{dwID=13176,nLevel=3,nIcon=545,szName="烹饪·馄饨",bCheckLevel=true,nScrutinyType=1,szNote="雪雪养成",[1]={bBuffList=true,},[2]={},tCountdown={{nClass=1,nIcon=545,nFrame=6,szName="烹饪·馄饨·恢复精力5点",nTime=5,key="雪雪·学习烹饪",},{nClass=2,nIcon=545,nFrame=6,szName="雪雪·学习烹饪",nTime=0,key="雪雪·学习烹饪",},},},</v>
      </c>
      <c r="AN676" t="s">
        <v>3377</v>
      </c>
      <c r="AO676" t="s">
        <v>3378</v>
      </c>
    </row>
    <row r="677" spans="1:45" x14ac:dyDescent="0.15">
      <c r="C677">
        <v>13176</v>
      </c>
      <c r="D677">
        <v>4</v>
      </c>
      <c r="F677">
        <v>7635</v>
      </c>
      <c r="G677" t="s">
        <v>3379</v>
      </c>
      <c r="H677">
        <v>1</v>
      </c>
      <c r="I677">
        <v>1</v>
      </c>
      <c r="K677" t="s">
        <v>3229</v>
      </c>
      <c r="T677">
        <v>1</v>
      </c>
      <c r="AM677" t="str">
        <f t="shared" si="10"/>
        <v>{dwID=13176,nLevel=4,nIcon=7635,szName="烹饪·肉馅团子",bCheckLevel=true,nScrutinyType=1,szNote="雪雪养成",[1]={bBuffList=true,},[2]={},tCountdown={{nClass=1,nIcon=7635,nFrame=6,szName="烹饪·肉馅团子·肉馅团子",nTime=5,key="雪雪·学习烹饪",},{nClass=2,nIcon=7635,nFrame=6,szName="雪雪·学习烹饪",nTime=0,key="雪雪·学习烹饪",},},},</v>
      </c>
      <c r="AN677" t="s">
        <v>3380</v>
      </c>
      <c r="AO677" t="s">
        <v>3381</v>
      </c>
    </row>
    <row r="678" spans="1:45" x14ac:dyDescent="0.15">
      <c r="C678">
        <v>13176</v>
      </c>
      <c r="D678">
        <v>5</v>
      </c>
      <c r="F678">
        <v>7622</v>
      </c>
      <c r="G678" t="s">
        <v>3382</v>
      </c>
      <c r="H678">
        <v>1</v>
      </c>
      <c r="I678">
        <v>1</v>
      </c>
      <c r="K678" t="s">
        <v>3229</v>
      </c>
      <c r="T678">
        <v>1</v>
      </c>
      <c r="AM678" t="str">
        <f t="shared" si="10"/>
        <v>{dwID=13176,nLevel=5,nIcon=7622,szName="烹饪·冬瓜烧肉",bCheckLevel=true,nScrutinyType=1,szNote="雪雪养成",[1]={bBuffList=true,},[2]={},tCountdown={{nClass=1,nIcon=7622,nFrame=6,szName="烹饪·冬瓜烧肉·根骨",nTime=5,key="雪雪·学习烹饪",},{nClass=2,nIcon=7622,nFrame=6,szName="雪雪·学习烹饪",nTime=0,key="雪雪·学习烹饪",},},},</v>
      </c>
      <c r="AN678" t="s">
        <v>3383</v>
      </c>
      <c r="AO678" t="s">
        <v>3384</v>
      </c>
    </row>
    <row r="679" spans="1:45" x14ac:dyDescent="0.15">
      <c r="C679">
        <v>13176</v>
      </c>
      <c r="D679">
        <v>6</v>
      </c>
      <c r="F679">
        <v>7533</v>
      </c>
      <c r="G679" t="s">
        <v>3385</v>
      </c>
      <c r="H679">
        <v>1</v>
      </c>
      <c r="I679">
        <v>1</v>
      </c>
      <c r="K679" t="s">
        <v>3229</v>
      </c>
      <c r="T679">
        <v>1</v>
      </c>
      <c r="AM679" t="str">
        <f t="shared" si="10"/>
        <v>{dwID=13176,nLevel=6,nIcon=7533,szName="烹饪·黄瓜烧肉",bCheckLevel=true,nScrutinyType=1,szNote="雪雪养成",[1]={bBuffList=true,},[2]={},tCountdown={{nClass=1,nIcon=7533,nFrame=6,szName="烹饪·黄瓜烧肉·力道",nTime=5,key="雪雪·学习烹饪",},{nClass=2,nIcon=7533,nFrame=6,szName="雪雪·学习烹饪",nTime=0,key="雪雪·学习烹饪",},},},</v>
      </c>
      <c r="AN679" t="s">
        <v>3386</v>
      </c>
      <c r="AO679" t="s">
        <v>3387</v>
      </c>
    </row>
    <row r="680" spans="1:45" x14ac:dyDescent="0.15">
      <c r="C680">
        <v>13176</v>
      </c>
      <c r="D680">
        <v>7</v>
      </c>
      <c r="F680">
        <v>7659</v>
      </c>
      <c r="G680" t="s">
        <v>3388</v>
      </c>
      <c r="H680">
        <v>1</v>
      </c>
      <c r="I680">
        <v>1</v>
      </c>
      <c r="K680" t="s">
        <v>3229</v>
      </c>
      <c r="T680">
        <v>1</v>
      </c>
      <c r="AM680" t="str">
        <f t="shared" si="10"/>
        <v>{dwID=13176,nLevel=7,nIcon=7659,szName="烹饪·肉粥",bCheckLevel=true,nScrutinyType=1,szNote="雪雪养成",[1]={bBuffList=true,},[2]={},tCountdown={{nClass=1,nIcon=7659,nFrame=6,szName="烹饪·肉粥·元气",nTime=5,key="雪雪·学习烹饪",},{nClass=2,nIcon=7659,nFrame=6,szName="雪雪·学习烹饪",nTime=0,key="雪雪·学习烹饪",},},},</v>
      </c>
      <c r="AN680" t="s">
        <v>3389</v>
      </c>
      <c r="AO680" t="s">
        <v>3390</v>
      </c>
    </row>
    <row r="681" spans="1:45" x14ac:dyDescent="0.15">
      <c r="C681">
        <v>13176</v>
      </c>
      <c r="D681">
        <v>8</v>
      </c>
      <c r="F681">
        <v>7613</v>
      </c>
      <c r="G681" t="s">
        <v>3391</v>
      </c>
      <c r="H681">
        <v>1</v>
      </c>
      <c r="I681">
        <v>1</v>
      </c>
      <c r="K681" t="s">
        <v>3229</v>
      </c>
      <c r="T681">
        <v>1</v>
      </c>
      <c r="AM681" t="str">
        <f t="shared" si="10"/>
        <v>{dwID=13176,nLevel=8,nIcon=7613,szName="烹饪·蘑菇炖肉",bCheckLevel=true,nScrutinyType=1,szNote="雪雪养成",[1]={bBuffList=true,},[2]={},tCountdown={{nClass=1,nIcon=7613,nFrame=6,szName="烹饪·蘑菇炖肉·身法",nTime=5,key="雪雪·学习烹饪",},{nClass=2,nIcon=7613,nFrame=6,szName="雪雪·学习烹饪",nTime=0,key="雪雪·学习烹饪",},},},</v>
      </c>
      <c r="AN681" t="s">
        <v>3392</v>
      </c>
      <c r="AO681" t="s">
        <v>3393</v>
      </c>
    </row>
    <row r="682" spans="1:45" x14ac:dyDescent="0.15">
      <c r="C682">
        <v>13176</v>
      </c>
      <c r="D682">
        <v>1</v>
      </c>
      <c r="F682">
        <v>100</v>
      </c>
      <c r="G682" t="s">
        <v>3394</v>
      </c>
      <c r="H682">
        <v>1</v>
      </c>
      <c r="I682">
        <v>1</v>
      </c>
      <c r="K682" t="s">
        <v>3229</v>
      </c>
      <c r="T682">
        <v>1</v>
      </c>
      <c r="AM682" t="str">
        <f t="shared" si="10"/>
        <v>{dwID=13176,nLevel=1,nIcon=100,szName="烹饪·稻香饼",bCheckLevel=true,nScrutinyType=1,szNote="雪雪养成",[1]={bBuffList=true,},[2]={},tCountdown={{nClass=1,nIcon=100,nFrame=6,szName="烹饪·稻香饼·恢复气血2点",nTime=5,key="雪雪·学习烹饪",},{nClass=2,nIcon=100,nFrame=6,szName="雪雪·学习烹饪",nTime=0,key="雪雪·学习烹饪",},},},</v>
      </c>
      <c r="AN682" t="s">
        <v>3395</v>
      </c>
      <c r="AO682" t="s">
        <v>3396</v>
      </c>
    </row>
    <row r="683" spans="1:45" x14ac:dyDescent="0.15">
      <c r="C683">
        <v>13176</v>
      </c>
      <c r="D683">
        <v>2</v>
      </c>
      <c r="F683">
        <v>259</v>
      </c>
      <c r="G683" t="s">
        <v>3397</v>
      </c>
      <c r="H683">
        <v>1</v>
      </c>
      <c r="I683">
        <v>1</v>
      </c>
      <c r="K683" t="s">
        <v>3229</v>
      </c>
      <c r="T683">
        <v>1</v>
      </c>
      <c r="AM683" t="str">
        <f t="shared" si="10"/>
        <v>{dwID=13176,nLevel=2,nIcon=259,szName="烹饪·鲜肉包子",bCheckLevel=true,nScrutinyType=1,szNote="雪雪养成",[1]={bBuffList=true,},[2]={},tCountdown={{nClass=1,nIcon=259,nFrame=6,szName="烹饪·鲜肉包子·恢复内力2点",nTime=5,key="雪雪·学习烹饪",},{nClass=2,nIcon=259,nFrame=6,szName="雪雪·学习烹饪",nTime=0,key="雪雪·学习烹饪",},},},</v>
      </c>
      <c r="AN683" t="s">
        <v>3398</v>
      </c>
      <c r="AO683" t="s">
        <v>3399</v>
      </c>
    </row>
    <row r="684" spans="1:45" x14ac:dyDescent="0.15">
      <c r="C684">
        <v>13344</v>
      </c>
      <c r="D684">
        <v>3</v>
      </c>
      <c r="F684">
        <v>2119</v>
      </c>
      <c r="G684" t="s">
        <v>3400</v>
      </c>
      <c r="K684" t="s">
        <v>3229</v>
      </c>
      <c r="T684">
        <v>1</v>
      </c>
      <c r="AM684" t="str">
        <f t="shared" si="10"/>
        <v>{dwID=13344,nLevel=3,nIcon=2119,szName="交互",szNote="雪雪养成",[1]={bBuffList=true,},[2]={},},</v>
      </c>
    </row>
    <row r="685" spans="1:45" x14ac:dyDescent="0.15">
      <c r="C685">
        <v>13323</v>
      </c>
      <c r="D685">
        <v>1</v>
      </c>
      <c r="I685">
        <v>1</v>
      </c>
      <c r="AM685" t="str">
        <f t="shared" si="10"/>
        <v>{dwID=13323,nLevel=1,nScrutinyType=1,[1]={},[2]={},tCountdown={{nClass=1,nIcon=293,nFrame=5,szName="雪雪·旅行介绍1",nTime=0,key="雪雪·旅行介绍1",},{nClass=1,nIcon=293,nFrame=5,szName="雪雪·旅行介绍2",nTime=0,key="雪雪·旅行介绍2",},{nClass=2,nIcon=17135,nFrame=0,szName="雪雪·旅行介绍1",nTime=0,key="雪雪·旅行介绍1",},{nClass=2,nIcon=17135,nFrame=0,szName="雪雪·旅行介绍2",nTime=0,key="雪雪·旅行介绍2",},{nClass=1,nIcon=17135,nFrame=0,szName="选项1·命途偏·逸",nTime=10,key="雪雪·旅行介绍1",},{nClass=1,nIcon=17135,nFrame=0,szName="选项2·命途偏·尘",nTime=10,key="雪雪·旅行介绍2",},},},</v>
      </c>
      <c r="AN685" t="s">
        <v>3146</v>
      </c>
      <c r="AO685" t="s">
        <v>3147</v>
      </c>
      <c r="AP685" t="s">
        <v>3148</v>
      </c>
      <c r="AQ685" t="s">
        <v>3149</v>
      </c>
      <c r="AR685" t="s">
        <v>3150</v>
      </c>
      <c r="AS685" t="s">
        <v>3151</v>
      </c>
    </row>
    <row r="686" spans="1:45" x14ac:dyDescent="0.15">
      <c r="C686">
        <v>13406</v>
      </c>
      <c r="D686">
        <v>1</v>
      </c>
      <c r="F686">
        <v>2546</v>
      </c>
      <c r="G686" t="s">
        <v>465</v>
      </c>
      <c r="K686" t="s">
        <v>465</v>
      </c>
      <c r="Y686">
        <v>1</v>
      </c>
      <c r="AM686" t="str">
        <f t="shared" si="10"/>
        <v>{dwID=13406,nLevel=1,nIcon=2546,szName="雪雪乘船CD",szNote="雪雪乘船CD",[1]={},[2]={bCenterAlarm=true,},tCountdown={{nClass=1,nIcon=2546,nFrame=4,szName="雪雪乘船CD",nTime=2,nRefresh=300,key="雪雪乘船CD",},{nClass=2,nIcon=2546,nFrame=6,szName="雪雪乘船CD·消失",nTime=5,key="雪雪乘船CD",},},},</v>
      </c>
      <c r="AN686" t="s">
        <v>3401</v>
      </c>
      <c r="AO686" t="s">
        <v>2769</v>
      </c>
    </row>
    <row r="687" spans="1:45" x14ac:dyDescent="0.15">
      <c r="A687" t="s">
        <v>939</v>
      </c>
      <c r="B687">
        <v>325</v>
      </c>
      <c r="AM687" t="str">
        <f t="shared" si="10"/>
        <v>},[325]={</v>
      </c>
    </row>
    <row r="688" spans="1:45" x14ac:dyDescent="0.15">
      <c r="C688">
        <v>14315</v>
      </c>
      <c r="D688">
        <v>1</v>
      </c>
      <c r="T688">
        <v>1</v>
      </c>
      <c r="Y688">
        <v>1</v>
      </c>
      <c r="AM688" t="str">
        <f t="shared" si="10"/>
        <v>{dwID=14315,nLevel=1,[1]={bBuffList=true,},[2]={bCenterAlarm=true,},},</v>
      </c>
    </row>
    <row r="689" spans="1:45" x14ac:dyDescent="0.15">
      <c r="A689" t="s">
        <v>261</v>
      </c>
      <c r="B689">
        <v>330</v>
      </c>
      <c r="AM689" t="str">
        <f t="shared" si="10"/>
        <v>},[330]={</v>
      </c>
    </row>
    <row r="690" spans="1:45" x14ac:dyDescent="0.15">
      <c r="C690">
        <v>14158</v>
      </c>
      <c r="D690">
        <v>1</v>
      </c>
      <c r="I690">
        <v>1</v>
      </c>
      <c r="K690" t="s">
        <v>3402</v>
      </c>
      <c r="L690" t="s">
        <v>2152</v>
      </c>
      <c r="T690">
        <v>1</v>
      </c>
      <c r="AM690" t="str">
        <f t="shared" si="10"/>
        <v>{dwID=14158,nLevel=1,nScrutinyType=1,szNote="雪国冬猎·叉鱼·沉鱼",col={0,255,255,},[1]={bBuffList=true,},[2]={},tCountdown={{nClass=2,nIcon=7645,nFrame=5,szName="雪国冬猎·叉鱼",nTime=0,key="雪国冬猎·叉鱼",},{nClass=1,nIcon=7645,nFrame=5,szName="雪国冬猎·叉鱼",nTime=10,key="雪国冬猎·叉鱼",},},},</v>
      </c>
      <c r="AN690" t="s">
        <v>3403</v>
      </c>
      <c r="AO690" t="s">
        <v>3404</v>
      </c>
    </row>
    <row r="691" spans="1:45" x14ac:dyDescent="0.15">
      <c r="C691">
        <v>13867</v>
      </c>
      <c r="D691">
        <v>1</v>
      </c>
      <c r="K691" t="s">
        <v>3405</v>
      </c>
      <c r="L691" t="s">
        <v>2718</v>
      </c>
      <c r="T691">
        <v>1</v>
      </c>
      <c r="AM691" t="str">
        <f t="shared" si="10"/>
        <v>{dwID=13867,nLevel=1,szNote="雪国冬猎",col={255,255,100,},[1]={bBuffList=true,},[2]={},},</v>
      </c>
    </row>
    <row r="692" spans="1:45" x14ac:dyDescent="0.15">
      <c r="C692">
        <v>14551</v>
      </c>
      <c r="D692">
        <v>1</v>
      </c>
      <c r="K692" t="s">
        <v>3405</v>
      </c>
      <c r="L692" t="s">
        <v>2718</v>
      </c>
      <c r="T692">
        <v>1</v>
      </c>
      <c r="AM692" t="str">
        <f t="shared" si="10"/>
        <v>{dwID=14551,nLevel=1,szNote="雪国冬猎",col={255,255,100,},[1]={bBuffList=true,},[2]={},},</v>
      </c>
    </row>
    <row r="693" spans="1:45" x14ac:dyDescent="0.15">
      <c r="C693">
        <v>13670</v>
      </c>
      <c r="D693">
        <v>1</v>
      </c>
      <c r="K693" t="s">
        <v>3405</v>
      </c>
      <c r="L693" t="s">
        <v>2718</v>
      </c>
      <c r="T693">
        <v>1</v>
      </c>
      <c r="AM693" t="str">
        <f t="shared" si="10"/>
        <v>{dwID=13670,nLevel=1,szNote="雪国冬猎",col={255,255,100,},[1]={bBuffList=true,},[2]={},},</v>
      </c>
    </row>
    <row r="694" spans="1:45" x14ac:dyDescent="0.15">
      <c r="A694" t="s">
        <v>940</v>
      </c>
      <c r="B694">
        <v>331</v>
      </c>
      <c r="AM694" t="str">
        <f t="shared" si="10"/>
        <v>},[331]={</v>
      </c>
    </row>
    <row r="695" spans="1:45" x14ac:dyDescent="0.15">
      <c r="C695">
        <v>13303</v>
      </c>
      <c r="D695">
        <v>9</v>
      </c>
      <c r="H695">
        <v>1</v>
      </c>
      <c r="I695">
        <v>1</v>
      </c>
      <c r="AM695" t="str">
        <f t="shared" si="10"/>
        <v>{dwID=13303,nLevel=9,bCheckLevel=true,nScrutinyType=1,[1]={},[2]={},tCountdown={{nClass=2,nIcon=293,nFrame=5,szName="雪雪·旅行",nTime=0,key="雪雪·旅行",},{nClass=1,nIcon=293,nFrame=5,szName="旅行·九寨沟·出口·庄千山",nTime=20,key="雪雪·旅行",},{nClass=2,nIcon=293,nFrame=5,szName="可以直走·看小桥",nTime=20,key="雪雪·旅行介绍1",},{nClass=2,nIcon=293,nFrame=5,szName="可以去上方·看小亭子",nTime=20,key="雪雪·旅行介绍2",},},},</v>
      </c>
      <c r="AN695" t="s">
        <v>3142</v>
      </c>
      <c r="AO695" t="s">
        <v>3406</v>
      </c>
      <c r="AP695" t="s">
        <v>3407</v>
      </c>
      <c r="AQ695" t="s">
        <v>3408</v>
      </c>
    </row>
    <row r="696" spans="1:45" x14ac:dyDescent="0.15">
      <c r="C696">
        <v>13323</v>
      </c>
      <c r="D696">
        <v>1</v>
      </c>
      <c r="I696">
        <v>1</v>
      </c>
      <c r="AM696" t="str">
        <f t="shared" si="10"/>
        <v>{dwID=13323,nLevel=1,nScrutinyType=1,[1]={},[2]={},tCountdown={{nClass=1,nIcon=293,nFrame=5,szName="雪雪·旅行介绍1",nTime=0,key="雪雪·旅行介绍1",},{nClass=1,nIcon=293,nFrame=5,szName="雪雪·旅行介绍2",nTime=0,key="雪雪·旅行介绍2",},{nClass=2,nIcon=17135,nFrame=0,szName="雪雪·旅行介绍1",nTime=0,key="雪雪·旅行介绍1",},{nClass=2,nIcon=17135,nFrame=0,szName="雪雪·旅行介绍2",nTime=0,key="雪雪·旅行介绍2",},{nClass=1,nIcon=17135,nFrame=0,szName="选项1·命途偏·逸",nTime=10,key="雪雪·旅行介绍1",},{nClass=1,nIcon=17135,nFrame=0,szName="选项2·命途偏·尘",nTime=10,key="雪雪·旅行介绍2",},},},</v>
      </c>
      <c r="AN696" t="s">
        <v>3146</v>
      </c>
      <c r="AO696" t="s">
        <v>3147</v>
      </c>
      <c r="AP696" t="s">
        <v>3148</v>
      </c>
      <c r="AQ696" t="s">
        <v>3149</v>
      </c>
      <c r="AR696" t="s">
        <v>3150</v>
      </c>
      <c r="AS696" t="s">
        <v>3151</v>
      </c>
    </row>
    <row r="697" spans="1:45" x14ac:dyDescent="0.15">
      <c r="A697" t="s">
        <v>941</v>
      </c>
      <c r="B697">
        <v>332</v>
      </c>
      <c r="AM697" t="str">
        <f t="shared" si="10"/>
        <v>},[332]={</v>
      </c>
    </row>
    <row r="698" spans="1:45" x14ac:dyDescent="0.15">
      <c r="C698">
        <v>13982</v>
      </c>
      <c r="D698">
        <v>1</v>
      </c>
      <c r="F698">
        <v>11208</v>
      </c>
      <c r="G698" t="s">
        <v>2683</v>
      </c>
      <c r="I698">
        <v>1</v>
      </c>
      <c r="K698" t="s">
        <v>470</v>
      </c>
      <c r="Y698">
        <v>1</v>
      </c>
      <c r="AM698" t="str">
        <f t="shared" si="10"/>
        <v>{dwID=13982,nLevel=1,nIcon=11208,szName="秘宝图",nScrutinyType=1,szNote="秘宝图_计时_BUFF",[1]={},[2]={bCenterAlarm=true,},tCountdown={{nClass=2,nIcon=11208,nFrame=7,szName="奇遇·秘宝图·解封",nTime=10,key="奇遇·封印",},{nClass=2,nIcon=11208,nFrame=7,szName="侠客岛·安平村村口·光圈",nTime=10.1,key="奇遇·解封",},{nClass=1,nIcon=11208,nFrame=7,szName="奇遇·秘宝图·封印·24小时",nTime=10,nRefresh=7200,key="奇遇·封印",},},},</v>
      </c>
      <c r="AN698" t="s">
        <v>2778</v>
      </c>
      <c r="AO698" t="s">
        <v>2779</v>
      </c>
      <c r="AP698" t="s">
        <v>3409</v>
      </c>
    </row>
    <row r="699" spans="1:45" x14ac:dyDescent="0.15">
      <c r="C699">
        <v>13987</v>
      </c>
      <c r="D699">
        <v>1</v>
      </c>
      <c r="T699">
        <v>1</v>
      </c>
      <c r="AM699" t="str">
        <f t="shared" si="10"/>
        <v>{dwID=13987,nLevel=1,[1]={bBuffList=true,},[2]={},},</v>
      </c>
    </row>
    <row r="700" spans="1:45" x14ac:dyDescent="0.15">
      <c r="C700">
        <v>14391</v>
      </c>
      <c r="D700">
        <v>1</v>
      </c>
      <c r="G700" t="s">
        <v>547</v>
      </c>
      <c r="I700">
        <v>1</v>
      </c>
      <c r="L700" t="s">
        <v>2143</v>
      </c>
      <c r="T700">
        <v>1</v>
      </c>
      <c r="AM700" t="str">
        <f t="shared" si="10"/>
        <v>{dwID=14391,nLevel=1,szName="迷雾",nScrutinyType=1,col={255,255,0,},[1]={bBuffList=true,},[2]={},},</v>
      </c>
    </row>
    <row r="701" spans="1:45" x14ac:dyDescent="0.15">
      <c r="A701" t="s">
        <v>942</v>
      </c>
      <c r="B701">
        <v>333</v>
      </c>
      <c r="AM701" t="str">
        <f t="shared" si="10"/>
        <v>},[333]={</v>
      </c>
    </row>
    <row r="702" spans="1:45" x14ac:dyDescent="0.15">
      <c r="C702">
        <v>11582</v>
      </c>
      <c r="D702">
        <v>1</v>
      </c>
      <c r="I702">
        <v>1</v>
      </c>
      <c r="J702" t="s">
        <v>3410</v>
      </c>
      <c r="K702" t="s">
        <v>3411</v>
      </c>
      <c r="L702" t="s">
        <v>2143</v>
      </c>
      <c r="AM702" t="str">
        <f t="shared" si="10"/>
        <v>{dwID=11582,nLevel=1,nScrutinyType=1,tKungFu={["SKILL#10533"]=true,},szNote="雪山恩仇·蓬莱",col={255,255,0,},[1]={},[2]={},tCountdown={{nClass=1,nIcon=13706,nFrame=7,szName="雪山恩仇·蓬莱·方乾",nTime=60,key="雪山恩仇·提示0",},{nClass=2,nIcon=13706,nFrame=7,szName="雪山恩仇·提示0",nTime=0,key="雪山恩仇·提示0",},},},</v>
      </c>
      <c r="AN702" t="s">
        <v>3412</v>
      </c>
      <c r="AO702" t="s">
        <v>3413</v>
      </c>
    </row>
    <row r="703" spans="1:45" x14ac:dyDescent="0.15">
      <c r="C703">
        <v>1624</v>
      </c>
      <c r="D703">
        <v>14</v>
      </c>
      <c r="H703">
        <v>1</v>
      </c>
      <c r="I703">
        <v>1</v>
      </c>
      <c r="AM703" t="str">
        <f t="shared" si="10"/>
        <v>{dwID=1624,nLevel=14,bCheckLevel=true,nScrutinyType=1,[1]={},[2]={},tCountdown={{nClass=1,nIcon=10762,nFrame=5,szName="饱食·蓬莱·方乾",nTime=2,nRefresh=3600,key="冬至·饱食·蓬莱",},},},</v>
      </c>
      <c r="AN703" t="s">
        <v>3414</v>
      </c>
    </row>
    <row r="704" spans="1:45" x14ac:dyDescent="0.15">
      <c r="A704" t="s">
        <v>264</v>
      </c>
      <c r="B704">
        <v>411</v>
      </c>
      <c r="AM704" t="str">
        <f t="shared" si="10"/>
        <v>},[411]={</v>
      </c>
    </row>
    <row r="705" spans="1:41" x14ac:dyDescent="0.15">
      <c r="C705">
        <v>16533</v>
      </c>
      <c r="D705">
        <v>1</v>
      </c>
      <c r="H705">
        <v>1</v>
      </c>
      <c r="I705">
        <v>1</v>
      </c>
      <c r="T705">
        <v>1</v>
      </c>
      <c r="AM705" t="str">
        <f t="shared" si="10"/>
        <v>{dwID=16533,nLevel=1,bCheckLevel=true,nScrutinyType=1,[1]={bBuffList=true,},[2]={},tCountdown={{nClass=2,nIcon=364,nFrame=5,szName="训马·交互",nTime=0,key="训马·交互",},{nClass=1,nIcon=364,nFrame=3,szName="清洁中",nTime=10,key="训马·交互",},},},</v>
      </c>
      <c r="AN705" t="s">
        <v>3342</v>
      </c>
      <c r="AO705" t="s">
        <v>3343</v>
      </c>
    </row>
    <row r="706" spans="1:41" x14ac:dyDescent="0.15">
      <c r="C706">
        <v>16533</v>
      </c>
      <c r="D706">
        <v>3</v>
      </c>
      <c r="H706">
        <v>1</v>
      </c>
      <c r="I706">
        <v>1</v>
      </c>
      <c r="T706">
        <v>1</v>
      </c>
      <c r="AM706" t="str">
        <f t="shared" ref="AM706:AM769" si="11">IF(B706&lt;&gt;"",IF(IFERROR(VALUE(C705),0)&lt;=0,"["&amp;B706&amp;"]={","},["&amp;B706&amp;"]={"),IF(C706&gt;0,"{dwID="&amp;C706&amp;","&amp;"nLevel="&amp;D706&amp;","&amp;IF(E706&gt;0,"nCount="&amp;E706&amp;",","")&amp;IF(F706&gt;0,"nIcon="&amp;F706&amp;",","")&amp;IF(G706&lt;&gt;"","szName="""&amp;G706&amp;""",","")&amp;IF(H706&gt;0,"bCheckLevel=true,","")&amp;IF(I706&gt;0,"nScrutinyType="&amp;I706&amp;",","")&amp;IF(J706&lt;&gt;"","tKungFu={"&amp;J706&amp;"},","")&amp;IF(K706&lt;&gt;"","szNote="""&amp;K706&amp;""",","")&amp;IF(L706&lt;&gt;"","col={"&amp;L706&amp;"},","")&amp;"[1]={"&amp;IF(M706&lt;&gt;"","tMark={"&amp;M706&amp;"},","")&amp;IF(N706&lt;&gt;"","szVoice="""&amp;N706&amp;""",","")&amp;IF(O706&gt;0,"bCheckLevel=true,","")&amp;IF(P706&gt;0,"bWhisperChannel=true,","")&amp;IF(Q706&gt;0,"bCenterAlarm=true,","")&amp;IF(R706&gt;0,"bScreenHead=true,","")&amp;IF(S706&gt;0,"bPartyBuffList=true,","")&amp;IF(T706&gt;0,"bBuffList=true,","")&amp;IF(U706&gt;0,"bTeamPanel=true,","")&amp;IF(V706&gt;0,"bOnlySelfSrc=true,","")&amp;"},"&amp;"[2]={"&amp;IF(W706&gt;0,"bCheckLevel=true,","")&amp;IF(X706&gt;0,"bWhisperChannel=true,","")&amp;IF(Y706&gt;0,"bCenterAlarm=true,","")&amp;"},"&amp;IF(OR(Z706&gt;0,AD706&lt;&gt;"",AE706&gt;0,AF706&lt;&gt;"",AG706&lt;&gt;"",AH706&gt;0,AI706&gt;0,AJ706&gt;0,AK706&gt;0),"aCataclysmBuff={{"&amp;IF(Z706&gt;0,"nStackNum="&amp;Z706&amp;",","")&amp;IF(AA706&lt;&gt;"","szStackOp="""&amp;AA706&amp;""",","")&amp;IF(AB706&gt;0,"bOnlyMine=true,","")&amp;IF(AC706&gt;0,"bOnlyMe=true,","")&amp;IF(AD706&lt;&gt;"","szReminder="""&amp;AD706&amp;""",","")&amp;IF(AE706&gt;0,"nPriority="&amp;AE706&amp;",","")&amp;IF(AF706&lt;&gt;"","col="""&amp;AF706&amp;""",","")&amp;IF(AG706&lt;&gt;"","colScreenHead="""&amp;AG706&amp;""",","")&amp;IF(AH706&gt;0,"nColAlpha="&amp;AH706&amp;",","")&amp;IF(AI706&gt;0,"bAttention=true,","")&amp;IF(AJ706&gt;0,"bCaution=true,","")&amp;IF(AK706&gt;0,"bScreenHead=true,","")&amp;"},"&amp;AL706&amp;"},","")&amp;IF(AN706&lt;&gt;"","tCountdown={"&amp;_xlfn.TEXTJOIN("",TRUE,AN706:ZY706)&amp;"},","")&amp;"},",IF(C705&gt;0,"},","")&amp;IF(AND(B706="",C706="",OR(B705&lt;&gt;"",C705&lt;&gt;"")),"},}","")))</f>
        <v>{dwID=16533,nLevel=3,bCheckLevel=true,nScrutinyType=1,[1]={bBuffList=true,},[2]={},tCountdown={{nClass=2,nIcon=219,nFrame=5,szName="训马·交互",nTime=0,key="训马·交互",},{nClass=1,nIcon=219,nFrame=3,szName="放养中",nTime=10,key="训马·交互",},},},</v>
      </c>
      <c r="AN706" t="s">
        <v>3344</v>
      </c>
      <c r="AO706" t="s">
        <v>3345</v>
      </c>
    </row>
    <row r="707" spans="1:41" x14ac:dyDescent="0.15">
      <c r="C707">
        <v>16533</v>
      </c>
      <c r="D707">
        <v>2</v>
      </c>
      <c r="H707">
        <v>1</v>
      </c>
      <c r="I707">
        <v>1</v>
      </c>
      <c r="T707">
        <v>1</v>
      </c>
      <c r="AM707" t="str">
        <f t="shared" si="11"/>
        <v>{dwID=16533,nLevel=2,bCheckLevel=true,nScrutinyType=1,[1]={bBuffList=true,},[2]={},tCountdown={{nClass=2,nIcon=382,nFrame=5,szName="训马·交互",nTime=0,key="训马·交互",},{nClass=1,nIcon=382,nFrame=5,szName="安抚中",nTime=10,key="训马·交互",},},},</v>
      </c>
      <c r="AN707" t="s">
        <v>3346</v>
      </c>
      <c r="AO707" t="s">
        <v>3347</v>
      </c>
    </row>
    <row r="708" spans="1:41" x14ac:dyDescent="0.15">
      <c r="C708">
        <v>16533</v>
      </c>
      <c r="D708">
        <v>4</v>
      </c>
      <c r="H708">
        <v>1</v>
      </c>
      <c r="I708">
        <v>1</v>
      </c>
      <c r="T708">
        <v>1</v>
      </c>
      <c r="AM708" t="str">
        <f t="shared" si="11"/>
        <v>{dwID=16533,nLevel=4,bCheckLevel=true,nScrutinyType=1,[1]={bBuffList=true,},[2]={},tCountdown={{nClass=2,nIcon=296,nFrame=5,szName="训马·交互",nTime=0,key="训马·交互",},{nClass=1,nIcon=296,nFrame=6,szName="训练中",nTime=10,key="训马·交互",},},},</v>
      </c>
      <c r="AN708" t="s">
        <v>3348</v>
      </c>
      <c r="AO708" t="s">
        <v>3349</v>
      </c>
    </row>
    <row r="709" spans="1:41" x14ac:dyDescent="0.15">
      <c r="C709">
        <v>16517</v>
      </c>
      <c r="D709">
        <v>1</v>
      </c>
      <c r="H709">
        <v>1</v>
      </c>
      <c r="I709">
        <v>1</v>
      </c>
      <c r="T709">
        <v>1</v>
      </c>
      <c r="AM709" t="str">
        <f t="shared" si="11"/>
        <v>{dwID=16517,nLevel=1,bCheckLevel=true,nScrutinyType=1,[1]={bBuffList=true,},[2]={},},</v>
      </c>
    </row>
    <row r="710" spans="1:41" x14ac:dyDescent="0.15">
      <c r="C710">
        <v>16517</v>
      </c>
      <c r="D710">
        <v>2</v>
      </c>
      <c r="H710">
        <v>1</v>
      </c>
      <c r="I710">
        <v>1</v>
      </c>
      <c r="T710">
        <v>1</v>
      </c>
      <c r="AM710" t="str">
        <f t="shared" si="11"/>
        <v>{dwID=16517,nLevel=2,bCheckLevel=true,nScrutinyType=1,[1]={bBuffList=true,},[2]={},},</v>
      </c>
    </row>
    <row r="711" spans="1:41" x14ac:dyDescent="0.15">
      <c r="A711" t="s">
        <v>979</v>
      </c>
      <c r="B711">
        <v>419</v>
      </c>
      <c r="AM711" t="str">
        <f t="shared" si="11"/>
        <v>},[419]={</v>
      </c>
    </row>
    <row r="712" spans="1:41" x14ac:dyDescent="0.15">
      <c r="C712">
        <v>11582</v>
      </c>
      <c r="D712">
        <v>1</v>
      </c>
      <c r="I712">
        <v>1</v>
      </c>
      <c r="J712" t="s">
        <v>3415</v>
      </c>
      <c r="K712" t="s">
        <v>3416</v>
      </c>
      <c r="L712" t="s">
        <v>2143</v>
      </c>
      <c r="AM712" t="str">
        <f t="shared" si="11"/>
        <v>{dwID=11582,nLevel=1,nScrutinyType=1,tKungFu={["SKILL#10585"]=true,},szNote="雪山恩仇·凌雪",col={255,255,0,},[1]={},[2]={},tCountdown={{nClass=1,nIcon=13707,nFrame=7,szName="雪山恩仇·凌雪·林白轩",nTime=60,key="雪山恩仇·提示0",},{nClass=2,nIcon=13707,nFrame=7,szName="雪山恩仇·提示0",nTime=0,key="雪山恩仇·提示0",},},},</v>
      </c>
      <c r="AN712" t="s">
        <v>3417</v>
      </c>
      <c r="AO712" t="s">
        <v>3418</v>
      </c>
    </row>
    <row r="713" spans="1:41" x14ac:dyDescent="0.15">
      <c r="C713">
        <v>1624</v>
      </c>
      <c r="D713">
        <v>15</v>
      </c>
      <c r="H713">
        <v>1</v>
      </c>
      <c r="I713">
        <v>1</v>
      </c>
      <c r="AM713" t="str">
        <f t="shared" si="11"/>
        <v>{dwID=1624,nLevel=15,bCheckLevel=true,nScrutinyType=1,[1]={},[2]={},tCountdown={{nClass=1,nIcon=12110,nFrame=5,szName="饱食·凌雪·李俶",nTime=2,nRefresh=3600,key="冬至·饱食·凌雪",},},},</v>
      </c>
      <c r="AN713" t="s">
        <v>3419</v>
      </c>
    </row>
    <row r="714" spans="1:41" x14ac:dyDescent="0.15">
      <c r="A714" t="s">
        <v>265</v>
      </c>
      <c r="B714">
        <v>451</v>
      </c>
      <c r="AM714" t="str">
        <f t="shared" si="11"/>
        <v>},[451]={</v>
      </c>
    </row>
    <row r="715" spans="1:41" x14ac:dyDescent="0.15">
      <c r="C715">
        <v>27720</v>
      </c>
      <c r="D715">
        <v>1</v>
      </c>
      <c r="K715" t="s">
        <v>3420</v>
      </c>
      <c r="Q715">
        <v>1</v>
      </c>
      <c r="AM715" t="str">
        <f t="shared" si="11"/>
        <v>{dwID=27720,nLevel=1,szNote="明教门客cw",[1]={bCenterAlarm=true,},[2]={},},</v>
      </c>
    </row>
    <row r="716" spans="1:41" x14ac:dyDescent="0.15">
      <c r="C716">
        <v>27721</v>
      </c>
      <c r="D716">
        <v>1</v>
      </c>
      <c r="K716" t="s">
        <v>3421</v>
      </c>
      <c r="Q716">
        <v>1</v>
      </c>
      <c r="AM716" t="str">
        <f t="shared" si="11"/>
        <v>{dwID=27721,nLevel=1,szNote="天策门客cw",[1]={bCenterAlarm=true,},[2]={},},</v>
      </c>
    </row>
    <row r="717" spans="1:41" x14ac:dyDescent="0.15">
      <c r="C717">
        <v>27722</v>
      </c>
      <c r="D717">
        <v>1</v>
      </c>
      <c r="K717" t="s">
        <v>3422</v>
      </c>
      <c r="Q717">
        <v>1</v>
      </c>
      <c r="AM717" t="str">
        <f t="shared" si="11"/>
        <v>{dwID=27722,nLevel=1,szNote="纯阳门客cw",[1]={bCenterAlarm=true,},[2]={},},</v>
      </c>
    </row>
    <row r="718" spans="1:41" x14ac:dyDescent="0.15">
      <c r="C718">
        <v>27723</v>
      </c>
      <c r="D718">
        <v>1</v>
      </c>
      <c r="K718" t="s">
        <v>3423</v>
      </c>
      <c r="Q718">
        <v>1</v>
      </c>
      <c r="AM718" t="str">
        <f t="shared" si="11"/>
        <v>{dwID=27723,nLevel=1,szNote="五毒门客cw",[1]={bCenterAlarm=true,},[2]={},},</v>
      </c>
    </row>
    <row r="719" spans="1:41" x14ac:dyDescent="0.15">
      <c r="C719">
        <v>27724</v>
      </c>
      <c r="D719">
        <v>1</v>
      </c>
      <c r="K719" t="s">
        <v>3424</v>
      </c>
      <c r="Q719">
        <v>1</v>
      </c>
      <c r="AM719" t="str">
        <f t="shared" si="11"/>
        <v>{dwID=27724,nLevel=1,szNote="万花门客cw",[1]={bCenterAlarm=true,},[2]={},},</v>
      </c>
    </row>
    <row r="720" spans="1:41" x14ac:dyDescent="0.15">
      <c r="C720">
        <v>27725</v>
      </c>
      <c r="D720">
        <v>1</v>
      </c>
      <c r="K720" t="s">
        <v>3425</v>
      </c>
      <c r="Q720">
        <v>1</v>
      </c>
      <c r="AM720" t="str">
        <f t="shared" si="11"/>
        <v>{dwID=27725,nLevel=1,szNote="唐门门客cw",[1]={bCenterAlarm=true,},[2]={},},</v>
      </c>
    </row>
    <row r="721" spans="1:42" x14ac:dyDescent="0.15">
      <c r="C721">
        <v>27726</v>
      </c>
      <c r="D721">
        <v>1</v>
      </c>
      <c r="K721" t="s">
        <v>3426</v>
      </c>
      <c r="Q721">
        <v>1</v>
      </c>
      <c r="AM721" t="str">
        <f t="shared" si="11"/>
        <v>{dwID=27726,nLevel=1,szNote="七秀门客cw",[1]={bCenterAlarm=true,},[2]={},},</v>
      </c>
    </row>
    <row r="722" spans="1:42" x14ac:dyDescent="0.15">
      <c r="C722">
        <v>27727</v>
      </c>
      <c r="D722">
        <v>1</v>
      </c>
      <c r="K722" t="s">
        <v>3427</v>
      </c>
      <c r="Q722">
        <v>1</v>
      </c>
      <c r="AM722" t="str">
        <f t="shared" si="11"/>
        <v>{dwID=27727,nLevel=1,szNote="药宗门客cw",[1]={bCenterAlarm=true,},[2]={},},</v>
      </c>
    </row>
    <row r="723" spans="1:42" x14ac:dyDescent="0.15">
      <c r="C723">
        <v>27728</v>
      </c>
      <c r="D723">
        <v>1</v>
      </c>
      <c r="K723" t="s">
        <v>3428</v>
      </c>
      <c r="Q723">
        <v>1</v>
      </c>
      <c r="AM723" t="str">
        <f t="shared" si="11"/>
        <v>{dwID=27728,nLevel=1,szNote="少林门客cw",[1]={bCenterAlarm=true,},[2]={},},</v>
      </c>
    </row>
    <row r="724" spans="1:42" x14ac:dyDescent="0.15">
      <c r="C724">
        <v>27729</v>
      </c>
      <c r="D724">
        <v>1</v>
      </c>
      <c r="K724" t="s">
        <v>3429</v>
      </c>
      <c r="Q724">
        <v>1</v>
      </c>
      <c r="AM724" t="str">
        <f t="shared" si="11"/>
        <v>{dwID=27729,nLevel=1,szNote="凌雪门客cw",[1]={bCenterAlarm=true,},[2]={},},</v>
      </c>
    </row>
    <row r="725" spans="1:42" x14ac:dyDescent="0.15">
      <c r="C725">
        <v>27730</v>
      </c>
      <c r="D725">
        <v>1</v>
      </c>
      <c r="K725" t="s">
        <v>3430</v>
      </c>
      <c r="Q725">
        <v>1</v>
      </c>
      <c r="AM725" t="str">
        <f t="shared" si="11"/>
        <v>{dwID=27730,nLevel=1,szNote="刀宗门客cw",[1]={bCenterAlarm=true,},[2]={},},</v>
      </c>
    </row>
    <row r="726" spans="1:42" x14ac:dyDescent="0.15">
      <c r="C726">
        <v>27731</v>
      </c>
      <c r="D726">
        <v>1</v>
      </c>
      <c r="K726" t="s">
        <v>3431</v>
      </c>
      <c r="Q726">
        <v>1</v>
      </c>
      <c r="AM726" t="str">
        <f t="shared" si="11"/>
        <v>{dwID=27731,nLevel=1,szNote="长歌门客cw",[1]={bCenterAlarm=true,},[2]={},},</v>
      </c>
    </row>
    <row r="727" spans="1:42" x14ac:dyDescent="0.15">
      <c r="C727">
        <v>27732</v>
      </c>
      <c r="D727">
        <v>1</v>
      </c>
      <c r="K727" t="s">
        <v>3432</v>
      </c>
      <c r="Q727">
        <v>1</v>
      </c>
      <c r="AM727" t="str">
        <f t="shared" si="11"/>
        <v>{dwID=27732,nLevel=1,szNote="万灵门客cw",[1]={bCenterAlarm=true,},[2]={},},</v>
      </c>
    </row>
    <row r="728" spans="1:42" x14ac:dyDescent="0.15">
      <c r="C728">
        <v>27733</v>
      </c>
      <c r="D728">
        <v>1</v>
      </c>
      <c r="K728" t="s">
        <v>3433</v>
      </c>
      <c r="Q728">
        <v>1</v>
      </c>
      <c r="AM728" t="str">
        <f t="shared" si="11"/>
        <v>{dwID=27733,nLevel=1,szNote="苍云门客cw",[1]={bCenterAlarm=true,},[2]={},},</v>
      </c>
    </row>
    <row r="729" spans="1:42" x14ac:dyDescent="0.15">
      <c r="A729" t="s">
        <v>1016</v>
      </c>
      <c r="B729">
        <v>462</v>
      </c>
      <c r="AM729" t="str">
        <f t="shared" si="11"/>
        <v>},[462]={</v>
      </c>
    </row>
    <row r="730" spans="1:42" x14ac:dyDescent="0.15">
      <c r="C730">
        <v>12430</v>
      </c>
      <c r="D730">
        <v>1</v>
      </c>
      <c r="F730">
        <v>3440</v>
      </c>
      <c r="G730" t="s">
        <v>293</v>
      </c>
      <c r="K730" t="s">
        <v>460</v>
      </c>
      <c r="T730">
        <v>1</v>
      </c>
      <c r="AM730" t="str">
        <f t="shared" si="11"/>
        <v>{dwID=12430,nLevel=1,nIcon=3440,szName="定身",szNote="定身封内",[1]={bBuffList=true,},[2]={},},</v>
      </c>
    </row>
    <row r="731" spans="1:42" x14ac:dyDescent="0.15">
      <c r="C731">
        <v>19565</v>
      </c>
      <c r="D731">
        <v>1</v>
      </c>
      <c r="F731">
        <v>15096</v>
      </c>
      <c r="G731" t="s">
        <v>2688</v>
      </c>
      <c r="I731">
        <v>1</v>
      </c>
      <c r="K731" t="s">
        <v>532</v>
      </c>
      <c r="Y731">
        <v>1</v>
      </c>
      <c r="AM731" t="str">
        <f t="shared" si="11"/>
        <v>{dwID=19565,nLevel=1,nIcon=15096,szName="丹青记",nScrutinyType=1,szNote="丹青记_拿樱桃CD",[1]={},[2]={bCenterAlarm=true,},tCountdown={{nClass=2,nIcon=15096,nFrame=7,szName="奇遇·丹青记·解封",nTime=10,key="奇遇·封印",},{nClass=2,nIcon=15096,nFrame=7,szName="九寨沟·镜海·神山乡关·白六娘",nTime=10.1,key="奇遇·解封",},{nClass=1,nIcon=15096,nFrame=7,szName="奇遇·丹青记·封印·明日7时",nTime=10,nRefresh=7200,key="奇遇·封印",},},},</v>
      </c>
      <c r="AN731" t="s">
        <v>2794</v>
      </c>
      <c r="AO731" t="s">
        <v>2795</v>
      </c>
      <c r="AP731" t="s">
        <v>3434</v>
      </c>
    </row>
    <row r="732" spans="1:42" x14ac:dyDescent="0.15">
      <c r="A732" t="s">
        <v>1018</v>
      </c>
      <c r="B732">
        <v>464</v>
      </c>
      <c r="AM732" t="str">
        <f t="shared" si="11"/>
        <v>},[464]={</v>
      </c>
    </row>
    <row r="733" spans="1:42" x14ac:dyDescent="0.15">
      <c r="C733">
        <v>11582</v>
      </c>
      <c r="D733">
        <v>1</v>
      </c>
      <c r="I733">
        <v>1</v>
      </c>
      <c r="J733" t="s">
        <v>3435</v>
      </c>
      <c r="K733" t="s">
        <v>3436</v>
      </c>
      <c r="L733" t="s">
        <v>2143</v>
      </c>
      <c r="AM733" t="str">
        <f t="shared" si="11"/>
        <v>{dwID=11582,nLevel=1,nScrutinyType=1,tKungFu={["SKILL#10615"]=true,},szNote="雪山恩仇·衍天",col={255,255,0,},[1]={},[2]={},tCountdown={{nClass=1,nIcon=15506,nFrame=7,szName="雪山恩仇·衍天·萧卿云",nTime=60,key="雪山恩仇·提示0",},{nClass=2,nIcon=15506,nFrame=7,szName="雪山恩仇·提示0",nTime=0,key="雪山恩仇·提示0",},},},</v>
      </c>
      <c r="AN733" t="s">
        <v>3437</v>
      </c>
      <c r="AO733" t="s">
        <v>3438</v>
      </c>
    </row>
    <row r="734" spans="1:42" x14ac:dyDescent="0.15">
      <c r="C734">
        <v>1624</v>
      </c>
      <c r="D734">
        <v>16</v>
      </c>
      <c r="H734">
        <v>1</v>
      </c>
      <c r="I734">
        <v>1</v>
      </c>
      <c r="AM734" t="str">
        <f t="shared" si="11"/>
        <v>{dwID=1624,nLevel=16,bCheckLevel=true,nScrutinyType=1,[1]={},[2]={},tCountdown={{nClass=1,nIcon=14044,nFrame=5,szName="饱食·衍天·萧卿云",nTime=2,nRefresh=3600,key="冬至·饱食·衍天",},},},</v>
      </c>
      <c r="AN734" t="s">
        <v>3439</v>
      </c>
    </row>
    <row r="735" spans="1:42" x14ac:dyDescent="0.15">
      <c r="A735" t="s">
        <v>1026</v>
      </c>
      <c r="B735">
        <v>473</v>
      </c>
      <c r="AM735" t="str">
        <f t="shared" si="11"/>
        <v>},[473]={</v>
      </c>
    </row>
    <row r="736" spans="1:42" x14ac:dyDescent="0.15">
      <c r="C736">
        <v>11582</v>
      </c>
      <c r="D736">
        <v>1</v>
      </c>
      <c r="I736">
        <v>1</v>
      </c>
      <c r="J736" t="s">
        <v>2149</v>
      </c>
      <c r="K736" t="s">
        <v>3152</v>
      </c>
      <c r="L736" t="s">
        <v>2143</v>
      </c>
      <c r="AM736" t="str">
        <f t="shared" si="11"/>
        <v>{dwID=11582,nLevel=1,nScrutinyType=1,tKungFu={["SKILL#10021"]=true,["SKILL#10028"]=true,},szNote="雪山恩仇·万花",col={255,255,0,},[1]={},[2]={},tCountdown={{nClass=1,nIcon=13694,nFrame=7,szName="请前往·万花门派·孙思邈",nTime=20,key="雪山恩仇·提示0",},{nClass=2,nIcon=13694,nFrame=7,szName="雪山恩仇·提示0",nTime=0,key="雪山恩仇·提示0",},},},</v>
      </c>
      <c r="AN736" t="s">
        <v>3440</v>
      </c>
      <c r="AO736" t="s">
        <v>3154</v>
      </c>
    </row>
    <row r="737" spans="1:41" x14ac:dyDescent="0.15">
      <c r="C737">
        <v>18552</v>
      </c>
      <c r="D737">
        <v>1</v>
      </c>
      <c r="R737">
        <v>1</v>
      </c>
      <c r="T737">
        <v>1</v>
      </c>
      <c r="AM737" t="str">
        <f t="shared" si="11"/>
        <v>{dwID=18552,nLevel=1,[1]={bScreenHead=true,bBuffList=true,},[2]={},},</v>
      </c>
    </row>
    <row r="738" spans="1:41" x14ac:dyDescent="0.15">
      <c r="A738" t="s">
        <v>1027</v>
      </c>
      <c r="B738">
        <v>474</v>
      </c>
      <c r="AM738" t="str">
        <f t="shared" si="11"/>
        <v>},[474]={</v>
      </c>
    </row>
    <row r="739" spans="1:41" x14ac:dyDescent="0.15">
      <c r="C739">
        <v>11582</v>
      </c>
      <c r="D739">
        <v>1</v>
      </c>
      <c r="I739">
        <v>1</v>
      </c>
      <c r="J739" t="s">
        <v>2353</v>
      </c>
      <c r="K739" t="s">
        <v>3195</v>
      </c>
      <c r="L739" t="s">
        <v>2143</v>
      </c>
      <c r="AM739" t="str">
        <f t="shared" si="11"/>
        <v>{dwID=11582,nLevel=1,nScrutinyType=1,tKungFu={["SKILL#10080"]=true,["SKILL#10081"]=true,},szNote="雪山恩仇·七秀",col={255,255,0,},[1]={},[2]={},tCountdown={{nClass=1,nIcon=13697,nFrame=7,szName="请前往·七秀门派·萧白胭",nTime=20,key="雪山恩仇·提示0",},{nClass=2,nIcon=13697,nFrame=7,szName="雪山恩仇·提示0",nTime=0,key="雪山恩仇·提示0",},},},</v>
      </c>
      <c r="AN739" t="s">
        <v>3441</v>
      </c>
      <c r="AO739" t="s">
        <v>3197</v>
      </c>
    </row>
    <row r="740" spans="1:41" x14ac:dyDescent="0.15">
      <c r="A740" t="s">
        <v>1028</v>
      </c>
      <c r="B740">
        <v>475</v>
      </c>
      <c r="AM740" t="str">
        <f t="shared" si="11"/>
        <v>},[475]={</v>
      </c>
    </row>
    <row r="741" spans="1:41" x14ac:dyDescent="0.15">
      <c r="C741">
        <v>11582</v>
      </c>
      <c r="D741">
        <v>1</v>
      </c>
      <c r="I741">
        <v>1</v>
      </c>
      <c r="J741" t="s">
        <v>3159</v>
      </c>
      <c r="K741" t="s">
        <v>3160</v>
      </c>
      <c r="L741" t="s">
        <v>2143</v>
      </c>
      <c r="AM741" t="str">
        <f t="shared" si="11"/>
        <v>{dwID=11582,nLevel=1,nScrutinyType=1,tKungFu={["SKILL#10002"]=true,["SKILL#10003"]=true,},szNote="雪山恩仇·少林",col={255,255,0,},[1]={},[2]={},tCountdown={{nClass=1,nIcon=13693,nFrame=7,szName="请前往·少林门派·玄正",nTime=20,key="雪山恩仇·提示0",},{nClass=2,nIcon=13693,nFrame=7,szName="雪山恩仇·提示0",nTime=0,key="雪山恩仇·提示0",},},},</v>
      </c>
      <c r="AN741" t="s">
        <v>3442</v>
      </c>
      <c r="AO741" t="s">
        <v>3162</v>
      </c>
    </row>
    <row r="742" spans="1:41" x14ac:dyDescent="0.15">
      <c r="A742" t="s">
        <v>1040</v>
      </c>
      <c r="B742">
        <v>488</v>
      </c>
      <c r="AM742" t="str">
        <f t="shared" si="11"/>
        <v>},[488]={</v>
      </c>
    </row>
    <row r="743" spans="1:41" x14ac:dyDescent="0.15">
      <c r="C743">
        <v>11582</v>
      </c>
      <c r="D743">
        <v>1</v>
      </c>
      <c r="I743">
        <v>1</v>
      </c>
      <c r="J743" t="s">
        <v>3215</v>
      </c>
      <c r="K743" t="s">
        <v>3216</v>
      </c>
      <c r="L743" t="s">
        <v>2143</v>
      </c>
      <c r="AM743" t="str">
        <f t="shared" si="11"/>
        <v>{dwID=11582,nLevel=1,nScrutinyType=1,tKungFu={["SKILL#10144"]=true,["SKILL#10145"]=true,},szNote="雪山恩仇·藏剑",col={255,255,0,},[1]={},[2]={},tCountdown={{nClass=1,nIcon=13698,nFrame=7,szName="请前往·藏剑山庄门派·叶晖",nTime=20,key="雪山恩仇·提示0",},{nClass=2,nIcon=13698,nFrame=7,szName="雪山恩仇·提示0",nTime=0,key="雪山恩仇·提示0",},},},</v>
      </c>
      <c r="AN743" t="s">
        <v>3443</v>
      </c>
      <c r="AO743" t="s">
        <v>3218</v>
      </c>
    </row>
    <row r="744" spans="1:41" x14ac:dyDescent="0.15">
      <c r="A744" t="s">
        <v>1077</v>
      </c>
      <c r="B744">
        <v>526</v>
      </c>
      <c r="AM744" t="str">
        <f t="shared" si="11"/>
        <v>},[526]={</v>
      </c>
    </row>
    <row r="745" spans="1:41" x14ac:dyDescent="0.15">
      <c r="C745">
        <v>11582</v>
      </c>
      <c r="D745">
        <v>1</v>
      </c>
      <c r="I745">
        <v>1</v>
      </c>
      <c r="J745" t="s">
        <v>3444</v>
      </c>
      <c r="K745" t="s">
        <v>3445</v>
      </c>
      <c r="L745" t="s">
        <v>2143</v>
      </c>
      <c r="AM745" t="str">
        <f t="shared" si="11"/>
        <v>{dwID=11582,nLevel=1,nScrutinyType=1,tKungFu={["SKILL#10626"]=true,["SKILL#10627"]=true,},szNote="雪山恩仇·药宗",col={255,255,0,},[1]={},[2]={},tCountdown={{nClass=1,nIcon=15594,nFrame=7,szName="雪山恩仇·药宗·陈月",nTime=60,key="雪山恩仇·提示0",},{nClass=2,nIcon=15594,nFrame=7,szName="雪山恩仇·提示0",nTime=0,key="雪山恩仇·提示0",},},},</v>
      </c>
      <c r="AN745" t="s">
        <v>3446</v>
      </c>
      <c r="AO745" t="s">
        <v>3447</v>
      </c>
    </row>
    <row r="746" spans="1:41" x14ac:dyDescent="0.15">
      <c r="C746">
        <v>1624</v>
      </c>
      <c r="D746">
        <v>17</v>
      </c>
      <c r="H746">
        <v>1</v>
      </c>
      <c r="I746">
        <v>1</v>
      </c>
      <c r="AM746" t="str">
        <f t="shared" si="11"/>
        <v>{dwID=1624,nLevel=17,bCheckLevel=true,nScrutinyType=1,[1]={},[2]={},tCountdown={{nClass=1,nIcon=15718,nFrame=5,szName="饱食·药宗·陈月",nTime=2,nRefresh=3600,key="冬至·饱食·药宗",},},},</v>
      </c>
      <c r="AN746" t="s">
        <v>3448</v>
      </c>
    </row>
    <row r="747" spans="1:41" x14ac:dyDescent="0.15">
      <c r="A747" t="s">
        <v>266</v>
      </c>
      <c r="B747">
        <v>532</v>
      </c>
      <c r="AM747" t="str">
        <f t="shared" si="11"/>
        <v>},[532]={</v>
      </c>
    </row>
    <row r="748" spans="1:41" x14ac:dyDescent="0.15">
      <c r="C748">
        <v>21181</v>
      </c>
      <c r="D748">
        <v>1</v>
      </c>
      <c r="AD748" t="s">
        <v>3449</v>
      </c>
      <c r="AE748">
        <v>14</v>
      </c>
      <c r="AF748" t="s">
        <v>2641</v>
      </c>
      <c r="AH748">
        <v>255</v>
      </c>
      <c r="AM748" t="str">
        <f t="shared" si="11"/>
        <v>{dwID=21181,nLevel=1,[1]={},[2]={},aCataclysmBuff={{szReminder="寒 天原绝境寒冷降加速",nPriority=14,col="#FF99CCFF",nColAlpha=255,},},},</v>
      </c>
    </row>
    <row r="749" spans="1:41" x14ac:dyDescent="0.15">
      <c r="A749" t="s">
        <v>1122</v>
      </c>
      <c r="B749">
        <v>578</v>
      </c>
      <c r="AM749" t="str">
        <f t="shared" si="11"/>
        <v>},[578]={</v>
      </c>
    </row>
    <row r="750" spans="1:41" x14ac:dyDescent="0.15">
      <c r="C750">
        <v>11582</v>
      </c>
      <c r="D750">
        <v>1</v>
      </c>
      <c r="I750">
        <v>1</v>
      </c>
      <c r="J750" t="s">
        <v>3450</v>
      </c>
      <c r="K750" t="s">
        <v>3451</v>
      </c>
      <c r="L750" t="s">
        <v>2143</v>
      </c>
      <c r="AM750" t="str">
        <f t="shared" si="11"/>
        <v>{dwID=11582,nLevel=1,nScrutinyType=1,tKungFu={["SKILL#10698"]=true,},szNote="雪山恩仇·刀宗",col={255,255,0,},[1]={},[2]={},tCountdown={{nClass=1,nIcon=17632,nFrame=7,szName="雪山恩仇·刀宗·谢云流",nTime=60,key="雪山恩仇·提示0",},{nClass=2,nIcon=17632,nFrame=7,szName="雪山恩仇·提示0",nTime=0,key="雪山恩仇·提示0",},},},</v>
      </c>
      <c r="AN750" t="s">
        <v>3452</v>
      </c>
      <c r="AO750" t="s">
        <v>3453</v>
      </c>
    </row>
    <row r="751" spans="1:41" x14ac:dyDescent="0.15">
      <c r="C751">
        <v>1624</v>
      </c>
      <c r="D751">
        <v>18</v>
      </c>
      <c r="H751">
        <v>1</v>
      </c>
      <c r="I751">
        <v>1</v>
      </c>
      <c r="AM751" t="str">
        <f t="shared" si="11"/>
        <v>{dwID=1624,nLevel=18,bCheckLevel=true,nScrutinyType=1,[1]={},[2]={},tCountdown={{nClass=1,nIcon=17577,nFrame=5,szName="饱食·刀宗·谢云流",nTime=2,nRefresh=3600,key="冬至·饱食·刀宗",},},},</v>
      </c>
      <c r="AN751" t="s">
        <v>3454</v>
      </c>
    </row>
    <row r="752" spans="1:41" x14ac:dyDescent="0.15">
      <c r="C752">
        <v>24822</v>
      </c>
      <c r="D752">
        <v>1</v>
      </c>
      <c r="I752">
        <v>1</v>
      </c>
      <c r="AM752" t="str">
        <f t="shared" si="11"/>
        <v>{dwID=24822,nLevel=1,nScrutinyType=1,[1]={},[2]={},tCountdown={{nClass=1,nIcon=976,nFrame=5,szName="任务·明日再来·封印·次日7时",nTime=10,nRefresh=7200,key="任务·封印",},},},</v>
      </c>
      <c r="AN752" t="s">
        <v>3455</v>
      </c>
    </row>
    <row r="753" spans="1:41" x14ac:dyDescent="0.15">
      <c r="A753" t="s">
        <v>1123</v>
      </c>
      <c r="B753">
        <v>579</v>
      </c>
      <c r="AM753" t="str">
        <f t="shared" si="11"/>
        <v>},[579]={</v>
      </c>
    </row>
    <row r="754" spans="1:41" x14ac:dyDescent="0.15">
      <c r="C754">
        <v>26226</v>
      </c>
      <c r="D754">
        <v>1</v>
      </c>
      <c r="I754">
        <v>1</v>
      </c>
      <c r="L754" t="s">
        <v>2143</v>
      </c>
      <c r="T754">
        <v>1</v>
      </c>
      <c r="AM754" t="str">
        <f t="shared" si="11"/>
        <v>{dwID=26226,nLevel=1,nScrutinyType=1,col={255,255,0,},[1]={bBuffList=true,},[2]={},},</v>
      </c>
    </row>
    <row r="755" spans="1:41" x14ac:dyDescent="0.15">
      <c r="C755">
        <v>24797</v>
      </c>
      <c r="D755">
        <v>1</v>
      </c>
      <c r="F755">
        <v>19489</v>
      </c>
      <c r="G755" t="s">
        <v>3206</v>
      </c>
      <c r="I755">
        <v>1</v>
      </c>
      <c r="L755" t="s">
        <v>2143</v>
      </c>
      <c r="T755">
        <v>1</v>
      </c>
      <c r="AM755" t="str">
        <f t="shared" si="11"/>
        <v>{dwID=24797,nLevel=1,nIcon=19489,szName="剧情",nScrutinyType=1,col={255,255,0,},[1]={bBuffList=true,},[2]={},},</v>
      </c>
    </row>
    <row r="756" spans="1:41" x14ac:dyDescent="0.15">
      <c r="C756">
        <v>26228</v>
      </c>
      <c r="D756">
        <v>1</v>
      </c>
      <c r="F756">
        <v>3402</v>
      </c>
      <c r="G756" t="s">
        <v>2505</v>
      </c>
      <c r="I756">
        <v>1</v>
      </c>
      <c r="K756" t="s">
        <v>615</v>
      </c>
      <c r="T756">
        <v>1</v>
      </c>
      <c r="AM756" t="str">
        <f t="shared" si="11"/>
        <v>{dwID=26228,nLevel=1,nIcon=3402,szName="按1",nScrutinyType=1,szNote="乱红鸾_QTE按键1",[1]={bBuffList=true,},[2]={},tCountdown={{nClass=1,nIcon=3402,nFrame=5,szName="按111",nTime=1.5,key="QTE·按1",},{nClass=2,nIcon=3402,nFrame=5,szName="QTE·按1",nTime=0,key="QTE·按1",},},},</v>
      </c>
      <c r="AN756" t="s">
        <v>3456</v>
      </c>
      <c r="AO756" t="s">
        <v>3457</v>
      </c>
    </row>
    <row r="757" spans="1:41" x14ac:dyDescent="0.15">
      <c r="C757">
        <v>26229</v>
      </c>
      <c r="D757">
        <v>1</v>
      </c>
      <c r="F757">
        <v>3404</v>
      </c>
      <c r="G757" t="s">
        <v>2508</v>
      </c>
      <c r="I757">
        <v>1</v>
      </c>
      <c r="K757" t="s">
        <v>616</v>
      </c>
      <c r="T757">
        <v>1</v>
      </c>
      <c r="AM757" t="str">
        <f t="shared" si="11"/>
        <v>{dwID=26229,nLevel=1,nIcon=3404,szName="按2",nScrutinyType=1,szNote="乱红鸾_QTE按键2",[1]={bBuffList=true,},[2]={},tCountdown={{nClass=1,nIcon=3404,nFrame=5,szName="按222",nTime=1.5,key="QTE·按2",},{nClass=2,nIcon=3404,nFrame=5,szName="QTE·按2",nTime=0,key="QTE·按2",},},},</v>
      </c>
      <c r="AN757" t="s">
        <v>3458</v>
      </c>
      <c r="AO757" t="s">
        <v>3459</v>
      </c>
    </row>
    <row r="758" spans="1:41" x14ac:dyDescent="0.15">
      <c r="C758">
        <v>26230</v>
      </c>
      <c r="D758">
        <v>1</v>
      </c>
      <c r="F758">
        <v>13415</v>
      </c>
      <c r="G758" t="s">
        <v>282</v>
      </c>
      <c r="I758">
        <v>1</v>
      </c>
      <c r="K758" t="s">
        <v>3460</v>
      </c>
      <c r="T758">
        <v>1</v>
      </c>
      <c r="AM758" t="str">
        <f t="shared" si="11"/>
        <v>{dwID=26230,nLevel=1,nIcon=13415,szName="易容",nScrutinyType=1,szNote="乱红鸾",[1]={bBuffList=true,},[2]={},},</v>
      </c>
    </row>
    <row r="759" spans="1:41" x14ac:dyDescent="0.15">
      <c r="A759" t="s">
        <v>1124</v>
      </c>
      <c r="B759">
        <v>580</v>
      </c>
      <c r="AM759" t="str">
        <f t="shared" si="11"/>
        <v>},[580]={</v>
      </c>
    </row>
    <row r="760" spans="1:41" x14ac:dyDescent="0.15">
      <c r="C760">
        <v>26226</v>
      </c>
      <c r="D760">
        <v>1</v>
      </c>
      <c r="I760">
        <v>1</v>
      </c>
      <c r="L760" t="s">
        <v>2143</v>
      </c>
      <c r="T760">
        <v>1</v>
      </c>
      <c r="AM760" t="str">
        <f t="shared" si="11"/>
        <v>{dwID=26226,nLevel=1,nScrutinyType=1,col={255,255,0,},[1]={bBuffList=true,},[2]={},},</v>
      </c>
    </row>
    <row r="761" spans="1:41" x14ac:dyDescent="0.15">
      <c r="A761" t="s">
        <v>1125</v>
      </c>
      <c r="B761">
        <v>581</v>
      </c>
      <c r="AM761" t="str">
        <f t="shared" si="11"/>
        <v>},[581]={</v>
      </c>
    </row>
    <row r="762" spans="1:41" x14ac:dyDescent="0.15">
      <c r="C762">
        <v>26226</v>
      </c>
      <c r="D762">
        <v>1</v>
      </c>
      <c r="I762">
        <v>1</v>
      </c>
      <c r="L762" t="s">
        <v>2143</v>
      </c>
      <c r="T762">
        <v>1</v>
      </c>
      <c r="AM762" t="str">
        <f t="shared" si="11"/>
        <v>{dwID=26226,nLevel=1,nScrutinyType=1,col={255,255,0,},[1]={bBuffList=true,},[2]={},},</v>
      </c>
    </row>
    <row r="763" spans="1:41" x14ac:dyDescent="0.15">
      <c r="C763">
        <v>26163</v>
      </c>
      <c r="D763">
        <v>1</v>
      </c>
      <c r="I763">
        <v>1</v>
      </c>
      <c r="AM763" t="str">
        <f t="shared" si="11"/>
        <v>{dwID=26163,nLevel=1,nScrutinyType=1,[1]={},[2]={},tCountdown={{nClass=1,nIcon=18990,nFrame=6,szName="前·左·右（循环）",nTime=60,key="任务·提示1",},{nClass=2,nIcon=18990,nFrame=5,szName="任务·提示1",nTime=0,key="任务·提示1",},},},</v>
      </c>
      <c r="AN763" t="s">
        <v>3461</v>
      </c>
      <c r="AO763" t="s">
        <v>3462</v>
      </c>
    </row>
    <row r="764" spans="1:41" x14ac:dyDescent="0.15">
      <c r="C764">
        <v>21487</v>
      </c>
      <c r="D764">
        <v>1</v>
      </c>
      <c r="F764">
        <v>19489</v>
      </c>
      <c r="G764" t="s">
        <v>3206</v>
      </c>
      <c r="I764">
        <v>1</v>
      </c>
      <c r="K764" t="s">
        <v>557</v>
      </c>
      <c r="T764">
        <v>1</v>
      </c>
      <c r="AM764" t="str">
        <f t="shared" si="11"/>
        <v>{dwID=21487,nLevel=1,nIcon=19489,szName="剧情",nScrutinyType=1,szNote="童蒙志_小剧场_BUFF",[1]={bBuffList=true,},[2]={},},</v>
      </c>
    </row>
    <row r="765" spans="1:41" x14ac:dyDescent="0.15">
      <c r="A765" t="s">
        <v>267</v>
      </c>
      <c r="B765">
        <v>582</v>
      </c>
      <c r="AM765" t="str">
        <f t="shared" si="11"/>
        <v>},[582]={</v>
      </c>
    </row>
    <row r="766" spans="1:41" x14ac:dyDescent="0.15">
      <c r="C766">
        <v>26226</v>
      </c>
      <c r="D766">
        <v>1</v>
      </c>
      <c r="I766">
        <v>1</v>
      </c>
      <c r="L766" t="s">
        <v>2143</v>
      </c>
      <c r="T766">
        <v>1</v>
      </c>
      <c r="AM766" t="str">
        <f t="shared" si="11"/>
        <v>{dwID=26226,nLevel=1,nScrutinyType=1,col={255,255,0,},[1]={bBuffList=true,},[2]={},},</v>
      </c>
    </row>
    <row r="767" spans="1:41" x14ac:dyDescent="0.15">
      <c r="C767">
        <v>26170</v>
      </c>
      <c r="D767">
        <v>1</v>
      </c>
      <c r="F767">
        <v>19489</v>
      </c>
      <c r="G767" t="s">
        <v>3206</v>
      </c>
      <c r="K767" t="s">
        <v>3463</v>
      </c>
      <c r="L767" t="s">
        <v>2143</v>
      </c>
      <c r="T767">
        <v>1</v>
      </c>
      <c r="AM767" t="str">
        <f t="shared" si="11"/>
        <v>{dwID=26170,nLevel=1,nIcon=19489,szName="剧情",szNote="月嘉禾",col={255,255,0,},[1]={bBuffList=true,},[2]={},},</v>
      </c>
    </row>
    <row r="768" spans="1:41" x14ac:dyDescent="0.15">
      <c r="C768">
        <v>14253</v>
      </c>
      <c r="D768">
        <v>1</v>
      </c>
      <c r="F768">
        <v>19489</v>
      </c>
      <c r="G768" t="s">
        <v>3206</v>
      </c>
      <c r="I768">
        <v>1</v>
      </c>
      <c r="L768" t="s">
        <v>2143</v>
      </c>
      <c r="T768">
        <v>1</v>
      </c>
      <c r="AM768" t="str">
        <f t="shared" si="11"/>
        <v>{dwID=14253,nLevel=1,nIcon=19489,szName="剧情",nScrutinyType=1,col={255,255,0,},[1]={bBuffList=true,},[2]={},},</v>
      </c>
    </row>
    <row r="769" spans="1:41" x14ac:dyDescent="0.15">
      <c r="A769" t="s">
        <v>1167</v>
      </c>
      <c r="B769">
        <v>627</v>
      </c>
      <c r="AM769" t="str">
        <f t="shared" si="11"/>
        <v>},[627]={</v>
      </c>
    </row>
    <row r="770" spans="1:41" x14ac:dyDescent="0.15">
      <c r="C770">
        <v>25895</v>
      </c>
      <c r="D770">
        <v>1</v>
      </c>
      <c r="K770" t="s">
        <v>606</v>
      </c>
      <c r="AM770" t="str">
        <f t="shared" ref="AM770:AM804" si="12">IF(B770&lt;&gt;"",IF(IFERROR(VALUE(C769),0)&lt;=0,"["&amp;B770&amp;"]={","},["&amp;B770&amp;"]={"),IF(C770&gt;0,"{dwID="&amp;C770&amp;","&amp;"nLevel="&amp;D770&amp;","&amp;IF(E770&gt;0,"nCount="&amp;E770&amp;",","")&amp;IF(F770&gt;0,"nIcon="&amp;F770&amp;",","")&amp;IF(G770&lt;&gt;"","szName="""&amp;G770&amp;""",","")&amp;IF(H770&gt;0,"bCheckLevel=true,","")&amp;IF(I770&gt;0,"nScrutinyType="&amp;I770&amp;",","")&amp;IF(J770&lt;&gt;"","tKungFu={"&amp;J770&amp;"},","")&amp;IF(K770&lt;&gt;"","szNote="""&amp;K770&amp;""",","")&amp;IF(L770&lt;&gt;"","col={"&amp;L770&amp;"},","")&amp;"[1]={"&amp;IF(M770&lt;&gt;"","tMark={"&amp;M770&amp;"},","")&amp;IF(N770&lt;&gt;"","szVoice="""&amp;N770&amp;""",","")&amp;IF(O770&gt;0,"bCheckLevel=true,","")&amp;IF(P770&gt;0,"bWhisperChannel=true,","")&amp;IF(Q770&gt;0,"bCenterAlarm=true,","")&amp;IF(R770&gt;0,"bScreenHead=true,","")&amp;IF(S770&gt;0,"bPartyBuffList=true,","")&amp;IF(T770&gt;0,"bBuffList=true,","")&amp;IF(U770&gt;0,"bTeamPanel=true,","")&amp;IF(V770&gt;0,"bOnlySelfSrc=true,","")&amp;"},"&amp;"[2]={"&amp;IF(W770&gt;0,"bCheckLevel=true,","")&amp;IF(X770&gt;0,"bWhisperChannel=true,","")&amp;IF(Y770&gt;0,"bCenterAlarm=true,","")&amp;"},"&amp;IF(OR(Z770&gt;0,AD770&lt;&gt;"",AE770&gt;0,AF770&lt;&gt;"",AG770&lt;&gt;"",AH770&gt;0,AI770&gt;0,AJ770&gt;0,AK770&gt;0),"aCataclysmBuff={{"&amp;IF(Z770&gt;0,"nStackNum="&amp;Z770&amp;",","")&amp;IF(AA770&lt;&gt;"","szStackOp="""&amp;AA770&amp;""",","")&amp;IF(AB770&gt;0,"bOnlyMine=true,","")&amp;IF(AC770&gt;0,"bOnlyMe=true,","")&amp;IF(AD770&lt;&gt;"","szReminder="""&amp;AD770&amp;""",","")&amp;IF(AE770&gt;0,"nPriority="&amp;AE770&amp;",","")&amp;IF(AF770&lt;&gt;"","col="""&amp;AF770&amp;""",","")&amp;IF(AG770&lt;&gt;"","colScreenHead="""&amp;AG770&amp;""",","")&amp;IF(AH770&gt;0,"nColAlpha="&amp;AH770&amp;",","")&amp;IF(AI770&gt;0,"bAttention=true,","")&amp;IF(AJ770&gt;0,"bCaution=true,","")&amp;IF(AK770&gt;0,"bScreenHead=true,","")&amp;"},"&amp;AL770&amp;"},","")&amp;IF(AN770&lt;&gt;"","tCountdown={"&amp;_xlfn.TEXTJOIN("",TRUE,AN770:ZY770)&amp;"},","")&amp;"},",IF(C769&gt;0,"},","")&amp;IF(AND(B770="",C770="",OR(B769&lt;&gt;"",C769&lt;&gt;"")),"},}","")))</f>
        <v>{dwID=25895,nLevel=1,szNote="拍卖分红·周五",[1]={},[2]={},tCountdown={{nClass=1,nIcon=13547,nFrame=0,szName="拍卖分红·已获得",nTime=20,nRefresh=7200,key="拍卖分红",},},},</v>
      </c>
      <c r="AN770" t="s">
        <v>3464</v>
      </c>
    </row>
    <row r="771" spans="1:41" x14ac:dyDescent="0.15">
      <c r="C771">
        <v>25894</v>
      </c>
      <c r="D771">
        <v>1</v>
      </c>
      <c r="K771" t="s">
        <v>605</v>
      </c>
      <c r="AM771" t="str">
        <f t="shared" si="12"/>
        <v>{dwID=25894,nLevel=1,szNote="拍卖分红·周三",[1]={},[2]={},tCountdown={{nClass=1,nIcon=13547,nFrame=0,szName="拍卖分红·已获得",nTime=20,nRefresh=7200,key="拍卖分红",},},},</v>
      </c>
      <c r="AN771" t="s">
        <v>3464</v>
      </c>
    </row>
    <row r="772" spans="1:41" x14ac:dyDescent="0.15">
      <c r="C772">
        <v>25893</v>
      </c>
      <c r="D772">
        <v>1</v>
      </c>
      <c r="K772" t="s">
        <v>604</v>
      </c>
      <c r="AM772" t="str">
        <f t="shared" si="12"/>
        <v>{dwID=25893,nLevel=1,szNote="拍卖分红·周一",[1]={},[2]={},tCountdown={{nClass=1,nIcon=13547,nFrame=0,szName="拍卖分红·已获得",nTime=20,nRefresh=7200,key="拍卖分红",},},},</v>
      </c>
      <c r="AN772" t="s">
        <v>3464</v>
      </c>
    </row>
    <row r="773" spans="1:41" x14ac:dyDescent="0.15">
      <c r="C773">
        <v>24670</v>
      </c>
      <c r="D773">
        <v>1</v>
      </c>
      <c r="T773">
        <v>1</v>
      </c>
      <c r="AM773" t="str">
        <f t="shared" si="12"/>
        <v>{dwID=24670,nLevel=1,[1]={bBuffList=true,},[2]={},},</v>
      </c>
    </row>
    <row r="774" spans="1:41" x14ac:dyDescent="0.15">
      <c r="A774" t="s">
        <v>268</v>
      </c>
      <c r="B774">
        <v>642</v>
      </c>
      <c r="AM774" t="str">
        <f t="shared" si="12"/>
        <v>},[642]={</v>
      </c>
    </row>
    <row r="775" spans="1:41" x14ac:dyDescent="0.15">
      <c r="C775">
        <v>11582</v>
      </c>
      <c r="D775">
        <v>1</v>
      </c>
      <c r="I775">
        <v>1</v>
      </c>
      <c r="J775" t="s">
        <v>3186</v>
      </c>
      <c r="K775" t="s">
        <v>3465</v>
      </c>
      <c r="L775" t="s">
        <v>2143</v>
      </c>
      <c r="AM775" t="str">
        <f t="shared" si="12"/>
        <v>{dwID=11582,nLevel=1,nScrutinyType=1,tKungFu={["SKILL#10026"]=true,["SKILL#10062"]=true,},szNote="雪山恩仇·万灵",col={255,255,0,},[1]={},[2]={},tCountdown={{nClass=1,nIcon=19664,nFrame=7,szName="雪山恩仇·万灵·颂少风",nTime=60,key="雪山恩仇·提示0",},{nClass=2,nIcon=19664,nFrame=7,szName="雪山恩仇·提示0",nTime=0,key="雪山恩仇·提示0",},},},</v>
      </c>
      <c r="AN775" t="s">
        <v>3466</v>
      </c>
      <c r="AO775" t="s">
        <v>3467</v>
      </c>
    </row>
    <row r="776" spans="1:41" x14ac:dyDescent="0.15">
      <c r="C776">
        <v>1624</v>
      </c>
      <c r="D776">
        <v>19</v>
      </c>
      <c r="H776">
        <v>1</v>
      </c>
      <c r="I776">
        <v>1</v>
      </c>
      <c r="AM776" t="str">
        <f t="shared" si="12"/>
        <v>{dwID=1624,nLevel=19,bCheckLevel=true,nScrutinyType=1,[1]={},[2]={},tCountdown={{nClass=1,nIcon=20308,nFrame=5,szName="饱食·万灵·颂少风",nTime=2,nRefresh=3600,key="冬至·饱食·万灵",},},},</v>
      </c>
      <c r="AN776" t="s">
        <v>3468</v>
      </c>
    </row>
    <row r="777" spans="1:41" x14ac:dyDescent="0.15">
      <c r="A777" t="s">
        <v>1184</v>
      </c>
      <c r="B777">
        <v>647</v>
      </c>
      <c r="AM777" t="str">
        <f t="shared" si="12"/>
        <v>},[647]={</v>
      </c>
    </row>
    <row r="778" spans="1:41" x14ac:dyDescent="0.15">
      <c r="C778">
        <v>26561</v>
      </c>
      <c r="D778">
        <v>1</v>
      </c>
      <c r="AM778" t="str">
        <f t="shared" si="12"/>
        <v>{dwID=26561,nLevel=1,[1]={},[2]={},tCountdown={{nClass=1,nIcon=4234,nFrame=5,szName="按222",nTime=2,key="李飞野·瞄准",},},},</v>
      </c>
      <c r="AN778" t="s">
        <v>3469</v>
      </c>
    </row>
    <row r="779" spans="1:41" x14ac:dyDescent="0.15">
      <c r="C779">
        <v>26562</v>
      </c>
      <c r="D779">
        <v>1</v>
      </c>
      <c r="AM779" t="str">
        <f t="shared" si="12"/>
        <v>{dwID=26562,nLevel=1,[1]={},[2]={},tCountdown={{nClass=1,nIcon=4236,nFrame=5,szName="按111",nTime=2,key="李飞野·瞄准",},},},</v>
      </c>
      <c r="AN779" t="s">
        <v>3470</v>
      </c>
    </row>
    <row r="780" spans="1:41" x14ac:dyDescent="0.15">
      <c r="C780">
        <v>12430</v>
      </c>
      <c r="D780">
        <v>1</v>
      </c>
      <c r="F780">
        <v>19489</v>
      </c>
      <c r="G780" t="s">
        <v>3206</v>
      </c>
      <c r="I780">
        <v>1</v>
      </c>
      <c r="K780" t="s">
        <v>3471</v>
      </c>
      <c r="T780">
        <v>1</v>
      </c>
      <c r="AM780" t="str">
        <f t="shared" si="12"/>
        <v>{dwID=12430,nLevel=1,nIcon=19489,szName="剧情",nScrutinyType=1,szNote="破巧言",[1]={bBuffList=true,},[2]={},},</v>
      </c>
    </row>
    <row r="781" spans="1:41" x14ac:dyDescent="0.15">
      <c r="C781">
        <v>27324</v>
      </c>
      <c r="D781">
        <v>1</v>
      </c>
      <c r="I781">
        <v>1</v>
      </c>
      <c r="K781" t="s">
        <v>3471</v>
      </c>
      <c r="T781">
        <v>1</v>
      </c>
      <c r="AM781" t="str">
        <f t="shared" si="12"/>
        <v>{dwID=27324,nLevel=1,nScrutinyType=1,szNote="破巧言",[1]={bBuffList=true,},[2]={},},</v>
      </c>
    </row>
    <row r="782" spans="1:41" x14ac:dyDescent="0.15">
      <c r="A782" t="s">
        <v>2590</v>
      </c>
      <c r="B782">
        <v>995</v>
      </c>
      <c r="AM782" t="str">
        <f t="shared" si="12"/>
        <v>},[995]={</v>
      </c>
    </row>
    <row r="783" spans="1:41" x14ac:dyDescent="0.15">
      <c r="C783">
        <v>50668</v>
      </c>
      <c r="D783">
        <v>2</v>
      </c>
      <c r="H783">
        <v>1</v>
      </c>
      <c r="I783">
        <v>1</v>
      </c>
      <c r="L783" t="s">
        <v>2346</v>
      </c>
      <c r="T783">
        <v>1</v>
      </c>
      <c r="U783">
        <v>1</v>
      </c>
      <c r="AD783" t="s">
        <v>3472</v>
      </c>
      <c r="AF783" t="s">
        <v>3473</v>
      </c>
      <c r="AH783">
        <v>255</v>
      </c>
      <c r="AM783" t="str">
        <f t="shared" si="12"/>
        <v>{dwID=50668,nLevel=2,bCheckLevel=true,nScrutinyType=1,col={255,150,50,},[1]={bBuffList=true,bTeamPanel=true,},[2]={},aCataclysmBuff={{szReminder="战 死战免死",col="#FF9800FF",nColAlpha=255,},},tCountdown={{nClass=1,nIcon=18566,nFrame=5,szName="不死·激活",nTime=5,key="死战",},{nClass=2,nIcon=18566,nFrame=5,szName="不死·未激活",nTime=2,key="死战",},},},</v>
      </c>
      <c r="AN783" t="s">
        <v>3474</v>
      </c>
      <c r="AO783" t="s">
        <v>3475</v>
      </c>
    </row>
    <row r="784" spans="1:41" x14ac:dyDescent="0.15">
      <c r="C784">
        <v>50668</v>
      </c>
      <c r="D784">
        <v>1</v>
      </c>
      <c r="H784">
        <v>1</v>
      </c>
      <c r="I784">
        <v>1</v>
      </c>
      <c r="L784" t="s">
        <v>2143</v>
      </c>
      <c r="AM784" t="str">
        <f t="shared" si="12"/>
        <v>{dwID=50668,nLevel=1,bCheckLevel=true,nScrutinyType=1,col={255,255,0,},[1]={},[2]={},tCountdown={{nClass=1,nIcon=18566,nFrame=5,szName="不死·暂未激活",nTime=20,key="死战",},},},</v>
      </c>
      <c r="AN784" t="s">
        <v>3476</v>
      </c>
    </row>
    <row r="785" spans="3:41" x14ac:dyDescent="0.15">
      <c r="C785">
        <v>50673</v>
      </c>
      <c r="D785">
        <v>1</v>
      </c>
      <c r="I785">
        <v>1</v>
      </c>
      <c r="L785" t="s">
        <v>2676</v>
      </c>
      <c r="T785">
        <v>1</v>
      </c>
      <c r="U785">
        <v>1</v>
      </c>
      <c r="AD785" t="s">
        <v>3477</v>
      </c>
      <c r="AE785">
        <v>1</v>
      </c>
      <c r="AF785" t="s">
        <v>3311</v>
      </c>
      <c r="AH785">
        <v>255</v>
      </c>
      <c r="AM785" t="str">
        <f t="shared" si="12"/>
        <v>{dwID=50673,nLevel=1,nScrutinyType=1,col={255,50,50,},[1]={bBuffList=true,bTeamPanel=true,},[2]={},aCataclysmBuff={{szReminder="怠 免死CD",nPriority=1,col="#FF3232FF",nColAlpha=255,},},tCountdown={{nClass=1,nIcon=18448,nFrame=5,szName="已触发免死",nTime=60,key="死战",},{nClass=2,nIcon=18448,nFrame=5,szName="死战",nTime=0,key="死战",},},},</v>
      </c>
      <c r="AN785" t="s">
        <v>3478</v>
      </c>
      <c r="AO785" t="s">
        <v>3479</v>
      </c>
    </row>
    <row r="786" spans="3:41" x14ac:dyDescent="0.15">
      <c r="C786">
        <v>50717</v>
      </c>
      <c r="D786">
        <v>1</v>
      </c>
      <c r="L786" t="s">
        <v>2168</v>
      </c>
      <c r="T786">
        <v>1</v>
      </c>
      <c r="AM786" t="str">
        <f t="shared" si="12"/>
        <v>{dwID=50717,nLevel=1,col={0,255,0,},[1]={bBuffList=true,},[2]={},},</v>
      </c>
    </row>
    <row r="787" spans="3:41" x14ac:dyDescent="0.15">
      <c r="C787">
        <v>50749</v>
      </c>
      <c r="D787">
        <v>1</v>
      </c>
      <c r="L787" t="s">
        <v>2152</v>
      </c>
      <c r="T787">
        <v>1</v>
      </c>
      <c r="AM787" t="str">
        <f t="shared" si="12"/>
        <v>{dwID=50749,nLevel=1,col={0,255,255,},[1]={bBuffList=true,},[2]={},},</v>
      </c>
    </row>
    <row r="788" spans="3:41" x14ac:dyDescent="0.15">
      <c r="C788">
        <v>50676</v>
      </c>
      <c r="D788">
        <v>1</v>
      </c>
      <c r="L788" t="s">
        <v>2152</v>
      </c>
      <c r="T788">
        <v>1</v>
      </c>
      <c r="AM788" t="str">
        <f t="shared" si="12"/>
        <v>{dwID=50676,nLevel=1,col={0,255,255,},[1]={bBuffList=true,},[2]={},},</v>
      </c>
    </row>
    <row r="789" spans="3:41" x14ac:dyDescent="0.15">
      <c r="C789">
        <v>50735</v>
      </c>
      <c r="D789">
        <v>1</v>
      </c>
      <c r="L789" t="s">
        <v>2152</v>
      </c>
      <c r="T789">
        <v>1</v>
      </c>
      <c r="AM789" t="str">
        <f t="shared" si="12"/>
        <v>{dwID=50735,nLevel=1,col={0,255,255,},[1]={bBuffList=true,},[2]={},},</v>
      </c>
    </row>
    <row r="790" spans="3:41" x14ac:dyDescent="0.15">
      <c r="C790">
        <v>50887</v>
      </c>
      <c r="D790">
        <v>1</v>
      </c>
      <c r="I790">
        <v>1</v>
      </c>
      <c r="L790" t="s">
        <v>2143</v>
      </c>
      <c r="T790">
        <v>1</v>
      </c>
      <c r="AM790" t="str">
        <f t="shared" si="12"/>
        <v>{dwID=50887,nLevel=1,nScrutinyType=1,col={255,255,0,},[1]={bBuffList=true,},[2]={},tCountdown={{nClass=1,nIcon=18427,nFrame=5,szName="福星·生效",nTime=2,key="福星",},{nClass=2,nIcon=18427,nFrame=5,szName="",nTime=0,key="福星",},},},</v>
      </c>
      <c r="AN790" t="s">
        <v>3480</v>
      </c>
      <c r="AO790" t="s">
        <v>3481</v>
      </c>
    </row>
    <row r="791" spans="3:41" x14ac:dyDescent="0.15">
      <c r="C791">
        <v>50886</v>
      </c>
      <c r="D791">
        <v>1</v>
      </c>
      <c r="L791" t="s">
        <v>2143</v>
      </c>
      <c r="T791">
        <v>1</v>
      </c>
      <c r="AM791" t="str">
        <f t="shared" si="12"/>
        <v>{dwID=50886,nLevel=1,col={255,255,0,},[1]={bBuffList=true,},[2]={},tCountdown={{nClass=1,nIcon=18567,nFrame=5,szName="福星·暂不生效",nTime=20,key="福星",},{nClass=2,nIcon=18567,nFrame=5,szName="",nTime=0,key="福星",},},},</v>
      </c>
      <c r="AN791" t="s">
        <v>3482</v>
      </c>
      <c r="AO791" t="s">
        <v>3483</v>
      </c>
    </row>
    <row r="792" spans="3:41" x14ac:dyDescent="0.15">
      <c r="C792">
        <v>50739</v>
      </c>
      <c r="D792">
        <v>1</v>
      </c>
      <c r="I792">
        <v>1</v>
      </c>
      <c r="L792" t="s">
        <v>2152</v>
      </c>
      <c r="T792">
        <v>1</v>
      </c>
      <c r="AM792" t="str">
        <f t="shared" si="12"/>
        <v>{dwID=50739,nLevel=1,nScrutinyType=1,col={0,255,255,},[1]={bBuffList=true,},[2]={},},</v>
      </c>
    </row>
    <row r="793" spans="3:41" x14ac:dyDescent="0.15">
      <c r="C793">
        <v>50686</v>
      </c>
      <c r="D793">
        <v>1</v>
      </c>
      <c r="H793">
        <v>1</v>
      </c>
      <c r="I793">
        <v>1</v>
      </c>
      <c r="L793" t="s">
        <v>2143</v>
      </c>
      <c r="T793">
        <v>1</v>
      </c>
      <c r="AM793" t="str">
        <f t="shared" si="12"/>
        <v>{dwID=50686,nLevel=1,bCheckLevel=true,nScrutinyType=1,col={255,255,0,},[1]={bBuffList=true,},[2]={},tCountdown={{nClass=1,nIcon=18534,nFrame=5,szName="纠缠·随机瞬移",nTime=60,key="纠缠",},{nClass=2,nIcon=18534,nFrame=5,szName="",nTime=0,key="纠缠",},},},</v>
      </c>
      <c r="AN793" t="s">
        <v>3484</v>
      </c>
      <c r="AO793" t="s">
        <v>3485</v>
      </c>
    </row>
    <row r="794" spans="3:41" x14ac:dyDescent="0.15">
      <c r="C794">
        <v>50684</v>
      </c>
      <c r="D794">
        <v>4</v>
      </c>
      <c r="L794" t="s">
        <v>2152</v>
      </c>
      <c r="T794">
        <v>1</v>
      </c>
      <c r="AM794" t="str">
        <f t="shared" si="12"/>
        <v>{dwID=50684,nLevel=4,col={0,255,255,},[1]={bBuffList=true,},[2]={},},</v>
      </c>
    </row>
    <row r="795" spans="3:41" x14ac:dyDescent="0.15">
      <c r="C795">
        <v>50686</v>
      </c>
      <c r="D795">
        <v>2</v>
      </c>
      <c r="H795">
        <v>1</v>
      </c>
      <c r="L795" t="s">
        <v>2143</v>
      </c>
      <c r="AM795" t="str">
        <f t="shared" si="12"/>
        <v>{dwID=50686,nLevel=2,bCheckLevel=true,col={255,255,0,},[1]={},[2]={},tCountdown={{nClass=1,nIcon=18534,nFrame=5,szName="纠缠·随机瞬移",nTime=50,key="纠缠",},{nClass=2,nIcon=18534,nFrame=5,szName="",nTime=0,key="纠缠",},},},</v>
      </c>
      <c r="AN795" t="s">
        <v>3486</v>
      </c>
      <c r="AO795" t="s">
        <v>3485</v>
      </c>
    </row>
    <row r="796" spans="3:41" x14ac:dyDescent="0.15">
      <c r="C796">
        <v>50686</v>
      </c>
      <c r="D796">
        <v>3</v>
      </c>
      <c r="H796">
        <v>1</v>
      </c>
      <c r="L796" t="s">
        <v>2143</v>
      </c>
      <c r="AM796" t="str">
        <f t="shared" si="12"/>
        <v>{dwID=50686,nLevel=3,bCheckLevel=true,col={255,255,0,},[1]={},[2]={},tCountdown={{nClass=1,nIcon=18534,nFrame=5,szName="纠缠·随机瞬移",nTime=45,key="纠缠",},{nClass=2,nIcon=18534,nFrame=5,szName="",nTime=0,key="纠缠",},},},</v>
      </c>
      <c r="AN796" t="s">
        <v>3487</v>
      </c>
      <c r="AO796" t="s">
        <v>3485</v>
      </c>
    </row>
    <row r="797" spans="3:41" x14ac:dyDescent="0.15">
      <c r="C797">
        <v>50686</v>
      </c>
      <c r="D797">
        <v>4</v>
      </c>
      <c r="H797">
        <v>1</v>
      </c>
      <c r="L797" t="s">
        <v>2143</v>
      </c>
      <c r="AM797" t="str">
        <f t="shared" si="12"/>
        <v>{dwID=50686,nLevel=4,bCheckLevel=true,col={255,255,0,},[1]={},[2]={},tCountdown={{nClass=1,nIcon=18534,nFrame=5,szName="纠缠·随机瞬移",nTime=40,key="纠缠",},{nClass=2,nIcon=18534,nFrame=5,szName="",nTime=0,key="纠缠",},},},</v>
      </c>
      <c r="AN797" t="s">
        <v>3488</v>
      </c>
      <c r="AO797" t="s">
        <v>3485</v>
      </c>
    </row>
    <row r="798" spans="3:41" x14ac:dyDescent="0.15">
      <c r="C798">
        <v>50686</v>
      </c>
      <c r="D798">
        <v>5</v>
      </c>
      <c r="H798">
        <v>1</v>
      </c>
      <c r="L798" t="s">
        <v>2143</v>
      </c>
      <c r="AM798" t="str">
        <f t="shared" si="12"/>
        <v>{dwID=50686,nLevel=5,bCheckLevel=true,col={255,255,0,},[1]={},[2]={},tCountdown={{nClass=1,nIcon=18534,nFrame=5,szName="纠缠·随机瞬移",nTime=35,key="纠缠",},{nClass=2,nIcon=18534,nFrame=5,szName="",nTime=0,key="纠缠",},},},</v>
      </c>
      <c r="AN798" t="s">
        <v>3489</v>
      </c>
      <c r="AO798" t="s">
        <v>3485</v>
      </c>
    </row>
    <row r="799" spans="3:41" x14ac:dyDescent="0.15">
      <c r="C799">
        <v>50894</v>
      </c>
      <c r="D799">
        <v>1</v>
      </c>
      <c r="I799">
        <v>1</v>
      </c>
      <c r="L799" t="s">
        <v>2676</v>
      </c>
      <c r="T799">
        <v>1</v>
      </c>
      <c r="AM799" t="str">
        <f t="shared" si="12"/>
        <v>{dwID=50894,nLevel=1,nScrutinyType=1,col={255,50,50,},[1]={bBuffList=true,},[2]={},tCountdown={{nClass=1,nIcon=18449,nFrame=5,szName="紊乱·降低伤害",nTime=20,key="紊乱",},{nClass=2,nIcon=18449,nFrame=5,szName="",nTime=0,key="紊乱",},},},</v>
      </c>
      <c r="AN799" t="s">
        <v>3490</v>
      </c>
      <c r="AO799" t="s">
        <v>3491</v>
      </c>
    </row>
    <row r="800" spans="3:41" x14ac:dyDescent="0.15">
      <c r="C800">
        <v>51076</v>
      </c>
      <c r="D800">
        <v>1</v>
      </c>
      <c r="H800">
        <v>1</v>
      </c>
      <c r="I800">
        <v>1</v>
      </c>
      <c r="L800" t="s">
        <v>2143</v>
      </c>
      <c r="T800">
        <v>1</v>
      </c>
      <c r="AM800" t="str">
        <f t="shared" si="12"/>
        <v>{dwID=51076,nLevel=1,bCheckLevel=true,nScrutinyType=1,col={255,255,0,},[1]={bBuffList=true,},[2]={},tCountdown={{nClass=1,nIcon=3432,nFrame=5,szName="谙达·生成召唤物",nTime=9.2,key="谙达",},{nClass=2,nIcon=3432,nFrame=5,szName="",nTime=0,key="谙达",},},},</v>
      </c>
      <c r="AN800" t="s">
        <v>3492</v>
      </c>
      <c r="AO800" t="s">
        <v>3493</v>
      </c>
    </row>
    <row r="801" spans="3:40" x14ac:dyDescent="0.15">
      <c r="C801">
        <v>50892</v>
      </c>
      <c r="D801">
        <v>1</v>
      </c>
      <c r="I801">
        <v>1</v>
      </c>
      <c r="L801" t="s">
        <v>2152</v>
      </c>
      <c r="AM801" t="str">
        <f t="shared" si="12"/>
        <v>{dwID=50892,nLevel=1,nScrutinyType=1,col={0,255,255,},[1]={},[2]={},tCountdown={{nClass=2,nIcon=18566,nFrame=5,szName="死战",nTime=0,key="死战",},},},</v>
      </c>
      <c r="AN801" t="s">
        <v>3494</v>
      </c>
    </row>
    <row r="802" spans="3:40" x14ac:dyDescent="0.15">
      <c r="C802">
        <v>50769</v>
      </c>
      <c r="D802">
        <v>1</v>
      </c>
      <c r="AM802" t="str">
        <f t="shared" si="12"/>
        <v>{dwID=50769,nLevel=1,[1]={},[2]={},tCountdown={{nClass=2,nIcon=18566,nFrame=5,szName="死战",nTime=0,key="死战",},},},</v>
      </c>
      <c r="AN802" t="s">
        <v>3494</v>
      </c>
    </row>
    <row r="803" spans="3:40" x14ac:dyDescent="0.15">
      <c r="AM803" t="str">
        <f t="shared" si="12"/>
        <v>},},}</v>
      </c>
    </row>
    <row r="804" spans="3:40" x14ac:dyDescent="0.15">
      <c r="AM804" t="str">
        <f t="shared" si="12"/>
        <v/>
      </c>
    </row>
  </sheetData>
  <phoneticPr fontId="18" type="noConversion"/>
  <pageMargins left="0.75" right="0.75" top="1" bottom="1" header="0.5" footer="0.5"/>
</worksheet>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C7BEF-679E-4868-857C-A4A8A2072526}">
  <dimension ref="A1:AE108"/>
  <sheetViews>
    <sheetView workbookViewId="0"/>
  </sheetViews>
  <sheetFormatPr defaultRowHeight="13.5" x14ac:dyDescent="0.15"/>
  <sheetData>
    <row r="1" spans="1:27" x14ac:dyDescent="0.15">
      <c r="A1" t="s">
        <v>0</v>
      </c>
      <c r="B1" t="s">
        <v>2061</v>
      </c>
      <c r="C1" t="s">
        <v>1</v>
      </c>
      <c r="D1" t="s">
        <v>2</v>
      </c>
      <c r="E1" t="s">
        <v>2062</v>
      </c>
      <c r="F1" t="s">
        <v>4</v>
      </c>
      <c r="G1" t="s">
        <v>2063</v>
      </c>
      <c r="H1" t="s">
        <v>2064</v>
      </c>
      <c r="I1" t="s">
        <v>2065</v>
      </c>
      <c r="J1" t="s">
        <v>5</v>
      </c>
      <c r="K1" t="s">
        <v>2066</v>
      </c>
      <c r="L1" t="s">
        <v>3495</v>
      </c>
      <c r="M1" t="s">
        <v>3496</v>
      </c>
      <c r="N1" t="s">
        <v>3497</v>
      </c>
      <c r="O1" t="s">
        <v>3498</v>
      </c>
      <c r="P1" t="s">
        <v>3499</v>
      </c>
      <c r="Q1" t="s">
        <v>3500</v>
      </c>
      <c r="R1" t="s">
        <v>3501</v>
      </c>
      <c r="S1" t="s">
        <v>3502</v>
      </c>
      <c r="T1" t="s">
        <v>3503</v>
      </c>
      <c r="U1" t="s">
        <v>3504</v>
      </c>
      <c r="V1" t="s">
        <v>3505</v>
      </c>
      <c r="W1" t="s">
        <v>3506</v>
      </c>
      <c r="X1" t="s">
        <v>2094</v>
      </c>
    </row>
    <row r="2" spans="1:27" x14ac:dyDescent="0.15">
      <c r="A2" t="s">
        <v>2107</v>
      </c>
      <c r="B2">
        <v>-15</v>
      </c>
      <c r="W2" t="str">
        <f t="shared" ref="W2:W33" si="0">IF(ISBLANK(B2)=FALSE,IF(ISBLANK(B1),"},["&amp;B2&amp;"]={","["&amp;B2&amp;"]={"),IF(AND(ISBLANK(B2),ISBLANK(C2),ISBLANK(D2),OR(ISBLANK(B1)=FALSE,ISBLANK(C1)=FALSE,ISBLANK(D1)=FALSE)),"},},}",IF(ISBLANK(C2),"","{dwID="&amp;C2&amp;","&amp;"nLevel="&amp;D2&amp;","&amp;IF(E2&gt;0,"nIcon="&amp;E2&amp;",","")&amp;IF(F2&lt;&gt;"","szName="""&amp;F2&amp;""",","")&amp;IF(G2&gt;0,"bCheckLevel=true"&amp;",","")&amp;IF(H2&gt;0,"nScrutinyType=true,","")&amp;IF(I2&lt;&gt;"","tKungFu={"&amp;I2&amp;"},","")&amp;IF(J2&lt;&gt;"","szNote="""&amp;J2&amp;""",","")&amp;IF(K2&lt;&gt;"","col={"&amp;K2&amp;"},","")&amp;"[9]={"&amp;IF(L2&lt;&gt;"","tMark={"&amp;L2&amp;"},","")&amp;IF(M2&lt;&gt;"","szVoice="""&amp;M2&amp;""",","")&amp;IF(N2&gt;0,"bTeamChannel=true,","")&amp;IF(O2&gt;0,"bWhisperChannel=true,","")&amp;IF(P2&gt;0,"bCenterAlarm=true,","")&amp;"},"&amp;"[8]={"&amp;IF(Q2&lt;&gt;"","tMark={"&amp;Q2&amp;"},","")&amp;IF(R2&lt;&gt;"","szVoice="""&amp;R2&amp;""",","")&amp;IF(S2&gt;0,"bTeamChannel=true,","")&amp;IF(T2&gt;0,"bWhisperChannel=true,","")&amp;IF(U2&gt;0,"bCenterAlarm=true,","")&amp;IF(V2&gt;0,"bScreenHead=true,","")&amp;"},"&amp;IF(X2&lt;&gt;"","tCountdown={"&amp;_xlfn.TEXTJOIN("",TRUE,X2:AAB2)&amp;"},","")&amp;"},")))</f>
        <v>[-15]={</v>
      </c>
    </row>
    <row r="3" spans="1:27" x14ac:dyDescent="0.15">
      <c r="C3">
        <v>613</v>
      </c>
      <c r="D3">
        <v>1</v>
      </c>
      <c r="W3" t="str">
        <f t="shared" si="0"/>
        <v>{dwID=613,nLevel=1,[9]={},[8]={},},</v>
      </c>
    </row>
    <row r="4" spans="1:27" x14ac:dyDescent="0.15">
      <c r="C4">
        <v>23890</v>
      </c>
      <c r="D4">
        <v>1</v>
      </c>
      <c r="H4">
        <v>1</v>
      </c>
      <c r="J4" t="s">
        <v>3507</v>
      </c>
      <c r="W4" t="str">
        <f t="shared" si="0"/>
        <v>{dwID=23890,nLevel=1,nScrutinyType=true,szNote="白日梦·躺下",[9]={},[8]={},tCountdown={{nClass=9,nIcon=6119,nFrame=5,szName="白日梦·计时剩余",nTime=180.2,key="白日梦",},},},</v>
      </c>
      <c r="X4" t="s">
        <v>3508</v>
      </c>
    </row>
    <row r="5" spans="1:27" x14ac:dyDescent="0.15">
      <c r="C5">
        <v>23772</v>
      </c>
      <c r="D5">
        <v>1</v>
      </c>
      <c r="J5" t="s">
        <v>3507</v>
      </c>
      <c r="W5" t="str">
        <f t="shared" si="0"/>
        <v>{dwID=23772,nLevel=1,szNote="白日梦·躺下",[9]={},[8]={},tCountdown={{nClass=9,nIcon=6119,nFrame=5,szName="白日梦·计时剩余",nTime=180.2,key="白日梦",},},},</v>
      </c>
      <c r="X5" t="s">
        <v>3508</v>
      </c>
    </row>
    <row r="6" spans="1:27" x14ac:dyDescent="0.15">
      <c r="A6" t="s">
        <v>2142</v>
      </c>
      <c r="B6">
        <v>-7</v>
      </c>
      <c r="W6" t="str">
        <f t="shared" si="0"/>
        <v>},[-7]={</v>
      </c>
    </row>
    <row r="7" spans="1:27" x14ac:dyDescent="0.15">
      <c r="C7">
        <v>21308</v>
      </c>
      <c r="D7">
        <v>1</v>
      </c>
      <c r="E7">
        <v>12492</v>
      </c>
      <c r="H7">
        <v>1</v>
      </c>
      <c r="I7" t="s">
        <v>2149</v>
      </c>
      <c r="J7" t="s">
        <v>3509</v>
      </c>
      <c r="K7" t="s">
        <v>2143</v>
      </c>
      <c r="W7" t="str">
        <f t="shared" si="0"/>
        <v>{dwID=21308,nLevel=1,nIcon=12492,nScrutinyType=true,tKungFu={["SKILL#10021"]=true,["SKILL#10028"]=true,},szNote="雪凤冰王笛读条引导技",col={255,255,0,},[9]={},[8]={},tCountdown={{nClass=9,nIcon=12492,nFrame=5,szName="凛冬踏雪曲",nTime=-2,key="凛冬踏雪曲",},{nClass=8,nIcon=12492,nFrame=7,szName="凛冬踏雪曲",nTime=12,key="凛冬踏雪曲",},{nClass=8,nIcon=12492,nFrame=6,szName="飞雪·7尺内一朵冰花爆炸",nTime=12.1,key="凛冬踏雪曲·提示1",},{nClass=8,nIcon=12492,nFrame=6,szName="冰葬·冰花全部为相同目标",nTime=12.1,key="凛冬踏雪曲·提示2",},},},</v>
      </c>
      <c r="X7" t="s">
        <v>3510</v>
      </c>
      <c r="Y7" t="s">
        <v>3511</v>
      </c>
      <c r="Z7" t="s">
        <v>3512</v>
      </c>
      <c r="AA7" t="s">
        <v>3513</v>
      </c>
    </row>
    <row r="8" spans="1:27" x14ac:dyDescent="0.15">
      <c r="C8">
        <v>7612</v>
      </c>
      <c r="D8">
        <v>1</v>
      </c>
      <c r="H8">
        <v>1</v>
      </c>
      <c r="W8" t="str">
        <f t="shared" si="0"/>
        <v>{dwID=7612,nLevel=1,nScrutinyType=true,[9]={},[8]={},tCountdown={{nClass=8,nIcon=3481,nFrame=5,szName="{$S7612}【{$receiver}】",nTime=10,key="套马",},{nClass=9,nIcon=3481,nFrame=5,szName="套马",nTime=0,key="套马",},},},</v>
      </c>
      <c r="X8" t="s">
        <v>3514</v>
      </c>
      <c r="Y8" t="s">
        <v>3515</v>
      </c>
    </row>
    <row r="9" spans="1:27" x14ac:dyDescent="0.15">
      <c r="A9" t="s">
        <v>2173</v>
      </c>
      <c r="B9">
        <v>-5</v>
      </c>
      <c r="W9" t="str">
        <f t="shared" si="0"/>
        <v>},[-5]={</v>
      </c>
    </row>
    <row r="10" spans="1:27" x14ac:dyDescent="0.15">
      <c r="C10">
        <v>180</v>
      </c>
      <c r="D10">
        <v>29</v>
      </c>
      <c r="H10">
        <v>1</v>
      </c>
      <c r="I10" t="s">
        <v>2747</v>
      </c>
      <c r="K10" t="s">
        <v>2168</v>
      </c>
      <c r="W10" t="str">
        <f t="shared" si="0"/>
        <v>{dwID=180,nLevel=29,nScrutinyType=true,tKungFu={["SKILL#10028"]=true,},col={0,255,0,},[9]={},[8]={},tCountdown={{nClass=9,nIcon=1514,nFrame=5,szName="KEY·秋肃",nTime=0,key="KEY·秋肃",},{nClass=9,nIcon=1514,nFrame=0,szName="",nTime="37,{$receiver}·易伤+6%;38,{$receiver}·补秋肃,VO:ShiYongTeShuJiNeng;39,{$receiver}·补秋肃;40,{$receiver}·补秋肃",nRefresh=15,key="KEY·秋肃",},},},</v>
      </c>
      <c r="X10" t="s">
        <v>3516</v>
      </c>
      <c r="Y10" t="s">
        <v>3517</v>
      </c>
    </row>
    <row r="11" spans="1:27" x14ac:dyDescent="0.15">
      <c r="C11">
        <v>567</v>
      </c>
      <c r="D11">
        <v>1</v>
      </c>
      <c r="H11">
        <v>1</v>
      </c>
      <c r="I11" t="s">
        <v>2174</v>
      </c>
      <c r="K11" t="s">
        <v>2152</v>
      </c>
      <c r="W11" t="str">
        <f t="shared" si="0"/>
        <v>{dwID=567,nLevel=1,nScrutinyType=true,tKungFu={["SKILL#10080"]=true,},col={0,255,255,},[9]={},[8]={},tCountdown={{nClass=8,nIcon=904,nFrame=5,szName="KEY·左旋右转",nTime=0,key="KEY·左旋右转",},{nClass=8,nIcon=904,nFrame=0,szName="",nTime="40,【{$sender}】·破招+4500;41,【{$sender}】·补左旋右转,VO:ShiYongTeShuJiNeng;42,【{$sender}】·补左旋右转;43,【{$sender}】·补左旋右转;64,【{$sender}】·补左旋右转",nRefresh=40,key="KEY·左旋右转",},},},</v>
      </c>
      <c r="X11" t="s">
        <v>3518</v>
      </c>
      <c r="Y11" t="s">
        <v>3519</v>
      </c>
    </row>
    <row r="12" spans="1:27" x14ac:dyDescent="0.15">
      <c r="C12">
        <v>2231</v>
      </c>
      <c r="D12">
        <v>5</v>
      </c>
      <c r="H12">
        <v>1</v>
      </c>
      <c r="I12" t="s">
        <v>3520</v>
      </c>
      <c r="K12" t="s">
        <v>2168</v>
      </c>
      <c r="W12" t="str">
        <f t="shared" si="0"/>
        <v>{dwID=2231,nLevel=5,nScrutinyType=true,tKungFu={["SKILL#10176"]=true,},col={0,255,0,},[9]={},[8]={},tCountdown={{nClass=9,nIcon=2744,nFrame=5,szName="KEY·蛊惑众生",nTime=0,key="KEY·蛊惑众生",},{nClass=9,nIcon=2744,nFrame=0,szName="",nTime="27,【{$receiver}】·蛊惑众生;28,【{$receiver}】·补蛊惑,VO:ShiYongTeShuJiNeng;29,【{$receiver}】·补蛊惑;30,【{$receiver}】·补蛊惑",nRefresh=20,key="KEY·蛊惑众生",},},},</v>
      </c>
      <c r="X12" t="s">
        <v>3521</v>
      </c>
      <c r="Y12" t="s">
        <v>3522</v>
      </c>
    </row>
    <row r="13" spans="1:27" x14ac:dyDescent="0.15">
      <c r="C13">
        <v>27674</v>
      </c>
      <c r="D13">
        <v>1</v>
      </c>
      <c r="H13">
        <v>1</v>
      </c>
      <c r="I13" t="s">
        <v>2176</v>
      </c>
      <c r="K13" t="s">
        <v>2143</v>
      </c>
      <c r="W13" t="str">
        <f t="shared" si="0"/>
        <v>{dwID=27674,nLevel=1,nScrutinyType=true,tKungFu={["SKILL#10626"]=true,},col={255,255,0,},[9]={},[8]={},tCountdown={{nClass=9,nIcon=15421,nFrame=5,szName="KEY·飘黄",nTime=0,nRefresh=1,key="KEY·飘黄",},},},</v>
      </c>
      <c r="X13" t="s">
        <v>3523</v>
      </c>
    </row>
    <row r="14" spans="1:27" x14ac:dyDescent="0.15">
      <c r="A14" t="s">
        <v>2178</v>
      </c>
      <c r="B14">
        <v>-4</v>
      </c>
      <c r="W14" t="str">
        <f t="shared" si="0"/>
        <v>},[-4]={</v>
      </c>
    </row>
    <row r="15" spans="1:27" x14ac:dyDescent="0.15">
      <c r="C15">
        <v>180</v>
      </c>
      <c r="D15">
        <v>29</v>
      </c>
      <c r="H15">
        <v>1</v>
      </c>
      <c r="I15" t="s">
        <v>2747</v>
      </c>
      <c r="K15" t="s">
        <v>2168</v>
      </c>
      <c r="W15" t="str">
        <f t="shared" si="0"/>
        <v>{dwID=180,nLevel=29,nScrutinyType=true,tKungFu={["SKILL#10028"]=true,},col={0,255,0,},[9]={},[8]={},tCountdown={{nClass=9,nIcon=1514,nFrame=5,szName="KEY·秋肃",nTime=0,key="KEY·秋肃",},{nClass=9,nIcon=1514,nFrame=0,szName="",nTime="37,{$receiver}·易伤+6%;38,{$receiver}·补秋肃,VO:ShiYongTeShuJiNeng;39,{$receiver}·补秋肃;40,{$receiver}·补秋肃",nRefresh=15,key="KEY·秋肃",},},},</v>
      </c>
      <c r="X15" t="s">
        <v>3516</v>
      </c>
      <c r="Y15" t="s">
        <v>3517</v>
      </c>
    </row>
    <row r="16" spans="1:27" x14ac:dyDescent="0.15">
      <c r="C16">
        <v>567</v>
      </c>
      <c r="D16">
        <v>1</v>
      </c>
      <c r="H16">
        <v>1</v>
      </c>
      <c r="I16" t="s">
        <v>2174</v>
      </c>
      <c r="K16" t="s">
        <v>2152</v>
      </c>
      <c r="W16" t="str">
        <f t="shared" si="0"/>
        <v>{dwID=567,nLevel=1,nScrutinyType=true,tKungFu={["SKILL#10080"]=true,},col={0,255,255,},[9]={},[8]={},tCountdown={{nClass=8,nIcon=904,nFrame=5,szName="KEY·左旋右转",nTime=0,key="KEY·左旋右转",},{nClass=8,nIcon=904,nFrame=0,szName="",nTime="40,【{$sender}】·破招+4500;41,【{$sender}】·补左旋右转,VO:ShiYongTeShuJiNeng;42,【{$sender}】·补左旋右转;43,【{$sender}】·补左旋右转;64,【{$sender}】·补左旋右转",nRefresh=40,key="KEY·左旋右转",},},},</v>
      </c>
      <c r="X16" t="s">
        <v>3518</v>
      </c>
      <c r="Y16" t="s">
        <v>3519</v>
      </c>
    </row>
    <row r="17" spans="1:31" x14ac:dyDescent="0.15">
      <c r="C17">
        <v>2231</v>
      </c>
      <c r="D17">
        <v>5</v>
      </c>
      <c r="H17">
        <v>1</v>
      </c>
      <c r="I17" t="s">
        <v>3520</v>
      </c>
      <c r="K17" t="s">
        <v>2168</v>
      </c>
      <c r="W17" t="str">
        <f t="shared" si="0"/>
        <v>{dwID=2231,nLevel=5,nScrutinyType=true,tKungFu={["SKILL#10176"]=true,},col={0,255,0,},[9]={},[8]={},tCountdown={{nClass=9,nIcon=2744,nFrame=5,szName="KEY·蛊惑众生",nTime=0,key="KEY·蛊惑众生",},{nClass=9,nIcon=2744,nFrame=0,szName="",nTime="27,【{$receiver}】·蛊惑众生;28,【{$receiver}】·补蛊惑,VO:ShiYongTeShuJiNeng;29,【{$receiver}】·补蛊惑;30,【{$receiver}】·补蛊惑",nRefresh=20,key="KEY·蛊惑众生",},},},</v>
      </c>
      <c r="X17" t="s">
        <v>3521</v>
      </c>
      <c r="Y17" t="s">
        <v>3522</v>
      </c>
    </row>
    <row r="18" spans="1:31" x14ac:dyDescent="0.15">
      <c r="C18">
        <v>27674</v>
      </c>
      <c r="D18">
        <v>1</v>
      </c>
      <c r="H18">
        <v>1</v>
      </c>
      <c r="I18" t="s">
        <v>2176</v>
      </c>
      <c r="K18" t="s">
        <v>2143</v>
      </c>
      <c r="W18" t="str">
        <f t="shared" si="0"/>
        <v>{dwID=27674,nLevel=1,nScrutinyType=true,tKungFu={["SKILL#10626"]=true,},col={255,255,0,},[9]={},[8]={},tCountdown={{nClass=9,nIcon=15421,nFrame=5,szName="KEY·飘黄",nTime=0,nRefresh=1,key="KEY·飘黄",},},},</v>
      </c>
      <c r="X18" t="s">
        <v>3523</v>
      </c>
    </row>
    <row r="19" spans="1:31" x14ac:dyDescent="0.15">
      <c r="A19" t="s">
        <v>2179</v>
      </c>
      <c r="B19">
        <v>-3</v>
      </c>
      <c r="W19" t="str">
        <f t="shared" si="0"/>
        <v>},[-3]={</v>
      </c>
    </row>
    <row r="20" spans="1:31" x14ac:dyDescent="0.15">
      <c r="C20">
        <v>27674</v>
      </c>
      <c r="D20">
        <v>1</v>
      </c>
      <c r="H20">
        <v>1</v>
      </c>
      <c r="I20" t="s">
        <v>2176</v>
      </c>
      <c r="K20" t="s">
        <v>2143</v>
      </c>
      <c r="W20" t="str">
        <f t="shared" si="0"/>
        <v>{dwID=27674,nLevel=1,nScrutinyType=true,tKungFu={["SKILL#10626"]=true,},col={255,255,0,},[9]={},[8]={},tCountdown={{nClass=9,nIcon=15421,nFrame=5,szName="KEY·飘黄",nTime=0,nRefresh=1,key="KEY·飘黄",},},},</v>
      </c>
      <c r="X20" t="s">
        <v>3523</v>
      </c>
    </row>
    <row r="21" spans="1:31" x14ac:dyDescent="0.15">
      <c r="C21">
        <v>21308</v>
      </c>
      <c r="D21">
        <v>1</v>
      </c>
      <c r="E21">
        <v>12492</v>
      </c>
      <c r="H21">
        <v>1</v>
      </c>
      <c r="J21" t="s">
        <v>3509</v>
      </c>
      <c r="K21" t="s">
        <v>2143</v>
      </c>
      <c r="W21" t="str">
        <f t="shared" si="0"/>
        <v>{dwID=21308,nLevel=1,nIcon=12492,nScrutinyType=true,szNote="雪凤冰王笛读条引导技",col={255,255,0,},[9]={},[8]={},tCountdown={{nClass=9,nIcon=12492,nFrame=5,szName="凛冬踏雪曲",nTime=-1,key="凛冬踏雪曲",},},},</v>
      </c>
      <c r="X21" t="s">
        <v>3524</v>
      </c>
    </row>
    <row r="22" spans="1:31" x14ac:dyDescent="0.15">
      <c r="C22">
        <v>180</v>
      </c>
      <c r="D22">
        <v>29</v>
      </c>
      <c r="H22">
        <v>1</v>
      </c>
      <c r="I22" t="s">
        <v>2747</v>
      </c>
      <c r="K22" t="s">
        <v>2168</v>
      </c>
      <c r="W22" t="str">
        <f t="shared" si="0"/>
        <v>{dwID=180,nLevel=29,nScrutinyType=true,tKungFu={["SKILL#10028"]=true,},col={0,255,0,},[9]={},[8]={},tCountdown={{nClass=9,nIcon=1514,nFrame=5,szName="KEY·秋肃",nTime=0,key="KEY·秋肃",},{nClass=9,nIcon=1514,nFrame=0,szName="",nTime="37,{$receiver}·易伤+6%;38,{$receiver}·补秋肃,VO:ShiYongTeShuJiNeng;39,{$receiver}·补秋肃;40,{$receiver}·补秋肃",nRefresh=15,key="KEY·秋肃",},},},</v>
      </c>
      <c r="X22" t="s">
        <v>3516</v>
      </c>
      <c r="Y22" t="s">
        <v>3517</v>
      </c>
    </row>
    <row r="23" spans="1:31" x14ac:dyDescent="0.15">
      <c r="C23">
        <v>567</v>
      </c>
      <c r="D23">
        <v>1</v>
      </c>
      <c r="H23">
        <v>1</v>
      </c>
      <c r="I23" t="s">
        <v>2174</v>
      </c>
      <c r="K23" t="s">
        <v>2152</v>
      </c>
      <c r="W23" t="str">
        <f t="shared" si="0"/>
        <v>{dwID=567,nLevel=1,nScrutinyType=true,tKungFu={["SKILL#10080"]=true,},col={0,255,255,},[9]={},[8]={},tCountdown={{nClass=8,nIcon=904,nFrame=5,szName="KEY·左旋右转",nTime=0,key="KEY·左旋右转",},{nClass=8,nIcon=904,nFrame=0,szName="",nTime="40,【{$sender}】·破招+4500;41,【{$sender}】·补左旋右转,VO:ShiYongTeShuJiNeng;42,【{$sender}】·补左旋右转;43,【{$sender}】·补左旋右转;64,【{$sender}】·补左旋右转",nRefresh=40,key="KEY·左旋右转",},},},</v>
      </c>
      <c r="X23" t="s">
        <v>3518</v>
      </c>
      <c r="Y23" t="s">
        <v>3519</v>
      </c>
    </row>
    <row r="24" spans="1:31" x14ac:dyDescent="0.15">
      <c r="C24">
        <v>2231</v>
      </c>
      <c r="D24">
        <v>5</v>
      </c>
      <c r="H24">
        <v>1</v>
      </c>
      <c r="I24" t="s">
        <v>3520</v>
      </c>
      <c r="K24" t="s">
        <v>2168</v>
      </c>
      <c r="W24" t="str">
        <f t="shared" si="0"/>
        <v>{dwID=2231,nLevel=5,nScrutinyType=true,tKungFu={["SKILL#10176"]=true,},col={0,255,0,},[9]={},[8]={},tCountdown={{nClass=9,nIcon=2744,nFrame=5,szName="KEY·蛊惑众生",nTime=0,key="KEY·蛊惑众生",},{nClass=9,nIcon=2744,nFrame=0,szName="",nTime="27,【{$receiver}】·蛊惑众生;28,【{$receiver}】·补蛊惑,VO:ShiYongTeShuJiNeng;29,【{$receiver}】·补蛊惑;30,【{$receiver}】·补蛊惑",nRefresh=20,key="KEY·蛊惑众生",},},},</v>
      </c>
      <c r="X24" t="s">
        <v>3521</v>
      </c>
      <c r="Y24" t="s">
        <v>3522</v>
      </c>
    </row>
    <row r="25" spans="1:31" x14ac:dyDescent="0.15">
      <c r="C25">
        <v>17</v>
      </c>
      <c r="D25">
        <v>1</v>
      </c>
      <c r="H25">
        <v>1</v>
      </c>
      <c r="I25" t="s">
        <v>3525</v>
      </c>
      <c r="W25" t="str">
        <f t="shared" si="0"/>
        <v>{dwID=17,nLevel=1,nScrutinyType=true,tKungFu={["SKILL#10028"]=true,["SKILL#10080"]=true,["SKILL#10176"]=true,["SKILL#10626"]=true,},[9]={},[8]={},tCountdown={{nClass=9,nIcon=904,nFrame=5,szName="KEY·左旋右转",nTime=0,key="KEY·左旋右转",},{nClass=9,nIcon=904,nFrame=-1,szName="",nTime=0.01,nRefresh=60,key="KEY·左旋右转",},{nClass=9,nIcon=904,nFrame=5,szName="KEY·左旋右转",nTime=-1,nRefresh=60,key="KEY·左旋右转",},{nClass=9,nIcon=15692,nFrame=5,szName="KEY·飘黄",nTime=0,key="KEY·飘黄",},{nClass=9,nIcon=15692,nFrame=-1,szName="",nTime=0.01,nRefresh=80,key="KEY·飘黄",},{nClass=9,nIcon=15692,nFrame=5,szName="KEY·飘黄",nTime=-1,nRefresh=80,key="KEY·飘黄",},{nClass=9,nIcon=2744,nFrame=5,szName="KEY·蛊惑众生",nTime=0,key="KEY·蛊惑众生",},{nClass=9,nIcon=403,nFrame=5,szName="KEY·秋肃",nTime=0,key="KEY·秋肃",},},},</v>
      </c>
      <c r="X25" t="s">
        <v>3526</v>
      </c>
      <c r="Y25" t="s">
        <v>3527</v>
      </c>
      <c r="Z25" t="s">
        <v>3528</v>
      </c>
      <c r="AA25" t="s">
        <v>3529</v>
      </c>
      <c r="AB25" t="s">
        <v>3530</v>
      </c>
      <c r="AC25" t="s">
        <v>3531</v>
      </c>
      <c r="AD25" t="s">
        <v>3521</v>
      </c>
      <c r="AE25" t="s">
        <v>3532</v>
      </c>
    </row>
    <row r="26" spans="1:31" x14ac:dyDescent="0.15">
      <c r="C26">
        <v>53</v>
      </c>
      <c r="D26">
        <v>1</v>
      </c>
      <c r="H26">
        <v>1</v>
      </c>
      <c r="I26" t="s">
        <v>3525</v>
      </c>
      <c r="W26" t="str">
        <f t="shared" si="0"/>
        <v>{dwID=53,nLevel=1,nScrutinyType=true,tKungFu={["SKILL#10028"]=true,["SKILL#10080"]=true,["SKILL#10176"]=true,["SKILL#10626"]=true,},[9]={},[8]={},tCountdown={{nClass=9,nIcon=904,nFrame=5,szName="KEY·左旋右转",nTime=0,key="KEY·左旋右转",},{nClass=9,nIcon=904,nFrame=-1,szName="",nTime=0.01,nRefresh=60,key="KEY·左旋右转",},{nClass=9,nIcon=904,nFrame=5,szName="KEY·左旋右转",nTime=-1,nRefresh=60,key="KEY·左旋右转",},{nClass=9,nIcon=15692,nFrame=5,szName="KEY·飘黄",nTime=0,key="KEY·飘黄",},{nClass=9,nIcon=15692,nFrame=-1,szName="",nTime=0.01,nRefresh=80,key="KEY·飘黄",},{nClass=9,nIcon=15692,nFrame=5,szName="KEY·飘黄",nTime=-1,nRefresh=80,key="KEY·飘黄",},{nClass=9,nIcon=2744,nFrame=5,szName="KEY·蛊惑众生",nTime=0,key="KEY·蛊惑众生",},{nClass=9,nIcon=403,nFrame=5,szName="KEY·秋肃",nTime=0,key="KEY·秋肃",},},},</v>
      </c>
      <c r="X26" t="s">
        <v>3526</v>
      </c>
      <c r="Y26" t="s">
        <v>3527</v>
      </c>
      <c r="Z26" t="s">
        <v>3528</v>
      </c>
      <c r="AA26" t="s">
        <v>3529</v>
      </c>
      <c r="AB26" t="s">
        <v>3530</v>
      </c>
      <c r="AC26" t="s">
        <v>3531</v>
      </c>
      <c r="AD26" t="s">
        <v>3521</v>
      </c>
      <c r="AE26" t="s">
        <v>3532</v>
      </c>
    </row>
    <row r="27" spans="1:31" x14ac:dyDescent="0.15">
      <c r="C27">
        <v>4097</v>
      </c>
      <c r="D27">
        <v>1</v>
      </c>
      <c r="H27">
        <v>1</v>
      </c>
      <c r="I27" t="s">
        <v>3525</v>
      </c>
      <c r="W27" t="str">
        <f t="shared" si="0"/>
        <v>{dwID=4097,nLevel=1,nScrutinyType=true,tKungFu={["SKILL#10028"]=true,["SKILL#10080"]=true,["SKILL#10176"]=true,["SKILL#10626"]=true,},[9]={},[8]={},tCountdown={{nClass=9,nIcon=904,nFrame=5,szName="KEY·左旋右转",nTime=0,key="KEY·左旋右转",},{nClass=9,nIcon=904,nFrame=-1,szName="",nTime=0.01,nRefresh=60,key="KEY·左旋右转",},{nClass=9,nIcon=904,nFrame=5,szName="KEY·左旋右转",nTime=-1,nRefresh=60,key="KEY·左旋右转",},{nClass=9,nIcon=15692,nFrame=5,szName="KEY·飘黄",nTime=0,key="KEY·飘黄",},{nClass=9,nIcon=15692,nFrame=-1,szName="",nTime=0.01,nRefresh=80,key="KEY·飘黄",},{nClass=9,nIcon=15692,nFrame=5,szName="KEY·飘黄",nTime=-1,nRefresh=80,key="KEY·飘黄",},{nClass=9,nIcon=2744,nFrame=5,szName="KEY·蛊惑众生",nTime=0,key="KEY·蛊惑众生",},{nClass=9,nIcon=403,nFrame=5,szName="KEY·秋肃",nTime=0,key="KEY·秋肃",},},},</v>
      </c>
      <c r="X27" t="s">
        <v>3526</v>
      </c>
      <c r="Y27" t="s">
        <v>3527</v>
      </c>
      <c r="Z27" t="s">
        <v>3528</v>
      </c>
      <c r="AA27" t="s">
        <v>3529</v>
      </c>
      <c r="AB27" t="s">
        <v>3530</v>
      </c>
      <c r="AC27" t="s">
        <v>3531</v>
      </c>
      <c r="AD27" t="s">
        <v>3521</v>
      </c>
      <c r="AE27" t="s">
        <v>3532</v>
      </c>
    </row>
    <row r="28" spans="1:31" x14ac:dyDescent="0.15">
      <c r="C28">
        <v>35891</v>
      </c>
      <c r="D28">
        <v>1</v>
      </c>
      <c r="K28" t="s">
        <v>2181</v>
      </c>
      <c r="W28" t="str">
        <f t="shared" si="0"/>
        <v>{dwID=35891,nLevel=1,col={255,150,0,},[9]={},[8]={},tCountdown={{nClass=-1,nIcon=17135,nFrame=5,szName="龙宫赴宴·靠近费大劲12尺",nTime=3,nRefresh=7200,key="龙宫赴宴",},},},</v>
      </c>
      <c r="X28" t="s">
        <v>3533</v>
      </c>
    </row>
    <row r="29" spans="1:31" x14ac:dyDescent="0.15">
      <c r="C29">
        <v>36469</v>
      </c>
      <c r="D29">
        <v>1</v>
      </c>
      <c r="K29" t="s">
        <v>2181</v>
      </c>
      <c r="W29" t="str">
        <f t="shared" si="0"/>
        <v>{dwID=36469,nLevel=1,col={255,150,0,},[9]={},[8]={},},</v>
      </c>
    </row>
    <row r="30" spans="1:31" x14ac:dyDescent="0.15">
      <c r="C30">
        <v>36457</v>
      </c>
      <c r="D30">
        <v>1</v>
      </c>
      <c r="K30" t="s">
        <v>2181</v>
      </c>
      <c r="W30" t="str">
        <f t="shared" si="0"/>
        <v>{dwID=36457,nLevel=1,col={255,150,0,},[9]={},[8]={},},</v>
      </c>
    </row>
    <row r="31" spans="1:31" x14ac:dyDescent="0.15">
      <c r="C31">
        <v>31338</v>
      </c>
      <c r="D31">
        <v>1</v>
      </c>
      <c r="W31" t="str">
        <f t="shared" si="0"/>
        <v>{dwID=31338,nLevel=1,[9]={},[8]={},},</v>
      </c>
    </row>
    <row r="32" spans="1:31" x14ac:dyDescent="0.15">
      <c r="C32">
        <v>31337</v>
      </c>
      <c r="D32">
        <v>1</v>
      </c>
      <c r="W32" t="str">
        <f t="shared" si="0"/>
        <v>{dwID=31337,nLevel=1,[9]={},[8]={},},</v>
      </c>
    </row>
    <row r="33" spans="1:27" x14ac:dyDescent="0.15">
      <c r="C33">
        <v>31336</v>
      </c>
      <c r="D33">
        <v>1</v>
      </c>
      <c r="W33" t="str">
        <f t="shared" si="0"/>
        <v>{dwID=31336,nLevel=1,[9]={},[8]={},},</v>
      </c>
    </row>
    <row r="34" spans="1:27" x14ac:dyDescent="0.15">
      <c r="A34" t="s">
        <v>2324</v>
      </c>
      <c r="B34">
        <v>-2</v>
      </c>
      <c r="W34" t="str">
        <f t="shared" ref="W34:W65" si="1">IF(ISBLANK(B34)=FALSE,IF(ISBLANK(B33),"},["&amp;B34&amp;"]={","["&amp;B34&amp;"]={"),IF(AND(ISBLANK(B34),ISBLANK(C34),ISBLANK(D34),OR(ISBLANK(B33)=FALSE,ISBLANK(C33)=FALSE,ISBLANK(D33)=FALSE)),"},},}",IF(ISBLANK(C34),"","{dwID="&amp;C34&amp;","&amp;"nLevel="&amp;D34&amp;","&amp;IF(E34&gt;0,"nIcon="&amp;E34&amp;",","")&amp;IF(F34&lt;&gt;"","szName="""&amp;F34&amp;""",","")&amp;IF(G34&gt;0,"bCheckLevel=true"&amp;",","")&amp;IF(H34&gt;0,"nScrutinyType=true,","")&amp;IF(I34&lt;&gt;"","tKungFu={"&amp;I34&amp;"},","")&amp;IF(J34&lt;&gt;"","szNote="""&amp;J34&amp;""",","")&amp;IF(K34&lt;&gt;"","col={"&amp;K34&amp;"},","")&amp;"[9]={"&amp;IF(L34&lt;&gt;"","tMark={"&amp;L34&amp;"},","")&amp;IF(M34&lt;&gt;"","szVoice="""&amp;M34&amp;""",","")&amp;IF(N34&gt;0,"bTeamChannel=true,","")&amp;IF(O34&gt;0,"bWhisperChannel=true,","")&amp;IF(P34&gt;0,"bCenterAlarm=true,","")&amp;"},"&amp;"[8]={"&amp;IF(Q34&lt;&gt;"","tMark={"&amp;Q34&amp;"},","")&amp;IF(R34&lt;&gt;"","szVoice="""&amp;R34&amp;""",","")&amp;IF(S34&gt;0,"bTeamChannel=true,","")&amp;IF(T34&gt;0,"bWhisperChannel=true,","")&amp;IF(U34&gt;0,"bCenterAlarm=true,","")&amp;IF(V34&gt;0,"bScreenHead=true,","")&amp;"},"&amp;IF(X34&lt;&gt;"","tCountdown={"&amp;_xlfn.TEXTJOIN("",TRUE,X34:AAB34)&amp;"},","")&amp;"},")))</f>
        <v>},[-2]={</v>
      </c>
    </row>
    <row r="35" spans="1:27" x14ac:dyDescent="0.15">
      <c r="C35">
        <v>21308</v>
      </c>
      <c r="D35">
        <v>1</v>
      </c>
      <c r="E35">
        <v>12492</v>
      </c>
      <c r="H35">
        <v>1</v>
      </c>
      <c r="I35" t="s">
        <v>2149</v>
      </c>
      <c r="J35" t="s">
        <v>3509</v>
      </c>
      <c r="K35" t="s">
        <v>2143</v>
      </c>
      <c r="W35" t="str">
        <f t="shared" si="1"/>
        <v>{dwID=21308,nLevel=1,nIcon=12492,nScrutinyType=true,tKungFu={["SKILL#10021"]=true,["SKILL#10028"]=true,},szNote="雪凤冰王笛读条引导技",col={255,255,0,},[9]={},[8]={},tCountdown={{nClass=9,nIcon=12492,nFrame=5,szName="凛冬踏雪曲",nTime=-2,key="凛冬踏雪曲",},{nClass=8,nIcon=12492,nFrame=7,szName="凛冬踏雪曲",nTime=12,key="凛冬踏雪曲",},{nClass=8,nIcon=12492,nFrame=6,szName="飞雪·7尺内一朵冰花爆炸",nTime=12.1,key="凛冬踏雪曲·提示1",},{nClass=8,nIcon=12492,nFrame=6,szName="冰葬·冰花全部为相同目标",nTime=12.1,key="凛冬踏雪曲·提示2",},},},</v>
      </c>
      <c r="X35" t="s">
        <v>3510</v>
      </c>
      <c r="Y35" t="s">
        <v>3511</v>
      </c>
      <c r="Z35" t="s">
        <v>3512</v>
      </c>
      <c r="AA35" t="s">
        <v>3513</v>
      </c>
    </row>
    <row r="36" spans="1:27" x14ac:dyDescent="0.15">
      <c r="C36">
        <v>22043</v>
      </c>
      <c r="D36">
        <v>1</v>
      </c>
      <c r="E36">
        <v>19419</v>
      </c>
      <c r="H36">
        <v>1</v>
      </c>
      <c r="I36" t="s">
        <v>2149</v>
      </c>
      <c r="J36" t="s">
        <v>3509</v>
      </c>
      <c r="K36" t="s">
        <v>2143</v>
      </c>
      <c r="W36" t="str">
        <f t="shared" si="1"/>
        <v>{dwID=22043,nLevel=1,nIcon=19419,nScrutinyType=true,tKungFu={["SKILL#10021"]=true,["SKILL#10028"]=true,},szNote="雪凤冰王笛读条引导技",col={255,255,0,},[9]={},[8]={},},</v>
      </c>
    </row>
    <row r="37" spans="1:27" x14ac:dyDescent="0.15">
      <c r="C37">
        <v>22078</v>
      </c>
      <c r="D37">
        <v>1</v>
      </c>
      <c r="E37">
        <v>13823</v>
      </c>
      <c r="F37" t="s">
        <v>3534</v>
      </c>
      <c r="H37">
        <v>1</v>
      </c>
      <c r="I37" t="s">
        <v>2149</v>
      </c>
      <c r="J37" t="s">
        <v>3535</v>
      </c>
      <c r="K37" t="s">
        <v>2152</v>
      </c>
      <c r="W37" t="str">
        <f t="shared" si="1"/>
        <v>{dwID=22078,nLevel=1,nIcon=13823,szName="不知为何叹",nScrutinyType=true,tKungFu={["SKILL#10021"]=true,["SKILL#10028"]=true,},szNote="不知为何叹22078",col={0,255,255,},[9]={},[8]={},tCountdown={{nClass=9,nIcon=13823,nFrame=5,szName="不知为何叹",nTime=1,key="不知为何叹",},},},</v>
      </c>
      <c r="X37" t="s">
        <v>3536</v>
      </c>
    </row>
    <row r="38" spans="1:27" x14ac:dyDescent="0.15">
      <c r="C38">
        <v>22047</v>
      </c>
      <c r="D38">
        <v>1</v>
      </c>
      <c r="E38">
        <v>7372</v>
      </c>
      <c r="H38">
        <v>1</v>
      </c>
      <c r="I38" t="s">
        <v>2149</v>
      </c>
      <c r="J38" t="s">
        <v>3537</v>
      </c>
      <c r="K38" t="s">
        <v>2152</v>
      </c>
      <c r="W38" t="str">
        <f t="shared" si="1"/>
        <v>{dwID=22047,nLevel=1,nIcon=7372,nScrutinyType=true,tKungFu={["SKILL#10021"]=true,["SKILL#10028"]=true,},szNote="冰荷花普通攻击技能",col={0,255,255,},[9]={},[8]={},},</v>
      </c>
    </row>
    <row r="39" spans="1:27" x14ac:dyDescent="0.15">
      <c r="C39">
        <v>21309</v>
      </c>
      <c r="D39">
        <v>1</v>
      </c>
      <c r="E39">
        <v>7487</v>
      </c>
      <c r="I39" t="s">
        <v>2149</v>
      </c>
      <c r="J39" t="s">
        <v>3538</v>
      </c>
      <c r="K39" t="s">
        <v>2152</v>
      </c>
      <c r="W39" t="str">
        <f t="shared" si="1"/>
        <v>{dwID=21309,nLevel=1,nIcon=7487,tKungFu={["SKILL#10021"]=true,["SKILL#10028"]=true,},szNote="冰荷花爆炸技能",col={0,255,255,},[9]={},[8]={},tCountdown={{nClass=9,nIcon=7487,nFrame=5,szName="冰荷花·爆炸",nTime=2,key="孤望飞霜满",},},},</v>
      </c>
      <c r="X39" t="s">
        <v>3539</v>
      </c>
    </row>
    <row r="40" spans="1:27" x14ac:dyDescent="0.15">
      <c r="C40">
        <v>23405</v>
      </c>
      <c r="D40">
        <v>1</v>
      </c>
      <c r="E40">
        <v>7507</v>
      </c>
      <c r="H40">
        <v>1</v>
      </c>
      <c r="I40" t="s">
        <v>2149</v>
      </c>
      <c r="J40" t="s">
        <v>3538</v>
      </c>
      <c r="W40" t="str">
        <f t="shared" si="1"/>
        <v>{dwID=23405,nLevel=1,nIcon=7507,nScrutinyType=true,tKungFu={["SKILL#10021"]=true,["SKILL#10028"]=true,},szNote="冰荷花爆炸技能",[9]={},[8]={},},</v>
      </c>
    </row>
    <row r="41" spans="1:27" x14ac:dyDescent="0.15">
      <c r="C41">
        <v>23404</v>
      </c>
      <c r="D41">
        <v>1</v>
      </c>
      <c r="E41">
        <v>610</v>
      </c>
      <c r="H41">
        <v>1</v>
      </c>
      <c r="I41" t="s">
        <v>2149</v>
      </c>
      <c r="J41" t="s">
        <v>3540</v>
      </c>
      <c r="K41" t="s">
        <v>2143</v>
      </c>
      <c r="W41" t="str">
        <f t="shared" si="1"/>
        <v>{dwID=23404,nLevel=1,nIcon=610,nScrutinyType=true,tKungFu={["SKILL#10021"]=true,["SKILL#10028"]=true,},szNote="判定后续技能触发及释",col={255,255,0,},[9]={},[8]={},},</v>
      </c>
    </row>
    <row r="42" spans="1:27" x14ac:dyDescent="0.15">
      <c r="C42">
        <v>23402</v>
      </c>
      <c r="D42">
        <v>1</v>
      </c>
      <c r="E42">
        <v>7445</v>
      </c>
      <c r="H42">
        <v>1</v>
      </c>
      <c r="I42" t="s">
        <v>2149</v>
      </c>
      <c r="J42" t="s">
        <v>3541</v>
      </c>
      <c r="K42" t="s">
        <v>2152</v>
      </c>
      <c r="W42" t="str">
        <f t="shared" si="1"/>
        <v>{dwID=23402,nLevel=1,nIcon=7445,nScrutinyType=true,tKungFu={["SKILL#10021"]=true,["SKILL#10028"]=true,},szNote="商阳指触发",col={0,255,255,},[9]={},[8]={},tCountdown={{nClass=9,nIcon=1444,nFrame=5,szName="寒泉",nTime=0,key="寒泉",},{nClass=9,nIcon=7445,nFrame=5,szName="商阳指·飞指抖霜",nTime=2,key="飞指抖霜",},},},</v>
      </c>
      <c r="X42" t="s">
        <v>3542</v>
      </c>
      <c r="Y42" t="s">
        <v>3543</v>
      </c>
    </row>
    <row r="43" spans="1:27" x14ac:dyDescent="0.15">
      <c r="C43">
        <v>22075</v>
      </c>
      <c r="D43">
        <v>1</v>
      </c>
      <c r="E43">
        <v>7453</v>
      </c>
      <c r="H43">
        <v>1</v>
      </c>
      <c r="I43" t="s">
        <v>2149</v>
      </c>
      <c r="J43" t="s">
        <v>3544</v>
      </c>
      <c r="K43" t="s">
        <v>2152</v>
      </c>
      <c r="W43" t="str">
        <f t="shared" si="1"/>
        <v>{dwID=22075,nLevel=1,nIcon=7453,nScrutinyType=true,tKungFu={["SKILL#10021"]=true,["SKILL#10028"]=true,},szNote="乱洒青荷触发",col={0,255,255,},[9]={},[8]={},tCountdown={{nClass=9,nIcon=1444,nFrame=5,szName="寒泉",nTime=0,key="寒泉",},{nClass=9,nIcon=7453,nFrame=5,szName="乱洒清荷·雪凤舞连天",nTime=-2,key="雪凤舞连天",},{nClass=9,nIcon=7453,nFrame=5,szName="乱洒清荷·雪凤舞连天",nTime=2,key="雪凤舞连天",},},},</v>
      </c>
      <c r="X43" t="s">
        <v>3542</v>
      </c>
      <c r="Y43" t="s">
        <v>3545</v>
      </c>
      <c r="Z43" t="s">
        <v>3546</v>
      </c>
    </row>
    <row r="44" spans="1:27" x14ac:dyDescent="0.15">
      <c r="C44">
        <v>22077</v>
      </c>
      <c r="D44">
        <v>1</v>
      </c>
      <c r="E44">
        <v>11826</v>
      </c>
      <c r="F44" t="s">
        <v>2340</v>
      </c>
      <c r="H44">
        <v>1</v>
      </c>
      <c r="I44" t="s">
        <v>2149</v>
      </c>
      <c r="J44" t="s">
        <v>3547</v>
      </c>
      <c r="K44" t="s">
        <v>2168</v>
      </c>
      <c r="W44" t="str">
        <f t="shared" si="1"/>
        <v>{dwID=22077,nLevel=1,nIcon=11826,szName="真药苦中叹",nScrutinyType=true,tKungFu={["SKILL#10021"]=true,["SKILL#10028"]=true,},szNote="真药苦中叹22077",col={0,255,0,},[9]={},[8]={},tCountdown={{nClass=9,nIcon=1444,nFrame=5,szName="寒泉",nTime=0,key="寒泉",},{nClass=9,nIcon=11826,nFrame=5,szName="握针·真药苦中叹",nTime=2,key="真药苦中叹",},},},</v>
      </c>
      <c r="X44" t="s">
        <v>3542</v>
      </c>
      <c r="Y44" t="s">
        <v>3548</v>
      </c>
    </row>
    <row r="45" spans="1:27" x14ac:dyDescent="0.15">
      <c r="C45">
        <v>22048</v>
      </c>
      <c r="D45">
        <v>7</v>
      </c>
      <c r="E45">
        <v>1520</v>
      </c>
      <c r="F45" t="s">
        <v>2343</v>
      </c>
      <c r="H45">
        <v>1</v>
      </c>
      <c r="I45" t="s">
        <v>2149</v>
      </c>
      <c r="J45" t="s">
        <v>3549</v>
      </c>
      <c r="K45" t="s">
        <v>2152</v>
      </c>
      <c r="W45" t="str">
        <f t="shared" si="1"/>
        <v>{dwID=22048,nLevel=7,nIcon=1520,szName="冷月照独帆",nScrutinyType=true,tKungFu={["SKILL#10021"]=true,["SKILL#10028"]=true,},szNote="冷月照独帆22048",col={0,255,255,},[9]={},[8]={},tCountdown={{nClass=9,nIcon=1444,nFrame=5,szName="寒泉",nTime=0,key="寒泉",},{nClass=9,nIcon=1520,nFrame=5,szName="星楼月影·冷月照独帆",nTime=2,key="冷月照独帆",},},},</v>
      </c>
      <c r="X45" t="s">
        <v>3542</v>
      </c>
      <c r="Y45" t="s">
        <v>3550</v>
      </c>
    </row>
    <row r="46" spans="1:27" x14ac:dyDescent="0.15">
      <c r="C46">
        <v>22076</v>
      </c>
      <c r="D46">
        <v>7</v>
      </c>
      <c r="E46">
        <v>617</v>
      </c>
      <c r="F46" t="s">
        <v>3551</v>
      </c>
      <c r="H46">
        <v>1</v>
      </c>
      <c r="I46" t="s">
        <v>2149</v>
      </c>
      <c r="J46" t="s">
        <v>3552</v>
      </c>
      <c r="K46" t="s">
        <v>2168</v>
      </c>
      <c r="W46" t="str">
        <f t="shared" si="1"/>
        <v>{dwID=22076,nLevel=7,nIcon=617,szName="无花只有寒",nScrutinyType=true,tKungFu={["SKILL#10021"]=true,["SKILL#10028"]=true,},szNote="无花只有寒22076",col={0,255,0,},[9]={},[8]={},tCountdown={{nClass=9,nIcon=1444,nFrame=5,szName="寒泉",nTime=0,key="寒泉",},{nClass=9,nIcon=617,nFrame=5,szName="春泥护花·无花只有寒",nTime=2,key="无花只有寒",},},},</v>
      </c>
      <c r="X46" t="s">
        <v>3542</v>
      </c>
      <c r="Y46" t="s">
        <v>3553</v>
      </c>
    </row>
    <row r="47" spans="1:27" x14ac:dyDescent="0.15">
      <c r="C47">
        <v>22074</v>
      </c>
      <c r="D47">
        <v>1</v>
      </c>
      <c r="E47">
        <v>3553</v>
      </c>
      <c r="F47" t="s">
        <v>3554</v>
      </c>
      <c r="J47" t="s">
        <v>3555</v>
      </c>
      <c r="K47" t="s">
        <v>2168</v>
      </c>
      <c r="W47" t="str">
        <f t="shared" si="1"/>
        <v>{dwID=22074,nLevel=1,nIcon=3553,szName="碧水聚河川",szNote="碧水聚河川22074",col={0,255,0,},[9]={},[8]={},tCountdown={{nClass=9,nIcon=1444,nFrame=5,szName="寒泉",nTime=0,key="寒泉",},{nClass=9,nIcon=3553,nFrame=5,szName="碧水滔天·碧水聚河川",nTime=2,key="碧水聚河川",},},},</v>
      </c>
      <c r="X47" t="s">
        <v>3542</v>
      </c>
      <c r="Y47" t="s">
        <v>3556</v>
      </c>
    </row>
    <row r="48" spans="1:27" x14ac:dyDescent="0.15">
      <c r="C48">
        <v>23403</v>
      </c>
      <c r="D48">
        <v>1</v>
      </c>
      <c r="E48">
        <v>7367</v>
      </c>
      <c r="H48">
        <v>1</v>
      </c>
      <c r="I48" t="s">
        <v>2149</v>
      </c>
      <c r="J48" t="s">
        <v>3557</v>
      </c>
      <c r="K48" t="s">
        <v>2168</v>
      </c>
      <c r="W48" t="str">
        <f t="shared" si="1"/>
        <v>{dwID=23403,nLevel=1,nIcon=7367,nScrutinyType=true,tKungFu={["SKILL#10021"]=true,["SKILL#10028"]=true,},szNote="历音吹雪23403",col={0,255,0,},[9]={},[8]={},tCountdown={{nClass=9,nIcon=1444,nFrame=5,szName="寒泉",nTime=0,key="寒泉",},{nClass=9,nIcon=7367,nFrame=5,szName="听风吹雪·历音吹雪",nTime=2,key="历音吹雪",},},},</v>
      </c>
      <c r="X48" t="s">
        <v>3542</v>
      </c>
      <c r="Y48" t="s">
        <v>3558</v>
      </c>
    </row>
    <row r="49" spans="1:31" x14ac:dyDescent="0.15">
      <c r="C49">
        <v>34244</v>
      </c>
      <c r="D49">
        <v>1</v>
      </c>
      <c r="H49">
        <v>1</v>
      </c>
      <c r="I49" t="s">
        <v>2344</v>
      </c>
      <c r="W49" t="str">
        <f t="shared" si="1"/>
        <v>{dwID=34244,nLevel=1,nScrutinyType=true,tKungFu={["SKILL#10175"]=true,["SKILL#10176"]=true,},[9]={},[8]={},},</v>
      </c>
    </row>
    <row r="50" spans="1:31" x14ac:dyDescent="0.15">
      <c r="C50">
        <v>22851</v>
      </c>
      <c r="D50">
        <v>1</v>
      </c>
      <c r="H50">
        <v>1</v>
      </c>
      <c r="I50" t="s">
        <v>2344</v>
      </c>
      <c r="W50" t="str">
        <f t="shared" si="1"/>
        <v>{dwID=22851,nLevel=1,nScrutinyType=true,tKungFu={["SKILL#10175"]=true,["SKILL#10176"]=true,},[9]={},[8]={},},</v>
      </c>
    </row>
    <row r="51" spans="1:31" x14ac:dyDescent="0.15">
      <c r="A51" t="s">
        <v>2327</v>
      </c>
      <c r="B51">
        <v>-1</v>
      </c>
      <c r="W51" t="str">
        <f t="shared" si="1"/>
        <v>},[-1]={</v>
      </c>
    </row>
    <row r="52" spans="1:31" x14ac:dyDescent="0.15">
      <c r="C52">
        <v>608</v>
      </c>
      <c r="D52">
        <v>1</v>
      </c>
      <c r="H52">
        <v>1</v>
      </c>
      <c r="K52" t="s">
        <v>2143</v>
      </c>
      <c r="W52" t="str">
        <f t="shared" si="1"/>
        <v>{dwID=608,nLevel=1,nScrutinyType=true,col={255,255,0,},[9]={},[8]={},tCountdown={{nClass=8,nIcon=332,nFrame=5,szName="{$S608}·清除dbm",nTime=15,nRefresh=1,key="自绝经脉·清除dbm",},{nClass=9,nIcon=332,nFrame=5,szName="【{$sender}】释放 {$S608}",nTime=1,nRefresh=2,key="自绝经脉·是谁",},{nClass=8,nIcon=332,nFrame=5,szName="套马杆",nTime=0,key="套马杆",},{nClass=8,nIcon=332,nFrame=5,szName="的卢",nTime=0,key="的卢",},{nClass=8,nIcon=332,nFrame=5,szName="攻防活动",nTime=0,key="攻防活动",},},},</v>
      </c>
      <c r="X52" t="s">
        <v>3559</v>
      </c>
      <c r="Y52" t="s">
        <v>3560</v>
      </c>
      <c r="Z52" t="s">
        <v>3561</v>
      </c>
      <c r="AA52" t="s">
        <v>3562</v>
      </c>
      <c r="AB52" t="s">
        <v>3563</v>
      </c>
    </row>
    <row r="53" spans="1:31" x14ac:dyDescent="0.15">
      <c r="C53">
        <v>9007</v>
      </c>
      <c r="D53">
        <v>1</v>
      </c>
      <c r="H53">
        <v>1</v>
      </c>
      <c r="W53" t="str">
        <f t="shared" si="1"/>
        <v>{dwID=9007,nLevel=1,nScrutinyType=true,[9]={},[8]={},tCountdown={{nClass=9,nIcon=12249,nFrame=5,szName="后撤·公CD",nTime=2.5,key="后撤",},},},</v>
      </c>
      <c r="X53" t="s">
        <v>3564</v>
      </c>
    </row>
    <row r="54" spans="1:31" x14ac:dyDescent="0.15">
      <c r="C54">
        <v>2654</v>
      </c>
      <c r="D54">
        <v>1</v>
      </c>
      <c r="K54" t="s">
        <v>2168</v>
      </c>
      <c r="W54" t="str">
        <f t="shared" si="1"/>
        <v>{dwID=2654,nLevel=1,col={0,255,0,},[9]={},[8]={},tCountdown={{nClass=8,nIcon=3004,nFrame=5,szName="【{$sender}】·利针·【{$receiver}】",nTime=1.2,nRefresh=1,key="玩家驱友技能",},{nClass=9,nIcon=3004,nFrame=5,szName="玩家驱友技能",nTime=-1,key="玩家驱友技能",},},},</v>
      </c>
      <c r="X54" t="s">
        <v>3565</v>
      </c>
      <c r="Y54" t="s">
        <v>3566</v>
      </c>
    </row>
    <row r="55" spans="1:31" x14ac:dyDescent="0.15">
      <c r="C55">
        <v>27675</v>
      </c>
      <c r="D55">
        <v>1</v>
      </c>
      <c r="I55" t="s">
        <v>3444</v>
      </c>
      <c r="W55" t="str">
        <f t="shared" si="1"/>
        <v>{dwID=27675,nLevel=1,tKungFu={["SKILL#10626"]=true,["SKILL#10627"]=true,},[9]={},[8]={},tCountdown={{nClass=9,nIcon=15422,nFrame=0,szName="【{$sender}】{$S27675}{$receiveer}",nTime=4,key="枯木苏息",},},},</v>
      </c>
      <c r="X55" t="s">
        <v>3567</v>
      </c>
    </row>
    <row r="56" spans="1:31" x14ac:dyDescent="0.15">
      <c r="C56">
        <v>180</v>
      </c>
      <c r="D56">
        <v>29</v>
      </c>
      <c r="H56">
        <v>1</v>
      </c>
      <c r="I56" t="s">
        <v>2747</v>
      </c>
      <c r="K56" t="s">
        <v>2168</v>
      </c>
      <c r="W56" t="str">
        <f t="shared" si="1"/>
        <v>{dwID=180,nLevel=29,nScrutinyType=true,tKungFu={["SKILL#10028"]=true,},col={0,255,0,},[9]={},[8]={},tCountdown={{nClass=9,nIcon=1514,nFrame=5,szName="KEY·秋肃",nTime=0,key="KEY·秋肃",},{nClass=9,nIcon=1514,nFrame=0,szName="",nTime="37,{$receiver}·易伤+6%;38,{$receiver}·补秋肃;39,{$receiver}·补秋肃;40,{$receiver}·补秋肃",nRefresh=15,key="KEY·秋肃",},},},</v>
      </c>
      <c r="X56" t="s">
        <v>3516</v>
      </c>
      <c r="Y56" t="s">
        <v>3568</v>
      </c>
    </row>
    <row r="57" spans="1:31" x14ac:dyDescent="0.15">
      <c r="C57">
        <v>2231</v>
      </c>
      <c r="D57">
        <v>5</v>
      </c>
      <c r="H57">
        <v>1</v>
      </c>
      <c r="I57" t="s">
        <v>3520</v>
      </c>
      <c r="K57" t="s">
        <v>2168</v>
      </c>
      <c r="W57" t="str">
        <f t="shared" si="1"/>
        <v>{dwID=2231,nLevel=5,nScrutinyType=true,tKungFu={["SKILL#10176"]=true,},col={0,255,0,},[9]={},[8]={},tCountdown={{nClass=9,nIcon=2744,nFrame=5,szName="KEY·蛊惑众生",nTime=0,key="KEY·蛊惑众生",},{nClass=9,nIcon=2744,nFrame=0,szName="",nTime="27,【{$receiver}】·蛊惑众生;28,【{$receiver}】·补蛊惑;29,【{$receiver}】·补蛊惑;30,【{$receiver}】·补蛊惑",nRefresh=20,key="KEY·蛊惑众生",},},},</v>
      </c>
      <c r="X57" t="s">
        <v>3521</v>
      </c>
      <c r="Y57" t="s">
        <v>3569</v>
      </c>
    </row>
    <row r="58" spans="1:31" x14ac:dyDescent="0.15">
      <c r="C58">
        <v>567</v>
      </c>
      <c r="D58">
        <v>1</v>
      </c>
      <c r="H58">
        <v>1</v>
      </c>
      <c r="I58" t="s">
        <v>2174</v>
      </c>
      <c r="K58" t="s">
        <v>2152</v>
      </c>
      <c r="W58" t="str">
        <f t="shared" si="1"/>
        <v>{dwID=567,nLevel=1,nScrutinyType=true,tKungFu={["SKILL#10080"]=true,},col={0,255,255,},[9]={},[8]={},tCountdown={{nClass=8,nIcon=904,nFrame=5,szName="KEY·左旋右转",nTime=0,key="KEY·左旋右转",},{nClass=8,nIcon=904,nFrame=0,szName="",nTime="40,【{$sender}】·破招+4500;41,【{$sender}】·补左旋右转;42,【{$sender}】·补左旋右转;43,【{$sender}】·补左旋右转",nRefresh=40,key="KEY·左旋右转",},},},</v>
      </c>
      <c r="X58" t="s">
        <v>3518</v>
      </c>
      <c r="Y58" t="s">
        <v>3570</v>
      </c>
    </row>
    <row r="59" spans="1:31" x14ac:dyDescent="0.15">
      <c r="C59">
        <v>35</v>
      </c>
      <c r="D59">
        <v>1</v>
      </c>
      <c r="K59" t="s">
        <v>2168</v>
      </c>
      <c r="W59" t="str">
        <f t="shared" si="1"/>
        <v>{dwID=35,nLevel=1,col={0,255,0,},[9]={},[8]={},tCountdown={{nClass=8,nIcon=2111,nFrame=5,szName="传功【{$sender}】→【{$receiver}】",nTime=121,key="传功·{$sender}",},{nClass=9,nIcon=2111,nFrame=5,szName="完成传功【{$sender}】→【{$receiver}】",nTime=2,key="传功完成·{$sender}",},},},</v>
      </c>
      <c r="X59" t="s">
        <v>3571</v>
      </c>
      <c r="Y59" t="s">
        <v>3572</v>
      </c>
    </row>
    <row r="60" spans="1:31" x14ac:dyDescent="0.15">
      <c r="C60">
        <v>2234</v>
      </c>
      <c r="D60">
        <v>1</v>
      </c>
      <c r="K60" t="s">
        <v>2168</v>
      </c>
      <c r="W60" t="str">
        <f t="shared" si="1"/>
        <v>{dwID=2234,nLevel=1,col={0,255,0,},[9]={},[8]={},tCountdown={{nClass=9,nIcon=2747,nFrame=0,szName="【{$sender}】·仙王蛊鼎",nTime=25,nRefresh=1,key="仙王蛊鼎",},{nClass=8,nIcon=2747,nFrame=5,szName="仙王蛊鼎·{$sender}",nTime=0,key="仙王蛊鼎",},},},</v>
      </c>
      <c r="X60" t="s">
        <v>3573</v>
      </c>
      <c r="Y60" t="s">
        <v>3574</v>
      </c>
    </row>
    <row r="61" spans="1:31" x14ac:dyDescent="0.15">
      <c r="C61">
        <v>17</v>
      </c>
      <c r="D61">
        <v>1</v>
      </c>
      <c r="H61">
        <v>1</v>
      </c>
      <c r="I61" t="s">
        <v>3525</v>
      </c>
      <c r="W61" t="str">
        <f t="shared" si="1"/>
        <v>{dwID=17,nLevel=1,nScrutinyType=true,tKungFu={["SKILL#10028"]=true,["SKILL#10080"]=true,["SKILL#10176"]=true,["SKILL#10626"]=true,},[9]={},[8]={},tCountdown={{nClass=9,nIcon=904,nFrame=5,szName="KEY·左旋右转",nTime=0,key="KEY·左旋右转",},{nClass=9,nIcon=904,nFrame=-1,szName="",nTime=0.01,nRefresh=60,key="KEY·左旋右转",},{nClass=9,nIcon=904,nFrame=5,szName="KEY·左旋右转",nTime=-1,nRefresh=60,key="KEY·左旋右转",},{nClass=9,nIcon=15692,nFrame=5,szName="KEY·飘黄",nTime=0,key="KEY·飘黄",},{nClass=9,nIcon=15692,nFrame=-1,szName="",nTime=0.01,nRefresh=80,key="KEY·飘黄",},{nClass=9,nIcon=15692,nFrame=5,szName="KEY·飘黄",nTime=-1,nRefresh=80,key="KEY·飘黄",},{nClass=9,nIcon=2744,nFrame=5,szName="KEY·蛊惑众生",nTime=0,key="KEY·蛊惑众生",},{nClass=9,nIcon=403,nFrame=5,szName="KEY·秋肃",nTime=0,key="KEY·秋肃",},},},</v>
      </c>
      <c r="X61" t="s">
        <v>3526</v>
      </c>
      <c r="Y61" t="s">
        <v>3527</v>
      </c>
      <c r="Z61" t="s">
        <v>3528</v>
      </c>
      <c r="AA61" t="s">
        <v>3529</v>
      </c>
      <c r="AB61" t="s">
        <v>3530</v>
      </c>
      <c r="AC61" t="s">
        <v>3531</v>
      </c>
      <c r="AD61" t="s">
        <v>3521</v>
      </c>
      <c r="AE61" t="s">
        <v>3532</v>
      </c>
    </row>
    <row r="62" spans="1:31" x14ac:dyDescent="0.15">
      <c r="C62">
        <v>31254</v>
      </c>
      <c r="D62">
        <v>1</v>
      </c>
      <c r="H62">
        <v>2</v>
      </c>
      <c r="K62" t="s">
        <v>2168</v>
      </c>
      <c r="W62" t="str">
        <f t="shared" si="1"/>
        <v>{dwID=31254,nLevel=1,nScrutinyType=true,col={0,255,0,},[9]={},[8]={},tCountdown={{nClass=8,nIcon=13,nFrame=6,szName="【{$sender}】正在切心法",nTime=15,key="切心法",},},},</v>
      </c>
      <c r="X62" t="s">
        <v>3575</v>
      </c>
    </row>
    <row r="63" spans="1:31" x14ac:dyDescent="0.15">
      <c r="C63">
        <v>31468</v>
      </c>
      <c r="D63">
        <v>1</v>
      </c>
      <c r="H63">
        <v>2</v>
      </c>
      <c r="K63" t="s">
        <v>2168</v>
      </c>
      <c r="W63" t="str">
        <f t="shared" si="1"/>
        <v>{dwID=31468,nLevel=1,nScrutinyType=true,col={0,255,0,},[9]={},[8]={},tCountdown={{nClass=8,nIcon=13,nFrame=6,szName="【{$sender}】正在切奇穴",nTime=3,key="切心法",},},},</v>
      </c>
      <c r="X63" t="s">
        <v>3576</v>
      </c>
    </row>
    <row r="64" spans="1:31" x14ac:dyDescent="0.15">
      <c r="C64">
        <v>13165</v>
      </c>
      <c r="D64">
        <v>1</v>
      </c>
      <c r="H64">
        <v>2</v>
      </c>
      <c r="K64" t="s">
        <v>2168</v>
      </c>
      <c r="W64" t="str">
        <f t="shared" si="1"/>
        <v>{dwID=13165,nLevel=1,nScrutinyType=true,col={0,255,0,},[9]={},[8]={},tCountdown={{nClass=8,nIcon=13,nFrame=6,szName="【{$sender}】正在切心法",nTime=15,key="切心法",},},},</v>
      </c>
      <c r="X64" t="s">
        <v>3575</v>
      </c>
    </row>
    <row r="65" spans="1:25" x14ac:dyDescent="0.15">
      <c r="A65" t="s">
        <v>756</v>
      </c>
      <c r="B65">
        <v>74</v>
      </c>
      <c r="W65" t="str">
        <f t="shared" si="1"/>
        <v>},[74]={</v>
      </c>
    </row>
    <row r="66" spans="1:25" x14ac:dyDescent="0.15">
      <c r="C66">
        <v>7612</v>
      </c>
      <c r="D66">
        <v>1</v>
      </c>
      <c r="H66">
        <v>1</v>
      </c>
      <c r="W66" t="str">
        <f t="shared" ref="W66:W97" si="2">IF(ISBLANK(B66)=FALSE,IF(ISBLANK(B65),"},["&amp;B66&amp;"]={","["&amp;B66&amp;"]={"),IF(AND(ISBLANK(B66),ISBLANK(C66),ISBLANK(D66),OR(ISBLANK(B65)=FALSE,ISBLANK(C65)=FALSE,ISBLANK(D65)=FALSE)),"},},}",IF(ISBLANK(C66),"","{dwID="&amp;C66&amp;","&amp;"nLevel="&amp;D66&amp;","&amp;IF(E66&gt;0,"nIcon="&amp;E66&amp;",","")&amp;IF(F66&lt;&gt;"","szName="""&amp;F66&amp;""",","")&amp;IF(G66&gt;0,"bCheckLevel=true"&amp;",","")&amp;IF(H66&gt;0,"nScrutinyType=true,","")&amp;IF(I66&lt;&gt;"","tKungFu={"&amp;I66&amp;"},","")&amp;IF(J66&lt;&gt;"","szNote="""&amp;J66&amp;""",","")&amp;IF(K66&lt;&gt;"","col={"&amp;K66&amp;"},","")&amp;"[9]={"&amp;IF(L66&lt;&gt;"","tMark={"&amp;L66&amp;"},","")&amp;IF(M66&lt;&gt;"","szVoice="""&amp;M66&amp;""",","")&amp;IF(N66&gt;0,"bTeamChannel=true,","")&amp;IF(O66&gt;0,"bWhisperChannel=true,","")&amp;IF(P66&gt;0,"bCenterAlarm=true,","")&amp;"},"&amp;"[8]={"&amp;IF(Q66&lt;&gt;"","tMark={"&amp;Q66&amp;"},","")&amp;IF(R66&lt;&gt;"","szVoice="""&amp;R66&amp;""",","")&amp;IF(S66&gt;0,"bTeamChannel=true,","")&amp;IF(T66&gt;0,"bWhisperChannel=true,","")&amp;IF(U66&gt;0,"bCenterAlarm=true,","")&amp;IF(V66&gt;0,"bScreenHead=true,","")&amp;"},"&amp;IF(X66&lt;&gt;"","tCountdown={"&amp;_xlfn.TEXTJOIN("",TRUE,X66:AAB66)&amp;"},","")&amp;"},")))</f>
        <v>{dwID=7612,nLevel=1,nScrutinyType=true,[9]={},[8]={},tCountdown={{nClass=8,nIcon=3481,nFrame=5,szName="{$S7612}【{$receiver}】",nTime=10,key="套马",},{nClass=9,nIcon=3481,nFrame=5,szName="套马",nTime=0,key="套马",},},},</v>
      </c>
      <c r="X66" t="s">
        <v>3514</v>
      </c>
      <c r="Y66" t="s">
        <v>3515</v>
      </c>
    </row>
    <row r="67" spans="1:25" x14ac:dyDescent="0.15">
      <c r="A67" t="s">
        <v>778</v>
      </c>
      <c r="B67">
        <v>120</v>
      </c>
      <c r="W67" t="str">
        <f t="shared" si="2"/>
        <v>},[120]={</v>
      </c>
    </row>
    <row r="68" spans="1:25" x14ac:dyDescent="0.15">
      <c r="C68">
        <v>2808</v>
      </c>
      <c r="D68">
        <v>1</v>
      </c>
      <c r="F68" t="s">
        <v>3577</v>
      </c>
      <c r="K68" t="s">
        <v>3578</v>
      </c>
      <c r="L68" t="s">
        <v>3579</v>
      </c>
      <c r="P68">
        <v>1</v>
      </c>
      <c r="Q68" t="s">
        <v>3579</v>
      </c>
      <c r="W68" t="str">
        <f t="shared" si="2"/>
        <v>{dwID=2808,nLevel=1,szName="{$S2808}·打断",col={31,255,31,},[9]={tMark={false,false,false,false,false,true,false,false,false,false,},bCenterAlarm=true,},[8]={tMark={false,false,false,false,false,true,false,false,false,false,},},tCountdown={{nClass=8,nIcon=13,nFrame=2,szName="再生·打断·剪刀",nTime=38,key="再生",},},},</v>
      </c>
      <c r="X68" t="s">
        <v>3580</v>
      </c>
    </row>
    <row r="69" spans="1:25" x14ac:dyDescent="0.15">
      <c r="C69">
        <v>3049</v>
      </c>
      <c r="D69">
        <v>1</v>
      </c>
      <c r="Q69" t="s">
        <v>3581</v>
      </c>
      <c r="U69">
        <v>1</v>
      </c>
      <c r="W69" t="str">
        <f t="shared" si="2"/>
        <v>{dwID=3049,nLevel=1,[9]={},[8]={tMark={false,false,false,false,false,false,true,false,false,false,},bCenterAlarm=true,},tCountdown={{nClass=9,nIcon=13,nFrame=5,szName="棒槌·下一条蛇·甩头",nTime=6.9,},},},</v>
      </c>
      <c r="X69" t="s">
        <v>3582</v>
      </c>
    </row>
    <row r="70" spans="1:25" x14ac:dyDescent="0.15">
      <c r="C70">
        <v>2806</v>
      </c>
      <c r="D70">
        <v>2</v>
      </c>
      <c r="W70" t="str">
        <f t="shared" si="2"/>
        <v>{dwID=2806,nLevel=2,[9]={},[8]={},},</v>
      </c>
    </row>
    <row r="71" spans="1:25" x14ac:dyDescent="0.15">
      <c r="C71">
        <v>2807</v>
      </c>
      <c r="D71">
        <v>2</v>
      </c>
      <c r="F71" t="s">
        <v>3583</v>
      </c>
      <c r="P71">
        <v>1</v>
      </c>
      <c r="Q71" t="s">
        <v>3584</v>
      </c>
      <c r="W71" t="str">
        <f t="shared" si="2"/>
        <v>{dwID=2807,nLevel=2,szName="{$S2807}·打断",[9]={bCenterAlarm=true,},[8]={tMark={false,false,false,false,false,false,false,true,false,false,},},tCountdown={{nClass=8,nIcon=13,nFrame=7,szName="疯狂之怒·打断·如意",nTime=30,},},},</v>
      </c>
      <c r="X71" t="s">
        <v>3585</v>
      </c>
    </row>
    <row r="72" spans="1:25" x14ac:dyDescent="0.15">
      <c r="C72">
        <v>183</v>
      </c>
      <c r="D72">
        <v>1</v>
      </c>
      <c r="I72" t="s">
        <v>2149</v>
      </c>
      <c r="W72" t="str">
        <f t="shared" si="2"/>
        <v>{dwID=183,nLevel=1,tKungFu={["SKILL#10021"]=true,["SKILL#10028"]=true,},[9]={},[8]={},tCountdown={{nClass=9,nIcon=1513,nFrame=5,szName="倒计时 ",nTime="1,【{$sender}】{$S183}·{$receiver};3,【{$sender}】{$S183}·{$receiver}",},},},</v>
      </c>
      <c r="X72" t="s">
        <v>3586</v>
      </c>
    </row>
    <row r="73" spans="1:25" x14ac:dyDescent="0.15">
      <c r="A73" t="s">
        <v>245</v>
      </c>
      <c r="B73">
        <v>150</v>
      </c>
      <c r="W73" t="str">
        <f t="shared" si="2"/>
        <v>},[150]={</v>
      </c>
    </row>
    <row r="74" spans="1:25" x14ac:dyDescent="0.15">
      <c r="C74">
        <v>15349</v>
      </c>
      <c r="D74">
        <v>1</v>
      </c>
      <c r="W74" t="str">
        <f t="shared" si="2"/>
        <v>{dwID=15349,nLevel=1,[9]={},[8]={},},</v>
      </c>
    </row>
    <row r="75" spans="1:25" x14ac:dyDescent="0.15">
      <c r="C75">
        <v>15396</v>
      </c>
      <c r="D75">
        <v>1</v>
      </c>
      <c r="W75" t="str">
        <f t="shared" si="2"/>
        <v>{dwID=15396,nLevel=1,[9]={},[8]={},},</v>
      </c>
    </row>
    <row r="76" spans="1:25" x14ac:dyDescent="0.15">
      <c r="A76" t="s">
        <v>246</v>
      </c>
      <c r="B76">
        <v>159</v>
      </c>
      <c r="W76" t="str">
        <f t="shared" si="2"/>
        <v>},[159]={</v>
      </c>
    </row>
    <row r="77" spans="1:25" x14ac:dyDescent="0.15">
      <c r="C77">
        <v>15423</v>
      </c>
      <c r="D77">
        <v>1</v>
      </c>
      <c r="H77">
        <v>1</v>
      </c>
      <c r="J77" t="s">
        <v>2503</v>
      </c>
      <c r="W77" t="str">
        <f t="shared" si="2"/>
        <v>{dwID=15423,nLevel=1,nScrutinyType=true,szNote="门派事件",[9]={},[8]={},tCountdown={{nClass=9,nIcon=8089,nFrame=5,szName="钓鱼",nTime=0,key="钓鱼",},},},</v>
      </c>
      <c r="X77" t="s">
        <v>3587</v>
      </c>
    </row>
    <row r="78" spans="1:25" x14ac:dyDescent="0.15">
      <c r="A78" t="s">
        <v>822</v>
      </c>
      <c r="B78">
        <v>178</v>
      </c>
      <c r="W78" t="str">
        <f t="shared" si="2"/>
        <v>},[178]={</v>
      </c>
    </row>
    <row r="79" spans="1:25" x14ac:dyDescent="0.15">
      <c r="C79">
        <v>8707</v>
      </c>
      <c r="D79">
        <v>2</v>
      </c>
      <c r="J79" t="s">
        <v>3299</v>
      </c>
      <c r="W79" t="str">
        <f t="shared" si="2"/>
        <v>{dwID=8707,nLevel=2,szNote="成就·七情覆灭",[9]={},[8]={},tCountdown={{nClass=9,nIcon=13,nFrame=5,szName="一技能·恨贯肌骨·击倒",nTime=3,key="恨贯肌骨",},},},</v>
      </c>
      <c r="X79" t="s">
        <v>3588</v>
      </c>
    </row>
    <row r="80" spans="1:25" x14ac:dyDescent="0.15">
      <c r="C80">
        <v>8705</v>
      </c>
      <c r="D80">
        <v>2</v>
      </c>
      <c r="J80" t="s">
        <v>3299</v>
      </c>
      <c r="W80" t="str">
        <f t="shared" si="2"/>
        <v>{dwID=8705,nLevel=2,szNote="成就·七情覆灭",[9]={},[8]={},tCountdown={{nClass=8,nIcon=13,nFrame=5,szName="二技能·疾风怒羽·旋风",nTime=10,key="疾风怒羽",},{nClass=9,nIcon=13,nFrame=5,szName="二技能·疾风怒羽·旋风",nTime=1,key="疾风怒羽",},},},</v>
      </c>
      <c r="X80" t="s">
        <v>3589</v>
      </c>
      <c r="Y80" t="s">
        <v>3590</v>
      </c>
    </row>
    <row r="81" spans="1:25" x14ac:dyDescent="0.15">
      <c r="C81">
        <v>8710</v>
      </c>
      <c r="D81">
        <v>2</v>
      </c>
      <c r="J81" t="s">
        <v>3299</v>
      </c>
      <c r="W81" t="str">
        <f t="shared" si="2"/>
        <v>{dwID=8710,nLevel=2,szNote="成就·七情覆灭",[9]={},[8]={},tCountdown={{nClass=8,nIcon=13,nFrame=5,szName="四技能·雪舞惧散·不受控",nTime=10,key="雪舞惧散",},{nClass=9,nIcon=13,nFrame=5,szName="四技能·雪舞惧散·不受控",nTime=1,key="雪舞惧散",},},},</v>
      </c>
      <c r="X81" t="s">
        <v>3591</v>
      </c>
      <c r="Y81" t="s">
        <v>3592</v>
      </c>
    </row>
    <row r="82" spans="1:25" x14ac:dyDescent="0.15">
      <c r="A82" t="s">
        <v>256</v>
      </c>
      <c r="B82">
        <v>216</v>
      </c>
      <c r="W82" t="str">
        <f t="shared" si="2"/>
        <v>},[216]={</v>
      </c>
    </row>
    <row r="83" spans="1:25" x14ac:dyDescent="0.15">
      <c r="C83">
        <v>15126</v>
      </c>
      <c r="D83">
        <v>1</v>
      </c>
      <c r="W83" t="str">
        <f t="shared" si="2"/>
        <v>{dwID=15126,nLevel=1,[9]={},[8]={},tCountdown={{nClass=9,nIcon=13,nFrame=5,szName="格挡反击·成功",nTime=0.2,nRefresh=4,key="摔跤·无敌",},},},</v>
      </c>
      <c r="X83" t="s">
        <v>3593</v>
      </c>
    </row>
    <row r="84" spans="1:25" x14ac:dyDescent="0.15">
      <c r="C84">
        <v>14518</v>
      </c>
      <c r="D84">
        <v>1</v>
      </c>
      <c r="W84" t="str">
        <f t="shared" si="2"/>
        <v>{dwID=14518,nLevel=1,[9]={},[8]={},tCountdown={{nClass=9,nIcon=2037,nFrame=5,szName="格挡·CD",nTime=5,nRefresh=1,key="摔跤·格挡",},},},</v>
      </c>
      <c r="X84" t="s">
        <v>3594</v>
      </c>
    </row>
    <row r="85" spans="1:25" x14ac:dyDescent="0.15">
      <c r="C85">
        <v>23419</v>
      </c>
      <c r="D85">
        <v>1</v>
      </c>
      <c r="W85" t="str">
        <f t="shared" si="2"/>
        <v>{dwID=23419,nLevel=1,[9]={},[8]={},},</v>
      </c>
    </row>
    <row r="86" spans="1:25" x14ac:dyDescent="0.15">
      <c r="C86">
        <v>23420</v>
      </c>
      <c r="D86">
        <v>1</v>
      </c>
      <c r="W86" t="str">
        <f t="shared" si="2"/>
        <v>{dwID=23420,nLevel=1,[9]={},[8]={},},</v>
      </c>
    </row>
    <row r="87" spans="1:25" x14ac:dyDescent="0.15">
      <c r="C87">
        <v>23421</v>
      </c>
      <c r="D87">
        <v>1</v>
      </c>
      <c r="W87" t="str">
        <f t="shared" si="2"/>
        <v>{dwID=23421,nLevel=1,[9]={},[8]={},},</v>
      </c>
    </row>
    <row r="88" spans="1:25" x14ac:dyDescent="0.15">
      <c r="C88">
        <v>23422</v>
      </c>
      <c r="D88">
        <v>1</v>
      </c>
      <c r="W88" t="str">
        <f t="shared" si="2"/>
        <v>{dwID=23422,nLevel=1,[9]={},[8]={},},</v>
      </c>
    </row>
    <row r="89" spans="1:25" x14ac:dyDescent="0.15">
      <c r="C89">
        <v>23423</v>
      </c>
      <c r="D89">
        <v>1</v>
      </c>
      <c r="W89" t="str">
        <f t="shared" si="2"/>
        <v>{dwID=23423,nLevel=1,[9]={},[8]={},},</v>
      </c>
    </row>
    <row r="90" spans="1:25" x14ac:dyDescent="0.15">
      <c r="C90">
        <v>23424</v>
      </c>
      <c r="D90">
        <v>1</v>
      </c>
      <c r="W90" t="str">
        <f t="shared" si="2"/>
        <v>{dwID=23424,nLevel=1,[9]={},[8]={},},</v>
      </c>
    </row>
    <row r="91" spans="1:25" x14ac:dyDescent="0.15">
      <c r="A91" t="s">
        <v>257</v>
      </c>
      <c r="B91">
        <v>217</v>
      </c>
      <c r="W91" t="str">
        <f t="shared" si="2"/>
        <v>},[217]={</v>
      </c>
    </row>
    <row r="92" spans="1:25" x14ac:dyDescent="0.15">
      <c r="C92">
        <v>23419</v>
      </c>
      <c r="D92">
        <v>1</v>
      </c>
      <c r="W92" t="str">
        <f t="shared" si="2"/>
        <v>{dwID=23419,nLevel=1,[9]={},[8]={},},</v>
      </c>
    </row>
    <row r="93" spans="1:25" x14ac:dyDescent="0.15">
      <c r="C93">
        <v>23420</v>
      </c>
      <c r="D93">
        <v>1</v>
      </c>
      <c r="W93" t="str">
        <f t="shared" si="2"/>
        <v>{dwID=23420,nLevel=1,[9]={},[8]={},},</v>
      </c>
    </row>
    <row r="94" spans="1:25" x14ac:dyDescent="0.15">
      <c r="C94">
        <v>23421</v>
      </c>
      <c r="D94">
        <v>1</v>
      </c>
      <c r="W94" t="str">
        <f t="shared" si="2"/>
        <v>{dwID=23421,nLevel=1,[9]={},[8]={},},</v>
      </c>
    </row>
    <row r="95" spans="1:25" x14ac:dyDescent="0.15">
      <c r="C95">
        <v>23422</v>
      </c>
      <c r="D95">
        <v>1</v>
      </c>
      <c r="W95" t="str">
        <f t="shared" si="2"/>
        <v>{dwID=23422,nLevel=1,[9]={},[8]={},},</v>
      </c>
    </row>
    <row r="96" spans="1:25" x14ac:dyDescent="0.15">
      <c r="C96">
        <v>23423</v>
      </c>
      <c r="D96">
        <v>1</v>
      </c>
      <c r="W96" t="str">
        <f t="shared" si="2"/>
        <v>{dwID=23423,nLevel=1,[9]={},[8]={},},</v>
      </c>
    </row>
    <row r="97" spans="1:25" x14ac:dyDescent="0.15">
      <c r="C97">
        <v>23424</v>
      </c>
      <c r="D97">
        <v>1</v>
      </c>
      <c r="W97" t="str">
        <f t="shared" si="2"/>
        <v>{dwID=23424,nLevel=1,[9]={},[8]={},},</v>
      </c>
    </row>
    <row r="98" spans="1:25" x14ac:dyDescent="0.15">
      <c r="A98" t="s">
        <v>264</v>
      </c>
      <c r="B98">
        <v>411</v>
      </c>
      <c r="W98" t="str">
        <f t="shared" ref="W98:W108" si="3">IF(ISBLANK(B98)=FALSE,IF(ISBLANK(B97),"},["&amp;B98&amp;"]={","["&amp;B98&amp;"]={"),IF(AND(ISBLANK(B98),ISBLANK(C98),ISBLANK(D98),OR(ISBLANK(B97)=FALSE,ISBLANK(C97)=FALSE,ISBLANK(D97)=FALSE)),"},},}",IF(ISBLANK(C98),"","{dwID="&amp;C98&amp;","&amp;"nLevel="&amp;D98&amp;","&amp;IF(E98&gt;0,"nIcon="&amp;E98&amp;",","")&amp;IF(F98&lt;&gt;"","szName="""&amp;F98&amp;""",","")&amp;IF(G98&gt;0,"bCheckLevel=true"&amp;",","")&amp;IF(H98&gt;0,"nScrutinyType=true,","")&amp;IF(I98&lt;&gt;"","tKungFu={"&amp;I98&amp;"},","")&amp;IF(J98&lt;&gt;"","szNote="""&amp;J98&amp;""",","")&amp;IF(K98&lt;&gt;"","col={"&amp;K98&amp;"},","")&amp;"[9]={"&amp;IF(L98&lt;&gt;"","tMark={"&amp;L98&amp;"},","")&amp;IF(M98&lt;&gt;"","szVoice="""&amp;M98&amp;""",","")&amp;IF(N98&gt;0,"bTeamChannel=true,","")&amp;IF(O98&gt;0,"bWhisperChannel=true,","")&amp;IF(P98&gt;0,"bCenterAlarm=true,","")&amp;"},"&amp;"[8]={"&amp;IF(Q98&lt;&gt;"","tMark={"&amp;Q98&amp;"},","")&amp;IF(R98&lt;&gt;"","szVoice="""&amp;R98&amp;""",","")&amp;IF(S98&gt;0,"bTeamChannel=true,","")&amp;IF(T98&gt;0,"bWhisperChannel=true,","")&amp;IF(U98&gt;0,"bCenterAlarm=true,","")&amp;IF(V98&gt;0,"bScreenHead=true,","")&amp;"},"&amp;IF(X98&lt;&gt;"","tCountdown={"&amp;_xlfn.TEXTJOIN("",TRUE,X98:AAB98)&amp;"},","")&amp;"},")))</f>
        <v>},[411]={</v>
      </c>
    </row>
    <row r="99" spans="1:25" x14ac:dyDescent="0.15">
      <c r="C99">
        <v>23419</v>
      </c>
      <c r="D99">
        <v>1</v>
      </c>
      <c r="W99" t="str">
        <f t="shared" si="3"/>
        <v>{dwID=23419,nLevel=1,[9]={},[8]={},},</v>
      </c>
    </row>
    <row r="100" spans="1:25" x14ac:dyDescent="0.15">
      <c r="C100">
        <v>23420</v>
      </c>
      <c r="D100">
        <v>1</v>
      </c>
      <c r="W100" t="str">
        <f t="shared" si="3"/>
        <v>{dwID=23420,nLevel=1,[9]={},[8]={},},</v>
      </c>
    </row>
    <row r="101" spans="1:25" x14ac:dyDescent="0.15">
      <c r="C101">
        <v>23421</v>
      </c>
      <c r="D101">
        <v>1</v>
      </c>
      <c r="W101" t="str">
        <f t="shared" si="3"/>
        <v>{dwID=23421,nLevel=1,[9]={},[8]={},},</v>
      </c>
    </row>
    <row r="102" spans="1:25" x14ac:dyDescent="0.15">
      <c r="C102">
        <v>23422</v>
      </c>
      <c r="D102">
        <v>1</v>
      </c>
      <c r="W102" t="str">
        <f t="shared" si="3"/>
        <v>{dwID=23422,nLevel=1,[9]={},[8]={},},</v>
      </c>
    </row>
    <row r="103" spans="1:25" x14ac:dyDescent="0.15">
      <c r="C103">
        <v>23423</v>
      </c>
      <c r="D103">
        <v>1</v>
      </c>
      <c r="W103" t="str">
        <f t="shared" si="3"/>
        <v>{dwID=23423,nLevel=1,[9]={},[8]={},},</v>
      </c>
    </row>
    <row r="104" spans="1:25" x14ac:dyDescent="0.15">
      <c r="C104">
        <v>23424</v>
      </c>
      <c r="D104">
        <v>1</v>
      </c>
      <c r="W104" t="str">
        <f t="shared" si="3"/>
        <v>{dwID=23424,nLevel=1,[9]={},[8]={},},</v>
      </c>
    </row>
    <row r="105" spans="1:25" x14ac:dyDescent="0.15">
      <c r="A105" t="s">
        <v>1111</v>
      </c>
      <c r="B105">
        <v>567</v>
      </c>
      <c r="W105" t="str">
        <f t="shared" si="3"/>
        <v>},[567]={</v>
      </c>
    </row>
    <row r="106" spans="1:25" x14ac:dyDescent="0.15">
      <c r="C106">
        <v>28096</v>
      </c>
      <c r="D106">
        <v>1</v>
      </c>
      <c r="K106" t="s">
        <v>2676</v>
      </c>
      <c r="W106" t="str">
        <f t="shared" si="3"/>
        <v>{dwID=28096,nLevel=1,col={255,50,50,},[9]={},[8]={},tCountdown={{nClass=8,nIcon=13,nFrame=2,szName="震击·快打断",nTime=1.5,key="原野奇踪·打断",},{nClass=9,nIcon=13,nFrame=5,szName="原野奇踪·打断",nTime=0,key="原野奇踪·打断",},},},</v>
      </c>
      <c r="X106" t="s">
        <v>3595</v>
      </c>
      <c r="Y106" t="s">
        <v>3596</v>
      </c>
    </row>
    <row r="107" spans="1:25" x14ac:dyDescent="0.15">
      <c r="W107" t="str">
        <f t="shared" si="3"/>
        <v>},},}</v>
      </c>
    </row>
    <row r="108" spans="1:25" x14ac:dyDescent="0.15">
      <c r="W108" t="str">
        <f t="shared" si="3"/>
        <v/>
      </c>
    </row>
  </sheetData>
  <phoneticPr fontId="18" type="noConversion"/>
  <pageMargins left="0.75" right="0.75" top="1" bottom="1" header="0.5" footer="0.5"/>
</worksheet>
</file>

<file path=xl/worksheets/sheet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EAD3C-A98B-4D9E-840B-D43A5D83C0EF}">
  <dimension ref="A1:AE1373"/>
  <sheetViews>
    <sheetView workbookViewId="0"/>
  </sheetViews>
  <sheetFormatPr defaultRowHeight="13.5" x14ac:dyDescent="0.15"/>
  <sheetData>
    <row r="1" spans="1:23" x14ac:dyDescent="0.15">
      <c r="A1" t="s">
        <v>0</v>
      </c>
      <c r="B1" t="s">
        <v>2061</v>
      </c>
      <c r="C1" t="s">
        <v>1</v>
      </c>
      <c r="D1" t="s">
        <v>2062</v>
      </c>
      <c r="E1" t="s">
        <v>3597</v>
      </c>
      <c r="F1" t="s">
        <v>3598</v>
      </c>
      <c r="G1" t="s">
        <v>4</v>
      </c>
      <c r="H1" t="s">
        <v>2065</v>
      </c>
      <c r="I1" t="s">
        <v>5</v>
      </c>
      <c r="J1" t="s">
        <v>2066</v>
      </c>
      <c r="K1" t="s">
        <v>3599</v>
      </c>
      <c r="L1" t="s">
        <v>3600</v>
      </c>
      <c r="M1" t="s">
        <v>3601</v>
      </c>
      <c r="N1" t="s">
        <v>3602</v>
      </c>
      <c r="O1" t="s">
        <v>3603</v>
      </c>
      <c r="P1" t="s">
        <v>3604</v>
      </c>
      <c r="Q1" t="s">
        <v>3605</v>
      </c>
      <c r="R1" t="s">
        <v>3606</v>
      </c>
      <c r="S1" t="s">
        <v>3607</v>
      </c>
      <c r="T1" t="s">
        <v>3608</v>
      </c>
      <c r="U1" t="s">
        <v>3609</v>
      </c>
      <c r="V1" t="s">
        <v>3610</v>
      </c>
      <c r="W1" t="s">
        <v>2094</v>
      </c>
    </row>
    <row r="2" spans="1:23" x14ac:dyDescent="0.15">
      <c r="A2" t="s">
        <v>2095</v>
      </c>
      <c r="B2">
        <v>-19</v>
      </c>
      <c r="V2" t="str">
        <f t="shared" ref="V2:V65" si="0">IF(ISBLANK(B2)=FALSE,IF(ISBLANK(B1),"},["&amp;B2&amp;"]={","["&amp;B2&amp;"]={"),IF(AND(ISBLANK(B2),ISBLANK(D2),ISBLANK(C2),OR(ISBLANK(B1)=FALSE,ISBLANK(D1)=FALSE,ISBLANK(C1)=FALSE)),"},},}",IF(ISBLANK(C2),"","{dwID="&amp;C2&amp;","&amp;"nFrame="&amp;D2&amp;","&amp;IF(E2&gt;0,"nCount="&amp;E2&amp;",","")&amp;IF(F2&gt;0,"bAllLeave=true,","")&amp;IF(G2&lt;&gt;"","szName="""&amp;G2&amp;""",","")&amp;IF(H2&lt;&gt;"","tKungFu={"&amp;H2&amp;"},","")&amp;IF(I2&lt;&gt;"","szNote="""&amp;I2&amp;""",","")&amp;IF(J2&lt;&gt;"","col={"&amp;J2&amp;"},","")&amp;"[3]={"&amp;IF(K2&lt;&gt;"","tMark={"&amp;K2&amp;"},","")&amp;IF(L2&lt;&gt;"","szVoice="""&amp;L2&amp;""",","")&amp;IF(M2&gt;0,"bTeamChannel=true,","")&amp;IF(N2&gt;0,"bWhisperChannel=true,","")&amp;IF(O2&gt;0,"bCenterAlarm=true,","")&amp;IF(P2&gt;0,"bScreenHead=true,","")&amp;"},"&amp;"[4]={"&amp;IF(Q2&lt;&gt;"","szVoice="""&amp;Q2&amp;""",","")&amp;IF(R2&gt;0,"bTeamChannel=true,","")&amp;IF(S2&gt;0,"bWhisperChannel=true,","")&amp;IF(T2&gt;0,"bCenterAlarm=true,","")&amp;"},"&amp;IF(U2&lt;&gt;"","aFocus={"&amp;U2&amp;"},","")&amp;IF(W2&lt;&gt;"","tCountdown={"&amp;_xlfn.TEXTJOIN("",TRUE,W2:ZZ2)&amp;"},","")&amp;"},")))</f>
        <v>[-19]={</v>
      </c>
    </row>
    <row r="3" spans="1:23" x14ac:dyDescent="0.15">
      <c r="C3">
        <v>46057</v>
      </c>
      <c r="D3">
        <v>47</v>
      </c>
      <c r="I3" t="s">
        <v>3611</v>
      </c>
      <c r="J3" t="s">
        <v>2718</v>
      </c>
      <c r="P3">
        <v>1</v>
      </c>
      <c r="U3" t="s">
        <v>3612</v>
      </c>
      <c r="V3" t="str">
        <f t="shared" si="0"/>
        <v>{dwID=46057,nFrame=47,szNote="恶人谷伍长",col={255,255,100,},[3]={bScreenHead=true,},[4]={},aFocus={{dwMapID=-1,nMaxDistance=10,tRelation={bAll=false,bEnemy=false,bAlly=true,},tLife={bEnable=false,szOperator="&gt;",nValue=0,},},},},</v>
      </c>
    </row>
    <row r="4" spans="1:23" x14ac:dyDescent="0.15">
      <c r="C4">
        <v>46058</v>
      </c>
      <c r="D4">
        <v>47</v>
      </c>
      <c r="I4" t="s">
        <v>3613</v>
      </c>
      <c r="J4" t="s">
        <v>3614</v>
      </c>
      <c r="P4">
        <v>1</v>
      </c>
      <c r="U4" t="s">
        <v>3612</v>
      </c>
      <c r="V4" t="str">
        <f t="shared" si="0"/>
        <v>{dwID=46058,nFrame=47,szNote="浩气盟伍长",col={100,255,255,},[3]={bScreenHead=true,},[4]={},aFocus={{dwMapID=-1,nMaxDistance=10,tRelation={bAll=false,bEnemy=false,bAlly=true,},tLife={bEnable=false,szOperator="&gt;",nValue=0,},},},},</v>
      </c>
    </row>
    <row r="5" spans="1:23" x14ac:dyDescent="0.15">
      <c r="C5">
        <v>46268</v>
      </c>
      <c r="D5">
        <v>47</v>
      </c>
      <c r="I5" t="s">
        <v>3615</v>
      </c>
      <c r="P5">
        <v>1</v>
      </c>
      <c r="U5" t="s">
        <v>3616</v>
      </c>
      <c r="V5" t="str">
        <f t="shared" si="0"/>
        <v>{dwID=46268,nFrame=47,szNote="物资车",[3]={bScreenHead=true,},[4]={},aFocus={{dwMapID=-1,nMaxDistance=0,tRelation={bAll=false,bEnemy=true,bAlly=false,},tLife={bEnable=false,szOperator="&gt;",nValue=0,},},{dwMapID=-1,nMaxDistance=30,tRelation={bAll=false,bEnemy=false,bAlly=true,},tLife={bEnable=true,szOperator="&lt;",nValue=100,},},{dwMapID=-1,nMaxDistance=10,tRelation={bAll=true,bEnemy=true,bAlly=true,},tLife={bEnable=true,szOperator="&gt;=",nValue=100,},},},},</v>
      </c>
    </row>
    <row r="6" spans="1:23" x14ac:dyDescent="0.15">
      <c r="A6" t="s">
        <v>3617</v>
      </c>
      <c r="B6">
        <v>-17</v>
      </c>
      <c r="V6" t="str">
        <f t="shared" si="0"/>
        <v>},[-17]={</v>
      </c>
    </row>
    <row r="7" spans="1:23" x14ac:dyDescent="0.15">
      <c r="C7">
        <v>113280</v>
      </c>
      <c r="D7">
        <v>64</v>
      </c>
      <c r="I7" t="s">
        <v>3618</v>
      </c>
      <c r="J7" t="s">
        <v>2168</v>
      </c>
      <c r="P7">
        <v>1</v>
      </c>
      <c r="U7" t="s">
        <v>3619</v>
      </c>
      <c r="V7" t="str">
        <f t="shared" si="0"/>
        <v>{dwID=113280,nFrame=64,szNote="孔雀·模型",col={0,255,0,},[3]={bScreenHead=true,},[4]={},aFocus={{dwMapID=-1,nMaxDistance=30,tRelation={bAll=true,bEnemy=true,bAlly=true,},tLife={bEnable=true,szOperator="&lt;",nValue=100,},},},},</v>
      </c>
    </row>
    <row r="8" spans="1:23" x14ac:dyDescent="0.15">
      <c r="C8">
        <v>12944</v>
      </c>
      <c r="D8">
        <v>64</v>
      </c>
      <c r="V8" t="str">
        <f t="shared" si="0"/>
        <v>{dwID=12944,nFrame=64,[3]={},[4]={},},</v>
      </c>
    </row>
    <row r="9" spans="1:23" x14ac:dyDescent="0.15">
      <c r="C9">
        <v>9956</v>
      </c>
      <c r="D9">
        <v>64</v>
      </c>
      <c r="V9" t="str">
        <f t="shared" si="0"/>
        <v>{dwID=9956,nFrame=64,[3]={},[4]={},},</v>
      </c>
    </row>
    <row r="10" spans="1:23" x14ac:dyDescent="0.15">
      <c r="C10">
        <v>9996</v>
      </c>
      <c r="D10">
        <v>64</v>
      </c>
      <c r="V10" t="str">
        <f t="shared" si="0"/>
        <v>{dwID=9996,nFrame=64,[3]={},[4]={},},</v>
      </c>
    </row>
    <row r="11" spans="1:23" x14ac:dyDescent="0.15">
      <c r="C11">
        <v>9998</v>
      </c>
      <c r="D11">
        <v>64</v>
      </c>
      <c r="V11" t="str">
        <f t="shared" si="0"/>
        <v>{dwID=9998,nFrame=64,[3]={},[4]={},},</v>
      </c>
    </row>
    <row r="12" spans="1:23" x14ac:dyDescent="0.15">
      <c r="A12" t="s">
        <v>2107</v>
      </c>
      <c r="B12">
        <v>-15</v>
      </c>
      <c r="V12" t="str">
        <f t="shared" si="0"/>
        <v>},[-15]={</v>
      </c>
    </row>
    <row r="13" spans="1:23" x14ac:dyDescent="0.15">
      <c r="C13">
        <v>101014</v>
      </c>
      <c r="D13">
        <v>47</v>
      </c>
      <c r="J13" t="s">
        <v>2143</v>
      </c>
      <c r="P13">
        <v>1</v>
      </c>
      <c r="U13" t="s">
        <v>3620</v>
      </c>
      <c r="V13" t="str">
        <f t="shared" si="0"/>
        <v>{dwID=101014,nFrame=47,col={255,255,0,},[3]={bScreenHead=true,},[4]={},aFocus={{dwMapID=-1,nMaxDistance=199,tRelation={bAll=true,bEnemy=false,bAlly=false,},tLife={bEnable=false,szOperator="&gt;",nValue=0,},},},},</v>
      </c>
    </row>
    <row r="14" spans="1:23" x14ac:dyDescent="0.15">
      <c r="C14">
        <v>100985</v>
      </c>
      <c r="D14">
        <v>47</v>
      </c>
      <c r="U14" t="s">
        <v>3621</v>
      </c>
      <c r="V14" t="str">
        <f t="shared" si="0"/>
        <v>{dwID=100985,nFrame=47,[3]={},[4]={},aFocus={{dwMapID=-1,nMaxDistance=6,tRelation={bAll=true,bEnemy=false,bAlly=false,},tLife={bEnable=false,szOperator="&gt;",nValue=0,},},},},</v>
      </c>
    </row>
    <row r="15" spans="1:23" x14ac:dyDescent="0.15">
      <c r="C15">
        <v>100984</v>
      </c>
      <c r="D15">
        <v>47</v>
      </c>
      <c r="U15" t="s">
        <v>3621</v>
      </c>
      <c r="V15" t="str">
        <f t="shared" si="0"/>
        <v>{dwID=100984,nFrame=47,[3]={},[4]={},aFocus={{dwMapID=-1,nMaxDistance=6,tRelation={bAll=true,bEnemy=false,bAlly=false,},tLife={bEnable=false,szOperator="&gt;",nValue=0,},},},},</v>
      </c>
    </row>
    <row r="16" spans="1:23" x14ac:dyDescent="0.15">
      <c r="C16">
        <v>100954</v>
      </c>
      <c r="D16">
        <v>47</v>
      </c>
      <c r="U16" t="s">
        <v>3621</v>
      </c>
      <c r="V16" t="str">
        <f t="shared" si="0"/>
        <v>{dwID=100954,nFrame=47,[3]={},[4]={},aFocus={{dwMapID=-1,nMaxDistance=6,tRelation={bAll=true,bEnemy=false,bAlly=false,},tLife={bEnable=false,szOperator="&gt;",nValue=0,},},},},</v>
      </c>
    </row>
    <row r="17" spans="1:23" x14ac:dyDescent="0.15">
      <c r="C17">
        <v>102035</v>
      </c>
      <c r="D17">
        <v>47</v>
      </c>
      <c r="J17" t="s">
        <v>2168</v>
      </c>
      <c r="P17">
        <v>1</v>
      </c>
      <c r="U17" t="s">
        <v>3622</v>
      </c>
      <c r="V17" t="str">
        <f t="shared" si="0"/>
        <v>{dwID=102035,nFrame=47,col={0,255,0,},[3]={bScreenHead=true,},[4]={},aFocus={{dwMapID=-1,nMaxDistance=30,tRelation={bAll=true,bEnemy=false,bAlly=false,},tLife={bEnable=false,szOperator="&gt;",nValue=0,},},},},</v>
      </c>
    </row>
    <row r="18" spans="1:23" x14ac:dyDescent="0.15">
      <c r="C18">
        <v>99216</v>
      </c>
      <c r="D18">
        <v>47</v>
      </c>
      <c r="J18" t="s">
        <v>2152</v>
      </c>
      <c r="P18">
        <v>1</v>
      </c>
      <c r="U18" t="s">
        <v>3623</v>
      </c>
      <c r="V18" t="str">
        <f t="shared" si="0"/>
        <v>{dwID=99216,nFrame=47,col={0,255,255,},[3]={bScreenHead=true,},[4]={},aFocus={{dwMapID=-1,nMaxDistance=0,tRelation={bAll=true,bEnemy=false,bAlly=false,},tLife={bEnable=false,szOperator="&gt;",nValue=0,},},},},</v>
      </c>
    </row>
    <row r="19" spans="1:23" x14ac:dyDescent="0.15">
      <c r="C19">
        <v>106317</v>
      </c>
      <c r="D19">
        <v>47</v>
      </c>
      <c r="J19" t="s">
        <v>2168</v>
      </c>
      <c r="P19">
        <v>1</v>
      </c>
      <c r="U19" t="s">
        <v>3623</v>
      </c>
      <c r="V19" t="str">
        <f t="shared" si="0"/>
        <v>{dwID=106317,nFrame=47,col={0,255,0,},[3]={bScreenHead=true,},[4]={},aFocus={{dwMapID=-1,nMaxDistance=0,tRelation={bAll=true,bEnemy=false,bAlly=false,},tLife={bEnable=false,szOperator="&gt;",nValue=0,},},},},</v>
      </c>
    </row>
    <row r="20" spans="1:23" x14ac:dyDescent="0.15">
      <c r="C20">
        <v>16000</v>
      </c>
      <c r="D20">
        <v>64</v>
      </c>
      <c r="U20" t="s">
        <v>3624</v>
      </c>
      <c r="V20" t="str">
        <f t="shared" si="0"/>
        <v>{dwID=16000,nFrame=64,[3]={},[4]={},aFocus={{dwMapID=-1,nMaxDistance=8,tRelation={bAll=true,bEnemy=false,bAlly=false,},tLife={bEnable=false,szOperator="&gt;",nValue=0,},},},},</v>
      </c>
    </row>
    <row r="21" spans="1:23" x14ac:dyDescent="0.15">
      <c r="C21">
        <v>16174</v>
      </c>
      <c r="D21">
        <v>64</v>
      </c>
      <c r="U21" t="s">
        <v>3625</v>
      </c>
      <c r="V21" t="str">
        <f t="shared" si="0"/>
        <v>{dwID=16174,nFrame=64,[3]={},[4]={},aFocus={{dwMapID=-1,nMaxDistance=25,tRelation={bAll=true,bEnemy=false,bAlly=false,},tLife={bEnable=false,szOperator="&gt;",nValue=0,},},},},</v>
      </c>
    </row>
    <row r="22" spans="1:23" x14ac:dyDescent="0.15">
      <c r="C22">
        <v>70529</v>
      </c>
      <c r="D22">
        <v>47</v>
      </c>
      <c r="I22" t="s">
        <v>3626</v>
      </c>
      <c r="U22" t="s">
        <v>3627</v>
      </c>
      <c r="V22" t="str">
        <f t="shared" si="0"/>
        <v>{dwID=70529,nFrame=47,szNote="白日梦·裴草",[3]={},[4]={},aFocus={{dwMapID=-1,nMaxDistance=10,tRelation={bAll=true,bEnemy=false,bAlly=false,},tLife={bEnable=false,szOperator="&gt;",nValue=0,},},},tCountdown={{nClass=3,nIcon=17135,nFrame=6,szName="交互·裴草",nTime=-1,key="奇遇提示1",},},},</v>
      </c>
      <c r="W22" t="s">
        <v>3628</v>
      </c>
    </row>
    <row r="23" spans="1:23" x14ac:dyDescent="0.15">
      <c r="A23" t="s">
        <v>3629</v>
      </c>
      <c r="B23">
        <v>-8</v>
      </c>
      <c r="V23" t="str">
        <f t="shared" si="0"/>
        <v>},[-8]={</v>
      </c>
    </row>
    <row r="24" spans="1:23" x14ac:dyDescent="0.15">
      <c r="C24">
        <v>106688</v>
      </c>
      <c r="D24">
        <v>47</v>
      </c>
      <c r="G24" t="s">
        <v>3630</v>
      </c>
      <c r="U24" t="s">
        <v>3631</v>
      </c>
      <c r="V24" t="str">
        <f t="shared" si="0"/>
        <v>{dwID=106688,nFrame=47,szName="阿甘贰型",[3]={},[4]={},aFocus={{dwMapID=-1,szDisplay="阿甘贰型",nMaxDistance=30,tRelation={bAll=true,bEnemy=false,bAlly=false,},tLife={bEnable=false,szOperator="&gt;",nValue=0,},},},},</v>
      </c>
    </row>
    <row r="25" spans="1:23" x14ac:dyDescent="0.15">
      <c r="C25">
        <v>15994</v>
      </c>
      <c r="D25">
        <v>64</v>
      </c>
      <c r="G25" t="s">
        <v>387</v>
      </c>
      <c r="I25" t="s">
        <v>1233</v>
      </c>
      <c r="U25" t="s">
        <v>3632</v>
      </c>
      <c r="V25" t="str">
        <f t="shared" si="0"/>
        <v>{dwID=15994,nFrame=64,szName="天绝地灭",szNote="天罗诡道",[3]={},[4]={},aFocus={{dwMapID=-1,szDisplay="天绝地灭",nMaxDistance=10,tRelation={bAll=true,bEnemy=false,bAlly=false,},tLife={bEnable=false,szOperator="&gt;",nValue=0,},},},},</v>
      </c>
    </row>
    <row r="26" spans="1:23" x14ac:dyDescent="0.15">
      <c r="C26">
        <v>46140</v>
      </c>
      <c r="D26">
        <v>47</v>
      </c>
      <c r="G26" t="s">
        <v>3633</v>
      </c>
      <c r="I26" t="s">
        <v>91</v>
      </c>
      <c r="U26" t="s">
        <v>3634</v>
      </c>
      <c r="V26" t="str">
        <f t="shared" si="0"/>
        <v>{dwID=46140,nFrame=47,szName="长歌·本体",szNote="清绝影歌",[3]={},[4]={},aFocus={{dwMapID=-1,szDisplay="长歌·本体",nMaxDistance=60,tRelation={bAll=false,bEnemy=true,bAlly=false,},tLife={bEnable=false,szOperator="&gt;",nValue=0,},},{dwMapID=-1,szDisplay="长歌·本体",nMaxDistance=30,tRelation={bAll=false,bEnemy=false,bAlly=true,},tLife={bEnable=false,szOperator="&gt;",nValue=0,},},},},</v>
      </c>
    </row>
    <row r="27" spans="1:23" x14ac:dyDescent="0.15">
      <c r="C27">
        <v>124302</v>
      </c>
      <c r="D27">
        <v>64</v>
      </c>
      <c r="G27" t="s">
        <v>3635</v>
      </c>
      <c r="U27" t="s">
        <v>3636</v>
      </c>
      <c r="V27" t="str">
        <f t="shared" si="0"/>
        <v>{dwID=124302,nFrame=64,szName="万灵·本体",[3]={},[4]={},aFocus={{dwMapID=-1,szDisplay="万灵·本体",nMaxDistance=30,tRelation={bAll=true,bEnemy=false,bAlly=false,},tLife={bEnable=false,szOperator="&gt;",nValue=0,},},},},</v>
      </c>
    </row>
    <row r="28" spans="1:23" x14ac:dyDescent="0.15">
      <c r="C28">
        <v>106623</v>
      </c>
      <c r="D28">
        <v>69</v>
      </c>
      <c r="U28" t="s">
        <v>3637</v>
      </c>
      <c r="V28" t="str">
        <f t="shared" si="0"/>
        <v>{dwID=106623,nFrame=69,[3]={},[4]={},aFocus={{dwMapID=-1,nMaxDistance=30,tRelation={bAll=false,bEnemy=true,bAlly=false,},tLife={bEnable=true,szOperator="&gt;",nValue=0,},},{dwMapID=-1,nMaxDistance=10,tRelation={bAll=false,bEnemy=false,bAlly=true,},tLife={bEnable=true,szOperator="&gt;",nValue=0,},},},},</v>
      </c>
    </row>
    <row r="29" spans="1:23" x14ac:dyDescent="0.15">
      <c r="C29">
        <v>106107</v>
      </c>
      <c r="D29">
        <v>69</v>
      </c>
      <c r="U29" t="s">
        <v>3638</v>
      </c>
      <c r="V29" t="str">
        <f t="shared" si="0"/>
        <v>{dwID=106107,nFrame=69,[3]={},[4]={},aFocus={{dwMapID=-1,nMaxDistance=20,tRelation={bAll=false,bEnemy=true,bAlly=false,},tLife={bEnable=true,szOperator="&gt;",nValue=0,},},},},</v>
      </c>
    </row>
    <row r="30" spans="1:23" x14ac:dyDescent="0.15">
      <c r="C30">
        <v>106785</v>
      </c>
      <c r="D30">
        <v>47</v>
      </c>
      <c r="G30" t="s">
        <v>3639</v>
      </c>
      <c r="I30" t="s">
        <v>3640</v>
      </c>
      <c r="U30" t="s">
        <v>3641</v>
      </c>
      <c r="V30" t="str">
        <f t="shared" si="0"/>
        <v>{dwID=106785,nFrame=47,szName="{$S28740}",szNote="[旋生飞草]",[3]={},[4]={},aFocus={{dwMapID=-1,szDisplay="药宗·蒲公英",nMaxDistance=15.1,tRelation={bAll=false,bEnemy=true,bAlly=false,},tLife={bEnable=false,szOperator="&gt;",nValue=0,},},},},</v>
      </c>
    </row>
    <row r="31" spans="1:23" x14ac:dyDescent="0.15">
      <c r="C31">
        <v>59171</v>
      </c>
      <c r="D31">
        <v>47</v>
      </c>
      <c r="G31" t="s">
        <v>3642</v>
      </c>
      <c r="J31" t="s">
        <v>2168</v>
      </c>
      <c r="U31" t="s">
        <v>3643</v>
      </c>
      <c r="V31" t="str">
        <f t="shared" si="0"/>
        <v>{dwID=59171,nFrame=47,szName="蝶池",col={0,255,0,},[3]={},[4]={},aFocus={{dwMapID=-1,szDisplay="蝶池",nMaxDistance=30,tRelation={bAll=false,bEnemy=true,bAlly=false,},tLife={bEnable=false,szOperator="&gt;",nValue=0,},},{dwMapID=-1,szDisplay="蝶池",nMaxDistance=10,tRelation={bAll=false,bEnemy=false,bAlly=true,},tLife={bEnable=false,szOperator="&gt;",nValue=0,},},},},</v>
      </c>
    </row>
    <row r="32" spans="1:23" x14ac:dyDescent="0.15">
      <c r="C32">
        <v>9997</v>
      </c>
      <c r="D32">
        <v>64</v>
      </c>
      <c r="U32" t="s">
        <v>3644</v>
      </c>
      <c r="V32" t="str">
        <f t="shared" si="0"/>
        <v>{dwID=9997,nFrame=64,[3]={},[4]={},aFocus={{dwMapID=-1,nMaxDistance=0,tRelation={bAll=false,bEnemy=true,bAlly=false,},tLife={bEnable=false,szOperator="&gt;",nValue=0,},},},},</v>
      </c>
    </row>
    <row r="33" spans="1:22" x14ac:dyDescent="0.15">
      <c r="C33">
        <v>9999</v>
      </c>
      <c r="D33">
        <v>64</v>
      </c>
      <c r="U33" t="s">
        <v>3645</v>
      </c>
      <c r="V33" t="str">
        <f t="shared" si="0"/>
        <v>{dwID=9999,nFrame=64,[3]={},[4]={},aFocus={{dwMapID=-1,nMaxDistance=10,tRelation={bAll=false,bEnemy=true,bAlly=false,},tLife={bEnable=true,szOperator="&gt;",nValue=0,},},},},</v>
      </c>
    </row>
    <row r="34" spans="1:22" x14ac:dyDescent="0.15">
      <c r="A34" t="s">
        <v>2142</v>
      </c>
      <c r="B34">
        <v>-7</v>
      </c>
      <c r="V34" t="str">
        <f t="shared" si="0"/>
        <v>},[-7]={</v>
      </c>
    </row>
    <row r="35" spans="1:22" x14ac:dyDescent="0.15">
      <c r="C35">
        <v>66734</v>
      </c>
      <c r="D35">
        <v>47</v>
      </c>
      <c r="G35" t="s">
        <v>3646</v>
      </c>
      <c r="H35" t="s">
        <v>2149</v>
      </c>
      <c r="U35" t="s">
        <v>3647</v>
      </c>
      <c r="V35" t="str">
        <f t="shared" si="0"/>
        <v>{dwID=66734,nFrame=47,szName="冰荷花",tKungFu={["SKILL#10021"]=true,["SKILL#10028"]=true,},[3]={},[4]={},aFocus={{dwMapID=-1,szDisplay="冰荷花",nMaxDistance=30,tRelation={bAll=true,bEnemy=false,bAlly=false,},tLife={bEnable=false,szOperator="&gt;",nValue=0,},},},},</v>
      </c>
    </row>
    <row r="36" spans="1:22" x14ac:dyDescent="0.15">
      <c r="C36">
        <v>30310</v>
      </c>
      <c r="D36">
        <v>47</v>
      </c>
      <c r="P36">
        <v>1</v>
      </c>
      <c r="U36" t="s">
        <v>3648</v>
      </c>
      <c r="V36" t="str">
        <f t="shared" si="0"/>
        <v>{dwID=30310,nFrame=47,[3]={bScreenHead=true,},[4]={},aFocus={{dwMapID=-1,nMaxDistance=60,tRelation={bAll=false,bEnemy=true,bAlly=false,},tLife={bEnable=false,szOperator="&gt;",nValue=0,},},{dwMapID=-1,nMaxDistance=30,tRelation={bAll=false,bEnemy=false,bAlly=true,},tLife={bEnable=true,szOperator="&lt;",nValue=100,},},},},</v>
      </c>
    </row>
    <row r="37" spans="1:22" x14ac:dyDescent="0.15">
      <c r="C37">
        <v>30322</v>
      </c>
      <c r="D37">
        <v>47</v>
      </c>
      <c r="P37">
        <v>1</v>
      </c>
      <c r="U37" t="s">
        <v>3648</v>
      </c>
      <c r="V37" t="str">
        <f t="shared" si="0"/>
        <v>{dwID=30322,nFrame=47,[3]={bScreenHead=true,},[4]={},aFocus={{dwMapID=-1,nMaxDistance=60,tRelation={bAll=false,bEnemy=true,bAlly=false,},tLife={bEnable=false,szOperator="&gt;",nValue=0,},},{dwMapID=-1,nMaxDistance=30,tRelation={bAll=false,bEnemy=false,bAlly=true,},tLife={bEnable=true,szOperator="&lt;",nValue=100,},},},},</v>
      </c>
    </row>
    <row r="38" spans="1:22" x14ac:dyDescent="0.15">
      <c r="C38">
        <v>51533</v>
      </c>
      <c r="D38">
        <v>52</v>
      </c>
      <c r="G38" t="s">
        <v>3649</v>
      </c>
      <c r="U38" t="s">
        <v>3650</v>
      </c>
      <c r="V38" t="str">
        <f t="shared" si="0"/>
        <v>{dwID=51533,nFrame=52,szName="陷阱·硝烟弥漫",[3]={},[4]={},aFocus={{dwMapID=-1,szDisplay="硝烟弥漫·绿林陷阱",nMaxDistance=0,tRelation={bAll=true,bEnemy=false,bAlly=false,},tLife={bEnable=false,szOperator="&gt;",nValue=0,},},},},</v>
      </c>
    </row>
    <row r="39" spans="1:22" x14ac:dyDescent="0.15">
      <c r="C39">
        <v>51534</v>
      </c>
      <c r="D39">
        <v>52</v>
      </c>
      <c r="G39" t="s">
        <v>3651</v>
      </c>
      <c r="U39" t="s">
        <v>3652</v>
      </c>
      <c r="V39" t="str">
        <f t="shared" si="0"/>
        <v>{dwID=51534,nFrame=52,szName="陷阱·步履蹒跚",[3]={},[4]={},aFocus={{dwMapID=-1,szDisplay="步履蹒跚·绿林陷阱",nMaxDistance=0,tRelation={bAll=true,bEnemy=false,bAlly=false,},tLife={bEnable=false,szOperator="&gt;",nValue=0,},},},},</v>
      </c>
    </row>
    <row r="40" spans="1:22" x14ac:dyDescent="0.15">
      <c r="C40">
        <v>51536</v>
      </c>
      <c r="D40">
        <v>52</v>
      </c>
      <c r="G40" t="s">
        <v>3653</v>
      </c>
      <c r="I40" t="s">
        <v>3654</v>
      </c>
      <c r="U40" t="s">
        <v>3655</v>
      </c>
      <c r="V40" t="str">
        <f t="shared" si="0"/>
        <v>{dwID=51536,nFrame=52,szName="飞鸿无迹·未完成",szNote="陷阱·飞鸿无迹·未完",[3]={},[4]={},aFocus={{dwMapID=-1,szDisplay="飞鸿无迹·半成品",nMaxDistance=0,tRelation={bAll=true,bEnemy=false,bAlly=false,},tLife={bEnable=false,szOperator="&gt;",nValue=0,},},},},</v>
      </c>
    </row>
    <row r="41" spans="1:22" x14ac:dyDescent="0.15">
      <c r="C41">
        <v>51538</v>
      </c>
      <c r="D41">
        <v>52</v>
      </c>
      <c r="G41" t="s">
        <v>3656</v>
      </c>
      <c r="I41" t="s">
        <v>3657</v>
      </c>
      <c r="U41" t="s">
        <v>3658</v>
      </c>
      <c r="V41" t="str">
        <f t="shared" si="0"/>
        <v>{dwID=51538,nFrame=52,szName="陷阱·飞鸿无迹",szNote="陷阱·飞鸿无迹·已完",[3]={},[4]={},aFocus={{dwMapID=-1,szDisplay="飞鸿无迹·绿林陷阱",nMaxDistance=0,tRelation={bAll=true,bEnemy=false,bAlly=false,},tLife={bEnable=false,szOperator="&gt;",nValue=0,},},},},</v>
      </c>
    </row>
    <row r="42" spans="1:22" x14ac:dyDescent="0.15">
      <c r="C42">
        <v>51535</v>
      </c>
      <c r="D42">
        <v>52</v>
      </c>
      <c r="G42" t="s">
        <v>3659</v>
      </c>
      <c r="U42" t="s">
        <v>3660</v>
      </c>
      <c r="V42" t="str">
        <f t="shared" si="0"/>
        <v>{dwID=51535,nFrame=52,szName="陷阱·动弹不得",[3]={},[4]={},aFocus={{dwMapID=-1,szDisplay="动弹不得·绿林陷阱",nMaxDistance=0,tRelation={bAll=true,bEnemy=false,bAlly=false,},tLife={bEnable=false,szOperator="&gt;",nValue=0,},},},},</v>
      </c>
    </row>
    <row r="43" spans="1:22" x14ac:dyDescent="0.15">
      <c r="C43">
        <v>51537</v>
      </c>
      <c r="D43">
        <v>52</v>
      </c>
      <c r="G43" t="s">
        <v>3661</v>
      </c>
      <c r="I43" t="s">
        <v>3661</v>
      </c>
      <c r="U43" t="s">
        <v>3662</v>
      </c>
      <c r="V43" t="str">
        <f t="shared" si="0"/>
        <v>{dwID=51537,nFrame=52,szName="无影无踪·未完成",szNote="无影无踪·未完成",[3]={},[4]={},aFocus={{dwMapID=-1,szDisplay="无影无踪·半成品",nMaxDistance=0,tRelation={bAll=true,bEnemy=false,bAlly=false,},tLife={bEnable=false,szOperator="&gt;",nValue=0,},},},},</v>
      </c>
    </row>
    <row r="44" spans="1:22" x14ac:dyDescent="0.15">
      <c r="C44">
        <v>51558</v>
      </c>
      <c r="D44">
        <v>52</v>
      </c>
      <c r="G44" t="s">
        <v>3663</v>
      </c>
      <c r="I44" t="s">
        <v>3664</v>
      </c>
      <c r="U44" t="s">
        <v>3665</v>
      </c>
      <c r="V44" t="str">
        <f t="shared" si="0"/>
        <v>{dwID=51558,nFrame=52,szName="陷阱·无影无踪",szNote="陷阱·无影无踪·已完",[3]={},[4]={},aFocus={{dwMapID=-1,szDisplay="无影无踪·绿林陷阱",nMaxDistance=0,tRelation={bAll=true,bEnemy=false,bAlly=false,},tLife={bEnable=false,szOperator="&gt;",nValue=0,},},},},</v>
      </c>
    </row>
    <row r="45" spans="1:22" x14ac:dyDescent="0.15">
      <c r="C45">
        <v>100133</v>
      </c>
      <c r="D45">
        <v>57</v>
      </c>
      <c r="P45">
        <v>1</v>
      </c>
      <c r="U45" t="s">
        <v>3623</v>
      </c>
      <c r="V45" t="str">
        <f t="shared" si="0"/>
        <v>{dwID=100133,nFrame=57,[3]={bScreenHead=true,},[4]={},aFocus={{dwMapID=-1,nMaxDistance=0,tRelation={bAll=true,bEnemy=false,bAlly=false,},tLife={bEnable=false,szOperator="&gt;",nValue=0,},},},},</v>
      </c>
    </row>
    <row r="46" spans="1:22" x14ac:dyDescent="0.15">
      <c r="C46">
        <v>57417</v>
      </c>
      <c r="D46">
        <v>50</v>
      </c>
      <c r="U46" t="s">
        <v>3622</v>
      </c>
      <c r="V46" t="str">
        <f t="shared" si="0"/>
        <v>{dwID=57417,nFrame=50,[3]={},[4]={},aFocus={{dwMapID=-1,nMaxDistance=30,tRelation={bAll=true,bEnemy=false,bAlly=false,},tLife={bEnable=false,szOperator="&gt;",nValue=0,},},},},</v>
      </c>
    </row>
    <row r="47" spans="1:22" x14ac:dyDescent="0.15">
      <c r="C47">
        <v>59949</v>
      </c>
      <c r="D47">
        <v>47</v>
      </c>
      <c r="I47" t="s">
        <v>3666</v>
      </c>
      <c r="J47" t="s">
        <v>2168</v>
      </c>
      <c r="P47">
        <v>1</v>
      </c>
      <c r="U47" t="s">
        <v>3667</v>
      </c>
      <c r="V47" t="str">
        <f t="shared" si="0"/>
        <v>{dwID=59949,nFrame=47,szNote="旅行的商人",col={0,255,0,},[3]={bScreenHead=true,},[4]={},aFocus={{dwMapID=-1,szDisplay="冷逍遥·旅行商人",nMaxDistance=0,tRelation={bAll=true,bEnemy=false,bAlly=false,},tLife={bEnable=false,szOperator="&gt;",nValue=0,},},},},</v>
      </c>
    </row>
    <row r="48" spans="1:22" x14ac:dyDescent="0.15">
      <c r="C48">
        <v>123946</v>
      </c>
      <c r="D48">
        <v>47</v>
      </c>
      <c r="J48" t="s">
        <v>2168</v>
      </c>
      <c r="K48" t="s">
        <v>3668</v>
      </c>
      <c r="O48">
        <v>1</v>
      </c>
      <c r="P48">
        <v>1</v>
      </c>
      <c r="U48" t="s">
        <v>3669</v>
      </c>
      <c r="V48" t="str">
        <f t="shared" si="0"/>
        <v>{dwID=123946,nFrame=47,col={0,255,0,},[3]={tMark={true,false,false,false,false,false,false,false,false,false,},bCenterAlarm=true,bScreenHead=true,},[4]={},aFocus={{dwMapID=-1,nMaxDistance=120,tRelation={bAll=false,bEnemy=false,bAlly=true,},tLife={bEnable=false,szOperator="&gt;",nValue=0,},},},},</v>
      </c>
    </row>
    <row r="49" spans="3:22" x14ac:dyDescent="0.15">
      <c r="C49">
        <v>124302</v>
      </c>
      <c r="D49">
        <v>64</v>
      </c>
      <c r="G49" t="s">
        <v>3635</v>
      </c>
      <c r="U49" t="s">
        <v>3670</v>
      </c>
      <c r="V49" t="str">
        <f t="shared" si="0"/>
        <v>{dwID=124302,nFrame=64,szName="万灵·本体",[3]={},[4]={},aFocus={{dwMapID=-1,szDisplay="万灵·本体",nMaxDistance=20,tRelation={bAll=false,bEnemy=true,bAlly=false,},tLife={bEnable=false,szOperator="&gt;",nValue=0,},},},},</v>
      </c>
    </row>
    <row r="50" spans="3:22" x14ac:dyDescent="0.15">
      <c r="C50">
        <v>124356</v>
      </c>
      <c r="D50">
        <v>64</v>
      </c>
      <c r="U50" t="s">
        <v>3671</v>
      </c>
      <c r="V50" t="str">
        <f t="shared" si="0"/>
        <v>{dwID=124356,nFrame=64,[3]={},[4]={},aFocus={{dwMapID=-1,nMaxDistance=6,tRelation={bAll=false,bEnemy=true,bAlly=false,},tLife={bEnable=false,szOperator="&gt;",nValue=0,},},},},</v>
      </c>
    </row>
    <row r="51" spans="3:22" x14ac:dyDescent="0.15">
      <c r="C51">
        <v>124538</v>
      </c>
      <c r="D51">
        <v>64</v>
      </c>
      <c r="U51" t="s">
        <v>3671</v>
      </c>
      <c r="V51" t="str">
        <f t="shared" si="0"/>
        <v>{dwID=124538,nFrame=64,[3]={},[4]={},aFocus={{dwMapID=-1,nMaxDistance=6,tRelation={bAll=false,bEnemy=true,bAlly=false,},tLife={bEnable=false,szOperator="&gt;",nValue=0,},},},},</v>
      </c>
    </row>
    <row r="52" spans="3:22" x14ac:dyDescent="0.15">
      <c r="C52">
        <v>124539</v>
      </c>
      <c r="D52">
        <v>64</v>
      </c>
      <c r="U52" t="s">
        <v>3671</v>
      </c>
      <c r="V52" t="str">
        <f t="shared" si="0"/>
        <v>{dwID=124539,nFrame=64,[3]={},[4]={},aFocus={{dwMapID=-1,nMaxDistance=6,tRelation={bAll=false,bEnemy=true,bAlly=false,},tLife={bEnable=false,szOperator="&gt;",nValue=0,},},},},</v>
      </c>
    </row>
    <row r="53" spans="3:22" x14ac:dyDescent="0.15">
      <c r="C53">
        <v>124540</v>
      </c>
      <c r="D53">
        <v>64</v>
      </c>
      <c r="U53" t="s">
        <v>3671</v>
      </c>
      <c r="V53" t="str">
        <f t="shared" si="0"/>
        <v>{dwID=124540,nFrame=64,[3]={},[4]={},aFocus={{dwMapID=-1,nMaxDistance=6,tRelation={bAll=false,bEnemy=true,bAlly=false,},tLife={bEnable=false,szOperator="&gt;",nValue=0,},},},},</v>
      </c>
    </row>
    <row r="54" spans="3:22" x14ac:dyDescent="0.15">
      <c r="C54">
        <v>124541</v>
      </c>
      <c r="D54">
        <v>64</v>
      </c>
      <c r="U54" t="s">
        <v>3671</v>
      </c>
      <c r="V54" t="str">
        <f t="shared" si="0"/>
        <v>{dwID=124541,nFrame=64,[3]={},[4]={},aFocus={{dwMapID=-1,nMaxDistance=6,tRelation={bAll=false,bEnemy=true,bAlly=false,},tLife={bEnable=false,szOperator="&gt;",nValue=0,},},},},</v>
      </c>
    </row>
    <row r="55" spans="3:22" x14ac:dyDescent="0.15">
      <c r="C55">
        <v>124542</v>
      </c>
      <c r="D55">
        <v>64</v>
      </c>
      <c r="U55" t="s">
        <v>3671</v>
      </c>
      <c r="V55" t="str">
        <f t="shared" si="0"/>
        <v>{dwID=124542,nFrame=64,[3]={},[4]={},aFocus={{dwMapID=-1,nMaxDistance=6,tRelation={bAll=false,bEnemy=true,bAlly=false,},tLife={bEnable=false,szOperator="&gt;",nValue=0,},},},},</v>
      </c>
    </row>
    <row r="56" spans="3:22" x14ac:dyDescent="0.15">
      <c r="C56">
        <v>46140</v>
      </c>
      <c r="D56">
        <v>47</v>
      </c>
      <c r="G56" t="s">
        <v>3633</v>
      </c>
      <c r="I56" t="s">
        <v>91</v>
      </c>
      <c r="U56" t="s">
        <v>3672</v>
      </c>
      <c r="V56" t="str">
        <f t="shared" si="0"/>
        <v>{dwID=46140,nFrame=47,szName="长歌·本体",szNote="清绝影歌",[3]={},[4]={},aFocus={{dwMapID=-1,szDisplay="长歌·本体",nMaxDistance=10,tRelation={bAll=false,bEnemy=true,bAlly=false,},tLife={bEnable=false,szOperator="&gt;",nValue=0,},},},},</v>
      </c>
    </row>
    <row r="57" spans="3:22" x14ac:dyDescent="0.15">
      <c r="C57">
        <v>46297</v>
      </c>
      <c r="D57">
        <v>47</v>
      </c>
      <c r="G57" t="s">
        <v>3673</v>
      </c>
      <c r="U57" t="s">
        <v>3674</v>
      </c>
      <c r="V57" t="str">
        <f t="shared" si="0"/>
        <v>{dwID=46297,nFrame=47,szName="长歌·影子",[3]={},[4]={},aFocus={{dwMapID=-1,szDisplay="长歌·影子",nMaxDistance=20,tRelation={bAll=false,bEnemy=false,bAlly=false,},tLife={bEnable=false,szOperator="&gt;",nValue=0,},},},},</v>
      </c>
    </row>
    <row r="58" spans="3:22" x14ac:dyDescent="0.15">
      <c r="C58">
        <v>124067</v>
      </c>
      <c r="D58">
        <v>64</v>
      </c>
      <c r="G58" t="s">
        <v>3675</v>
      </c>
      <c r="I58" t="s">
        <v>3675</v>
      </c>
      <c r="U58" t="s">
        <v>3676</v>
      </c>
      <c r="V58" t="str">
        <f t="shared" si="0"/>
        <v>{dwID=124067,nFrame=64,szName="汇灵合契·乘黄",szNote="汇灵合契·乘黄",[3]={},[4]={},aFocus={{dwMapID=-1,szDisplay="汇灵合契·乘黄",nMaxDistance=10,tRelation={bAll=false,bEnemy=true,bAlly=false,},tLife={bEnable=false,szOperator="&gt;",nValue=0,},},},},</v>
      </c>
    </row>
    <row r="59" spans="3:22" x14ac:dyDescent="0.15">
      <c r="C59">
        <v>106632</v>
      </c>
      <c r="D59">
        <v>47</v>
      </c>
      <c r="G59" t="s">
        <v>3677</v>
      </c>
      <c r="I59" t="s">
        <v>3678</v>
      </c>
      <c r="U59" t="s">
        <v>3679</v>
      </c>
      <c r="V59" t="str">
        <f t="shared" si="0"/>
        <v>{dwID=106632,nFrame=47,szName="紫叶花",szNote="药宗·紫叶沉疴",[3]={},[4]={},aFocus={{dwMapID=-1,szDisplay="紫叶花",nMaxDistance=0,tRelation={bAll=false,bEnemy=false,bAlly=false,},tLife={bEnable=false,szOperator="&gt;",nValue=0,},},},},</v>
      </c>
    </row>
    <row r="60" spans="3:22" x14ac:dyDescent="0.15">
      <c r="C60">
        <v>9998</v>
      </c>
      <c r="D60">
        <v>64</v>
      </c>
      <c r="H60" t="s">
        <v>2344</v>
      </c>
      <c r="V60" t="str">
        <f t="shared" si="0"/>
        <v>{dwID=9998,nFrame=64,tKungFu={["SKILL#10175"]=true,["SKILL#10176"]=true,},[3]={},[4]={},},</v>
      </c>
    </row>
    <row r="61" spans="3:22" x14ac:dyDescent="0.15">
      <c r="C61">
        <v>111963</v>
      </c>
      <c r="D61">
        <v>64</v>
      </c>
      <c r="I61" t="s">
        <v>3680</v>
      </c>
      <c r="U61" t="s">
        <v>3681</v>
      </c>
      <c r="V61" t="str">
        <f t="shared" si="0"/>
        <v>{dwID=111963,nFrame=64,szNote="带ID的孔雀",[3]={},[4]={},aFocus={{dwMapID=-1,nMaxDistance=20,tRelation={bAll=false,bEnemy=false,bAlly=false,},tLife={bEnable=true,szOperator="&lt;",nValue=100,},},},},</v>
      </c>
    </row>
    <row r="62" spans="3:22" x14ac:dyDescent="0.15">
      <c r="C62">
        <v>9997</v>
      </c>
      <c r="D62">
        <v>64</v>
      </c>
      <c r="U62" t="s">
        <v>3682</v>
      </c>
      <c r="V62" t="str">
        <f t="shared" si="0"/>
        <v>{dwID=9997,nFrame=64,[3]={},[4]={},aFocus={{dwMapID=-1,nMaxDistance=24,tRelation={bAll=false,bEnemy=true,bAlly=false,},tLife={bEnable=false,szOperator="&gt;",nValue=0,},},},},</v>
      </c>
    </row>
    <row r="63" spans="3:22" x14ac:dyDescent="0.15">
      <c r="C63">
        <v>113280</v>
      </c>
      <c r="D63">
        <v>64</v>
      </c>
      <c r="I63" t="s">
        <v>3683</v>
      </c>
      <c r="U63" t="s">
        <v>3681</v>
      </c>
      <c r="V63" t="str">
        <f t="shared" si="0"/>
        <v>{dwID=113280,nFrame=64,szNote="假孔雀·模型",[3]={},[4]={},aFocus={{dwMapID=-1,nMaxDistance=20,tRelation={bAll=false,bEnemy=false,bAlly=false,},tLife={bEnable=true,szOperator="&lt;",nValue=100,},},},},</v>
      </c>
    </row>
    <row r="64" spans="3:22" x14ac:dyDescent="0.15">
      <c r="C64">
        <v>9999</v>
      </c>
      <c r="D64">
        <v>64</v>
      </c>
      <c r="H64" t="s">
        <v>3684</v>
      </c>
      <c r="U64" t="s">
        <v>3685</v>
      </c>
      <c r="V64" t="str">
        <f t="shared" si="0"/>
        <v>{dwID=9999,nFrame=64,tKungFu={["SKILL#10002"]=true,["SKILL#10028"]=true,["SKILL#10062"]=true,["SKILL#10080"]=true,["SKILL#10175"]=true,["SKILL#10176"]=true,["SKILL#10243"]=true,["SKILL#10389"]=true,["SKILL#10448"]=true,["SKILL#10626"]=true,},[3]={},[4]={},aFocus={{dwMapID=-1,nMaxDistance=24,tRelation={bAll=false,bEnemy=false,bAlly=true,},tLife={bEnable=true,szOperator="&lt;",nValue=60,},},},},</v>
      </c>
    </row>
    <row r="65" spans="3:22" x14ac:dyDescent="0.15">
      <c r="C65">
        <v>9956</v>
      </c>
      <c r="D65">
        <v>64</v>
      </c>
      <c r="H65" t="s">
        <v>2344</v>
      </c>
      <c r="V65" t="str">
        <f t="shared" si="0"/>
        <v>{dwID=9956,nFrame=64,tKungFu={["SKILL#10175"]=true,["SKILL#10176"]=true,},[3]={},[4]={},},</v>
      </c>
    </row>
    <row r="66" spans="3:22" x14ac:dyDescent="0.15">
      <c r="C66">
        <v>9996</v>
      </c>
      <c r="D66">
        <v>64</v>
      </c>
      <c r="H66" t="s">
        <v>2344</v>
      </c>
      <c r="V66" t="str">
        <f t="shared" ref="V66:V129" si="1">IF(ISBLANK(B66)=FALSE,IF(ISBLANK(B65),"},["&amp;B66&amp;"]={","["&amp;B66&amp;"]={"),IF(AND(ISBLANK(B66),ISBLANK(D66),ISBLANK(C66),OR(ISBLANK(B65)=FALSE,ISBLANK(D65)=FALSE,ISBLANK(C65)=FALSE)),"},},}",IF(ISBLANK(C66),"","{dwID="&amp;C66&amp;","&amp;"nFrame="&amp;D66&amp;","&amp;IF(E66&gt;0,"nCount="&amp;E66&amp;",","")&amp;IF(F66&gt;0,"bAllLeave=true,","")&amp;IF(G66&lt;&gt;"","szName="""&amp;G66&amp;""",","")&amp;IF(H66&lt;&gt;"","tKungFu={"&amp;H66&amp;"},","")&amp;IF(I66&lt;&gt;"","szNote="""&amp;I66&amp;""",","")&amp;IF(J66&lt;&gt;"","col={"&amp;J66&amp;"},","")&amp;"[3]={"&amp;IF(K66&lt;&gt;"","tMark={"&amp;K66&amp;"},","")&amp;IF(L66&lt;&gt;"","szVoice="""&amp;L66&amp;""",","")&amp;IF(M66&gt;0,"bTeamChannel=true,","")&amp;IF(N66&gt;0,"bWhisperChannel=true,","")&amp;IF(O66&gt;0,"bCenterAlarm=true,","")&amp;IF(P66&gt;0,"bScreenHead=true,","")&amp;"},"&amp;"[4]={"&amp;IF(Q66&lt;&gt;"","szVoice="""&amp;Q66&amp;""",","")&amp;IF(R66&gt;0,"bTeamChannel=true,","")&amp;IF(S66&gt;0,"bWhisperChannel=true,","")&amp;IF(T66&gt;0,"bCenterAlarm=true,","")&amp;"},"&amp;IF(U66&lt;&gt;"","aFocus={"&amp;U66&amp;"},","")&amp;IF(W66&lt;&gt;"","tCountdown={"&amp;_xlfn.TEXTJOIN("",TRUE,W66:ZZ66)&amp;"},","")&amp;"},")))</f>
        <v>{dwID=9996,nFrame=64,tKungFu={["SKILL#10175"]=true,["SKILL#10176"]=true,},[3]={},[4]={},},</v>
      </c>
    </row>
    <row r="67" spans="3:22" x14ac:dyDescent="0.15">
      <c r="C67">
        <v>12944</v>
      </c>
      <c r="D67">
        <v>64</v>
      </c>
      <c r="H67" t="s">
        <v>3520</v>
      </c>
      <c r="V67" t="str">
        <f t="shared" si="1"/>
        <v>{dwID=12944,nFrame=64,tKungFu={["SKILL#10176"]=true,},[3]={},[4]={},},</v>
      </c>
    </row>
    <row r="68" spans="3:22" x14ac:dyDescent="0.15">
      <c r="C68">
        <v>51942</v>
      </c>
      <c r="D68">
        <v>47</v>
      </c>
      <c r="J68" t="s">
        <v>2168</v>
      </c>
      <c r="O68">
        <v>1</v>
      </c>
      <c r="P68">
        <v>1</v>
      </c>
      <c r="U68" t="s">
        <v>3686</v>
      </c>
      <c r="V68" t="str">
        <f t="shared" si="1"/>
        <v>{dwID=51942,nFrame=47,col={0,255,0,},[3]={bCenterAlarm=true,bScreenHead=true,},[4]={},aFocus={{dwMapID=-1,szDisplay="阿飞·江湖绿林",nMaxDistance=120,tRelation={bAll=true,bEnemy=false,bAlly=false,},tLife={bEnable=false,szOperator="&gt;",nValue=0,},},},},</v>
      </c>
    </row>
    <row r="69" spans="3:22" x14ac:dyDescent="0.15">
      <c r="C69">
        <v>106688</v>
      </c>
      <c r="D69">
        <v>47</v>
      </c>
      <c r="G69" t="s">
        <v>3630</v>
      </c>
      <c r="U69" t="s">
        <v>3687</v>
      </c>
      <c r="V69" t="str">
        <f t="shared" si="1"/>
        <v>{dwID=106688,nFrame=47,szName="阿甘贰型",[3]={},[4]={},aFocus={{dwMapID=-1,szDisplay="阿甘贰型",nMaxDistance=20,tRelation={bAll=true,bEnemy=false,bAlly=false,},tLife={bEnable=false,szOperator="&gt;",nValue=0,},},},},</v>
      </c>
    </row>
    <row r="70" spans="3:22" x14ac:dyDescent="0.15">
      <c r="C70">
        <v>30221</v>
      </c>
      <c r="D70">
        <v>52</v>
      </c>
      <c r="I70" t="s">
        <v>3688</v>
      </c>
      <c r="U70" t="s">
        <v>3689</v>
      </c>
      <c r="V70" t="str">
        <f t="shared" si="1"/>
        <v>{dwID=30221,nFrame=52,szNote="通用箭塔·龙门荒漠",[3]={},[4]={},aFocus={{dwMapID=-1,nMaxDistance=0,tRelation={bAll=false,bEnemy=true,bAlly=false,},tLife={bEnable=true,szOperator="&gt;=",nValue=10,},},},},</v>
      </c>
    </row>
    <row r="71" spans="3:22" x14ac:dyDescent="0.15">
      <c r="C71">
        <v>30222</v>
      </c>
      <c r="D71">
        <v>52</v>
      </c>
      <c r="I71" t="s">
        <v>3688</v>
      </c>
      <c r="U71" t="s">
        <v>3689</v>
      </c>
      <c r="V71" t="str">
        <f t="shared" si="1"/>
        <v>{dwID=30222,nFrame=52,szNote="通用箭塔·龙门荒漠",[3]={},[4]={},aFocus={{dwMapID=-1,nMaxDistance=0,tRelation={bAll=false,bEnemy=true,bAlly=false,},tLife={bEnable=true,szOperator="&gt;=",nValue=10,},},},},</v>
      </c>
    </row>
    <row r="72" spans="3:22" x14ac:dyDescent="0.15">
      <c r="C72">
        <v>30231</v>
      </c>
      <c r="D72">
        <v>52</v>
      </c>
      <c r="I72" t="s">
        <v>3688</v>
      </c>
      <c r="U72" t="s">
        <v>3689</v>
      </c>
      <c r="V72" t="str">
        <f t="shared" si="1"/>
        <v>{dwID=30231,nFrame=52,szNote="通用箭塔·龙门荒漠",[3]={},[4]={},aFocus={{dwMapID=-1,nMaxDistance=0,tRelation={bAll=false,bEnemy=true,bAlly=false,},tLife={bEnable=true,szOperator="&gt;=",nValue=10,},},},},</v>
      </c>
    </row>
    <row r="73" spans="3:22" x14ac:dyDescent="0.15">
      <c r="C73">
        <v>30232</v>
      </c>
      <c r="D73">
        <v>52</v>
      </c>
      <c r="I73" t="s">
        <v>3688</v>
      </c>
      <c r="U73" t="s">
        <v>3689</v>
      </c>
      <c r="V73" t="str">
        <f t="shared" si="1"/>
        <v>{dwID=30232,nFrame=52,szNote="通用箭塔·龙门荒漠",[3]={},[4]={},aFocus={{dwMapID=-1,nMaxDistance=0,tRelation={bAll=false,bEnemy=true,bAlly=false,},tLife={bEnable=true,szOperator="&gt;=",nValue=10,},},},},</v>
      </c>
    </row>
    <row r="74" spans="3:22" x14ac:dyDescent="0.15">
      <c r="C74">
        <v>29301</v>
      </c>
      <c r="D74">
        <v>52</v>
      </c>
      <c r="I74" t="s">
        <v>3688</v>
      </c>
      <c r="U74" t="s">
        <v>3689</v>
      </c>
      <c r="V74" t="str">
        <f t="shared" si="1"/>
        <v>{dwID=29301,nFrame=52,szNote="通用箭塔·龙门荒漠",[3]={},[4]={},aFocus={{dwMapID=-1,nMaxDistance=0,tRelation={bAll=false,bEnemy=true,bAlly=false,},tLife={bEnable=true,szOperator="&gt;=",nValue=10,},},},},</v>
      </c>
    </row>
    <row r="75" spans="3:22" x14ac:dyDescent="0.15">
      <c r="C75">
        <v>29302</v>
      </c>
      <c r="D75">
        <v>52</v>
      </c>
      <c r="I75" t="s">
        <v>3688</v>
      </c>
      <c r="U75" t="s">
        <v>3689</v>
      </c>
      <c r="V75" t="str">
        <f t="shared" si="1"/>
        <v>{dwID=29302,nFrame=52,szNote="通用箭塔·龙门荒漠",[3]={},[4]={},aFocus={{dwMapID=-1,nMaxDistance=0,tRelation={bAll=false,bEnemy=true,bAlly=false,},tLife={bEnable=true,szOperator="&gt;=",nValue=10,},},},},</v>
      </c>
    </row>
    <row r="76" spans="3:22" x14ac:dyDescent="0.15">
      <c r="C76">
        <v>29303</v>
      </c>
      <c r="D76">
        <v>52</v>
      </c>
      <c r="I76" t="s">
        <v>3688</v>
      </c>
      <c r="U76" t="s">
        <v>3689</v>
      </c>
      <c r="V76" t="str">
        <f t="shared" si="1"/>
        <v>{dwID=29303,nFrame=52,szNote="通用箭塔·龙门荒漠",[3]={},[4]={},aFocus={{dwMapID=-1,nMaxDistance=0,tRelation={bAll=false,bEnemy=true,bAlly=false,},tLife={bEnable=true,szOperator="&gt;=",nValue=10,},},},},</v>
      </c>
    </row>
    <row r="77" spans="3:22" x14ac:dyDescent="0.15">
      <c r="C77">
        <v>29304</v>
      </c>
      <c r="D77">
        <v>52</v>
      </c>
      <c r="I77" t="s">
        <v>3688</v>
      </c>
      <c r="U77" t="s">
        <v>3689</v>
      </c>
      <c r="V77" t="str">
        <f t="shared" si="1"/>
        <v>{dwID=29304,nFrame=52,szNote="通用箭塔·龙门荒漠",[3]={},[4]={},aFocus={{dwMapID=-1,nMaxDistance=0,tRelation={bAll=false,bEnemy=true,bAlly=false,},tLife={bEnable=true,szOperator="&gt;=",nValue=10,},},},},</v>
      </c>
    </row>
    <row r="78" spans="3:22" x14ac:dyDescent="0.15">
      <c r="C78">
        <v>29305</v>
      </c>
      <c r="D78">
        <v>52</v>
      </c>
      <c r="I78" t="s">
        <v>3688</v>
      </c>
      <c r="U78" t="s">
        <v>3689</v>
      </c>
      <c r="V78" t="str">
        <f t="shared" si="1"/>
        <v>{dwID=29305,nFrame=52,szNote="通用箭塔·龙门荒漠",[3]={},[4]={},aFocus={{dwMapID=-1,nMaxDistance=0,tRelation={bAll=false,bEnemy=true,bAlly=false,},tLife={bEnable=true,szOperator="&gt;=",nValue=10,},},},},</v>
      </c>
    </row>
    <row r="79" spans="3:22" x14ac:dyDescent="0.15">
      <c r="C79">
        <v>29306</v>
      </c>
      <c r="D79">
        <v>52</v>
      </c>
      <c r="I79" t="s">
        <v>3688</v>
      </c>
      <c r="U79" t="s">
        <v>3689</v>
      </c>
      <c r="V79" t="str">
        <f t="shared" si="1"/>
        <v>{dwID=29306,nFrame=52,szNote="通用箭塔·龙门荒漠",[3]={},[4]={},aFocus={{dwMapID=-1,nMaxDistance=0,tRelation={bAll=false,bEnemy=true,bAlly=false,},tLife={bEnable=true,szOperator="&gt;=",nValue=10,},},},},</v>
      </c>
    </row>
    <row r="80" spans="3:22" x14ac:dyDescent="0.15">
      <c r="C80">
        <v>29307</v>
      </c>
      <c r="D80">
        <v>52</v>
      </c>
      <c r="I80" t="s">
        <v>3688</v>
      </c>
      <c r="U80" t="s">
        <v>3689</v>
      </c>
      <c r="V80" t="str">
        <f t="shared" si="1"/>
        <v>{dwID=29307,nFrame=52,szNote="通用箭塔·龙门荒漠",[3]={},[4]={},aFocus={{dwMapID=-1,nMaxDistance=0,tRelation={bAll=false,bEnemy=true,bAlly=false,},tLife={bEnable=true,szOperator="&gt;=",nValue=10,},},},},</v>
      </c>
    </row>
    <row r="81" spans="3:22" x14ac:dyDescent="0.15">
      <c r="C81">
        <v>29308</v>
      </c>
      <c r="D81">
        <v>52</v>
      </c>
      <c r="I81" t="s">
        <v>3688</v>
      </c>
      <c r="U81" t="s">
        <v>3689</v>
      </c>
      <c r="V81" t="str">
        <f t="shared" si="1"/>
        <v>{dwID=29308,nFrame=52,szNote="通用箭塔·龙门荒漠",[3]={},[4]={},aFocus={{dwMapID=-1,nMaxDistance=0,tRelation={bAll=false,bEnemy=true,bAlly=false,},tLife={bEnable=true,szOperator="&gt;=",nValue=10,},},},},</v>
      </c>
    </row>
    <row r="82" spans="3:22" x14ac:dyDescent="0.15">
      <c r="C82">
        <v>29309</v>
      </c>
      <c r="D82">
        <v>52</v>
      </c>
      <c r="I82" t="s">
        <v>3688</v>
      </c>
      <c r="U82" t="s">
        <v>3689</v>
      </c>
      <c r="V82" t="str">
        <f t="shared" si="1"/>
        <v>{dwID=29309,nFrame=52,szNote="通用箭塔·龙门荒漠",[3]={},[4]={},aFocus={{dwMapID=-1,nMaxDistance=0,tRelation={bAll=false,bEnemy=true,bAlly=false,},tLife={bEnable=true,szOperator="&gt;=",nValue=10,},},},},</v>
      </c>
    </row>
    <row r="83" spans="3:22" x14ac:dyDescent="0.15">
      <c r="C83">
        <v>30122</v>
      </c>
      <c r="D83">
        <v>52</v>
      </c>
      <c r="I83" t="s">
        <v>3688</v>
      </c>
      <c r="U83" t="s">
        <v>3689</v>
      </c>
      <c r="V83" t="str">
        <f t="shared" si="1"/>
        <v>{dwID=30122,nFrame=52,szNote="通用箭塔·龙门荒漠",[3]={},[4]={},aFocus={{dwMapID=-1,nMaxDistance=0,tRelation={bAll=false,bEnemy=true,bAlly=false,},tLife={bEnable=true,szOperator="&gt;=",nValue=10,},},},},</v>
      </c>
    </row>
    <row r="84" spans="3:22" x14ac:dyDescent="0.15">
      <c r="C84">
        <v>30123</v>
      </c>
      <c r="D84">
        <v>52</v>
      </c>
      <c r="I84" t="s">
        <v>3688</v>
      </c>
      <c r="U84" t="s">
        <v>3689</v>
      </c>
      <c r="V84" t="str">
        <f t="shared" si="1"/>
        <v>{dwID=30123,nFrame=52,szNote="通用箭塔·龙门荒漠",[3]={},[4]={},aFocus={{dwMapID=-1,nMaxDistance=0,tRelation={bAll=false,bEnemy=true,bAlly=false,},tLife={bEnable=true,szOperator="&gt;=",nValue=10,},},},},</v>
      </c>
    </row>
    <row r="85" spans="3:22" x14ac:dyDescent="0.15">
      <c r="C85">
        <v>30131</v>
      </c>
      <c r="D85">
        <v>52</v>
      </c>
      <c r="I85" t="s">
        <v>3688</v>
      </c>
      <c r="U85" t="s">
        <v>3689</v>
      </c>
      <c r="V85" t="str">
        <f t="shared" si="1"/>
        <v>{dwID=30131,nFrame=52,szNote="通用箭塔·龙门荒漠",[3]={},[4]={},aFocus={{dwMapID=-1,nMaxDistance=0,tRelation={bAll=false,bEnemy=true,bAlly=false,},tLife={bEnable=true,szOperator="&gt;=",nValue=10,},},},},</v>
      </c>
    </row>
    <row r="86" spans="3:22" x14ac:dyDescent="0.15">
      <c r="C86">
        <v>29801</v>
      </c>
      <c r="D86">
        <v>52</v>
      </c>
      <c r="I86" t="s">
        <v>3690</v>
      </c>
      <c r="U86" t="s">
        <v>3689</v>
      </c>
      <c r="V86" t="str">
        <f t="shared" si="1"/>
        <v>{dwID=29801,nFrame=52,szNote="通用箭塔·昆仑",[3]={},[4]={},aFocus={{dwMapID=-1,nMaxDistance=0,tRelation={bAll=false,bEnemy=true,bAlly=false,},tLife={bEnable=true,szOperator="&gt;=",nValue=10,},},},},</v>
      </c>
    </row>
    <row r="87" spans="3:22" x14ac:dyDescent="0.15">
      <c r="C87">
        <v>29802</v>
      </c>
      <c r="D87">
        <v>52</v>
      </c>
      <c r="I87" t="s">
        <v>3690</v>
      </c>
      <c r="U87" t="s">
        <v>3689</v>
      </c>
      <c r="V87" t="str">
        <f t="shared" si="1"/>
        <v>{dwID=29802,nFrame=52,szNote="通用箭塔·昆仑",[3]={},[4]={},aFocus={{dwMapID=-1,nMaxDistance=0,tRelation={bAll=false,bEnemy=true,bAlly=false,},tLife={bEnable=true,szOperator="&gt;=",nValue=10,},},},},</v>
      </c>
    </row>
    <row r="88" spans="3:22" x14ac:dyDescent="0.15">
      <c r="C88">
        <v>29803</v>
      </c>
      <c r="D88">
        <v>52</v>
      </c>
      <c r="I88" t="s">
        <v>3690</v>
      </c>
      <c r="U88" t="s">
        <v>3689</v>
      </c>
      <c r="V88" t="str">
        <f t="shared" si="1"/>
        <v>{dwID=29803,nFrame=52,szNote="通用箭塔·昆仑",[3]={},[4]={},aFocus={{dwMapID=-1,nMaxDistance=0,tRelation={bAll=false,bEnemy=true,bAlly=false,},tLife={bEnable=true,szOperator="&gt;=",nValue=10,},},},},</v>
      </c>
    </row>
    <row r="89" spans="3:22" x14ac:dyDescent="0.15">
      <c r="C89">
        <v>29103</v>
      </c>
      <c r="D89">
        <v>52</v>
      </c>
      <c r="I89" t="s">
        <v>3691</v>
      </c>
      <c r="U89" t="s">
        <v>3689</v>
      </c>
      <c r="V89" t="str">
        <f t="shared" si="1"/>
        <v>{dwID=29103,nFrame=52,szNote="通用箭塔·瞿塘峡",[3]={},[4]={},aFocus={{dwMapID=-1,nMaxDistance=0,tRelation={bAll=false,bEnemy=true,bAlly=false,},tLife={bEnable=true,szOperator="&gt;=",nValue=10,},},},},</v>
      </c>
    </row>
    <row r="90" spans="3:22" x14ac:dyDescent="0.15">
      <c r="C90">
        <v>29203</v>
      </c>
      <c r="D90">
        <v>52</v>
      </c>
      <c r="I90" t="s">
        <v>3691</v>
      </c>
      <c r="U90" t="s">
        <v>3689</v>
      </c>
      <c r="V90" t="str">
        <f t="shared" si="1"/>
        <v>{dwID=29203,nFrame=52,szNote="通用箭塔·瞿塘峡",[3]={},[4]={},aFocus={{dwMapID=-1,nMaxDistance=0,tRelation={bAll=false,bEnemy=true,bAlly=false,},tLife={bEnable=true,szOperator="&gt;=",nValue=10,},},},},</v>
      </c>
    </row>
    <row r="91" spans="3:22" x14ac:dyDescent="0.15">
      <c r="C91">
        <v>29204</v>
      </c>
      <c r="D91">
        <v>52</v>
      </c>
      <c r="I91" t="s">
        <v>3691</v>
      </c>
      <c r="U91" t="s">
        <v>3689</v>
      </c>
      <c r="V91" t="str">
        <f t="shared" si="1"/>
        <v>{dwID=29204,nFrame=52,szNote="通用箭塔·瞿塘峡",[3]={},[4]={},aFocus={{dwMapID=-1,nMaxDistance=0,tRelation={bAll=false,bEnemy=true,bAlly=false,},tLife={bEnable=true,szOperator="&gt;=",nValue=10,},},},},</v>
      </c>
    </row>
    <row r="92" spans="3:22" x14ac:dyDescent="0.15">
      <c r="C92">
        <v>29205</v>
      </c>
      <c r="D92">
        <v>52</v>
      </c>
      <c r="I92" t="s">
        <v>3691</v>
      </c>
      <c r="U92" t="s">
        <v>3689</v>
      </c>
      <c r="V92" t="str">
        <f t="shared" si="1"/>
        <v>{dwID=29205,nFrame=52,szNote="通用箭塔·瞿塘峡",[3]={},[4]={},aFocus={{dwMapID=-1,nMaxDistance=0,tRelation={bAll=false,bEnemy=true,bAlly=false,},tLife={bEnable=true,szOperator="&gt;=",nValue=10,},},},},</v>
      </c>
    </row>
    <row r="93" spans="3:22" x14ac:dyDescent="0.15">
      <c r="C93">
        <v>29206</v>
      </c>
      <c r="D93">
        <v>52</v>
      </c>
      <c r="I93" t="s">
        <v>3691</v>
      </c>
      <c r="U93" t="s">
        <v>3689</v>
      </c>
      <c r="V93" t="str">
        <f t="shared" si="1"/>
        <v>{dwID=29206,nFrame=52,szNote="通用箭塔·瞿塘峡",[3]={},[4]={},aFocus={{dwMapID=-1,nMaxDistance=0,tRelation={bAll=false,bEnemy=true,bAlly=false,},tLife={bEnable=true,szOperator="&gt;=",nValue=10,},},},},</v>
      </c>
    </row>
    <row r="94" spans="3:22" x14ac:dyDescent="0.15">
      <c r="C94">
        <v>29013</v>
      </c>
      <c r="D94">
        <v>52</v>
      </c>
      <c r="I94" t="s">
        <v>3692</v>
      </c>
      <c r="U94" t="s">
        <v>3689</v>
      </c>
      <c r="V94" t="str">
        <f t="shared" si="1"/>
        <v>{dwID=29013,nFrame=52,szNote="通用箭塔·无量山",[3]={},[4]={},aFocus={{dwMapID=-1,nMaxDistance=0,tRelation={bAll=false,bEnemy=true,bAlly=false,},tLife={bEnable=true,szOperator="&gt;=",nValue=10,},},},},</v>
      </c>
    </row>
    <row r="95" spans="3:22" x14ac:dyDescent="0.15">
      <c r="C95">
        <v>30241</v>
      </c>
      <c r="D95">
        <v>52</v>
      </c>
      <c r="I95" t="s">
        <v>3693</v>
      </c>
      <c r="U95" t="s">
        <v>3689</v>
      </c>
      <c r="V95" t="str">
        <f t="shared" si="1"/>
        <v>{dwID=30241,nFrame=52,szNote="通用箭塔·苍山洱海",[3]={},[4]={},aFocus={{dwMapID=-1,nMaxDistance=0,tRelation={bAll=false,bEnemy=true,bAlly=false,},tLife={bEnable=true,szOperator="&gt;=",nValue=10,},},},},</v>
      </c>
    </row>
    <row r="96" spans="3:22" x14ac:dyDescent="0.15">
      <c r="C96">
        <v>30242</v>
      </c>
      <c r="D96">
        <v>52</v>
      </c>
      <c r="I96" t="s">
        <v>3693</v>
      </c>
      <c r="U96" t="s">
        <v>3689</v>
      </c>
      <c r="V96" t="str">
        <f t="shared" si="1"/>
        <v>{dwID=30242,nFrame=52,szNote="通用箭塔·苍山洱海",[3]={},[4]={},aFocus={{dwMapID=-1,nMaxDistance=0,tRelation={bAll=false,bEnemy=true,bAlly=false,},tLife={bEnable=true,szOperator="&gt;=",nValue=10,},},},},</v>
      </c>
    </row>
    <row r="97" spans="3:22" x14ac:dyDescent="0.15">
      <c r="C97">
        <v>30251</v>
      </c>
      <c r="D97">
        <v>52</v>
      </c>
      <c r="I97" t="s">
        <v>3693</v>
      </c>
      <c r="U97" t="s">
        <v>3689</v>
      </c>
      <c r="V97" t="str">
        <f t="shared" si="1"/>
        <v>{dwID=30251,nFrame=52,szNote="通用箭塔·苍山洱海",[3]={},[4]={},aFocus={{dwMapID=-1,nMaxDistance=0,tRelation={bAll=false,bEnemy=true,bAlly=false,},tLife={bEnable=true,szOperator="&gt;=",nValue=10,},},},},</v>
      </c>
    </row>
    <row r="98" spans="3:22" x14ac:dyDescent="0.15">
      <c r="C98">
        <v>30252</v>
      </c>
      <c r="D98">
        <v>52</v>
      </c>
      <c r="I98" t="s">
        <v>3693</v>
      </c>
      <c r="U98" t="s">
        <v>3689</v>
      </c>
      <c r="V98" t="str">
        <f t="shared" si="1"/>
        <v>{dwID=30252,nFrame=52,szNote="通用箭塔·苍山洱海",[3]={},[4]={},aFocus={{dwMapID=-1,nMaxDistance=0,tRelation={bAll=false,bEnemy=true,bAlly=false,},tLife={bEnable=true,szOperator="&gt;=",nValue=10,},},},},</v>
      </c>
    </row>
    <row r="99" spans="3:22" x14ac:dyDescent="0.15">
      <c r="C99">
        <v>29601</v>
      </c>
      <c r="D99">
        <v>52</v>
      </c>
      <c r="I99" t="s">
        <v>3693</v>
      </c>
      <c r="U99" t="s">
        <v>3689</v>
      </c>
      <c r="V99" t="str">
        <f t="shared" si="1"/>
        <v>{dwID=29601,nFrame=52,szNote="通用箭塔·苍山洱海",[3]={},[4]={},aFocus={{dwMapID=-1,nMaxDistance=0,tRelation={bAll=false,bEnemy=true,bAlly=false,},tLife={bEnable=true,szOperator="&gt;=",nValue=10,},},},},</v>
      </c>
    </row>
    <row r="100" spans="3:22" x14ac:dyDescent="0.15">
      <c r="C100">
        <v>29602</v>
      </c>
      <c r="D100">
        <v>52</v>
      </c>
      <c r="I100" t="s">
        <v>3693</v>
      </c>
      <c r="U100" t="s">
        <v>3689</v>
      </c>
      <c r="V100" t="str">
        <f t="shared" si="1"/>
        <v>{dwID=29602,nFrame=52,szNote="通用箭塔·苍山洱海",[3]={},[4]={},aFocus={{dwMapID=-1,nMaxDistance=0,tRelation={bAll=false,bEnemy=true,bAlly=false,},tLife={bEnable=true,szOperator="&gt;=",nValue=10,},},},},</v>
      </c>
    </row>
    <row r="101" spans="3:22" x14ac:dyDescent="0.15">
      <c r="C101">
        <v>29603</v>
      </c>
      <c r="D101">
        <v>52</v>
      </c>
      <c r="I101" t="s">
        <v>3693</v>
      </c>
      <c r="U101" t="s">
        <v>3689</v>
      </c>
      <c r="V101" t="str">
        <f t="shared" si="1"/>
        <v>{dwID=29603,nFrame=52,szNote="通用箭塔·苍山洱海",[3]={},[4]={},aFocus={{dwMapID=-1,nMaxDistance=0,tRelation={bAll=false,bEnemy=true,bAlly=false,},tLife={bEnable=true,szOperator="&gt;=",nValue=10,},},},},</v>
      </c>
    </row>
    <row r="102" spans="3:22" x14ac:dyDescent="0.15">
      <c r="C102">
        <v>29604</v>
      </c>
      <c r="D102">
        <v>52</v>
      </c>
      <c r="I102" t="s">
        <v>3693</v>
      </c>
      <c r="U102" t="s">
        <v>3689</v>
      </c>
      <c r="V102" t="str">
        <f t="shared" si="1"/>
        <v>{dwID=29604,nFrame=52,szNote="通用箭塔·苍山洱海",[3]={},[4]={},aFocus={{dwMapID=-1,nMaxDistance=0,tRelation={bAll=false,bEnemy=true,bAlly=false,},tLife={bEnable=true,szOperator="&gt;=",nValue=10,},},},},</v>
      </c>
    </row>
    <row r="103" spans="3:22" x14ac:dyDescent="0.15">
      <c r="C103">
        <v>29605</v>
      </c>
      <c r="D103">
        <v>52</v>
      </c>
      <c r="I103" t="s">
        <v>3693</v>
      </c>
      <c r="U103" t="s">
        <v>3689</v>
      </c>
      <c r="V103" t="str">
        <f t="shared" si="1"/>
        <v>{dwID=29605,nFrame=52,szNote="通用箭塔·苍山洱海",[3]={},[4]={},aFocus={{dwMapID=-1,nMaxDistance=0,tRelation={bAll=false,bEnemy=true,bAlly=false,},tLife={bEnable=true,szOperator="&gt;=",nValue=10,},},},},</v>
      </c>
    </row>
    <row r="104" spans="3:22" x14ac:dyDescent="0.15">
      <c r="C104">
        <v>29606</v>
      </c>
      <c r="D104">
        <v>52</v>
      </c>
      <c r="I104" t="s">
        <v>3693</v>
      </c>
      <c r="U104" t="s">
        <v>3689</v>
      </c>
      <c r="V104" t="str">
        <f t="shared" si="1"/>
        <v>{dwID=29606,nFrame=52,szNote="通用箭塔·苍山洱海",[3]={},[4]={},aFocus={{dwMapID=-1,nMaxDistance=0,tRelation={bAll=false,bEnemy=true,bAlly=false,},tLife={bEnable=true,szOperator="&gt;=",nValue=10,},},},},</v>
      </c>
    </row>
    <row r="105" spans="3:22" x14ac:dyDescent="0.15">
      <c r="C105">
        <v>29607</v>
      </c>
      <c r="D105">
        <v>52</v>
      </c>
      <c r="I105" t="s">
        <v>3693</v>
      </c>
      <c r="U105" t="s">
        <v>3689</v>
      </c>
      <c r="V105" t="str">
        <f t="shared" si="1"/>
        <v>{dwID=29607,nFrame=52,szNote="通用箭塔·苍山洱海",[3]={},[4]={},aFocus={{dwMapID=-1,nMaxDistance=0,tRelation={bAll=false,bEnemy=true,bAlly=false,},tLife={bEnable=true,szOperator="&gt;=",nValue=10,},},},},</v>
      </c>
    </row>
    <row r="106" spans="3:22" x14ac:dyDescent="0.15">
      <c r="C106">
        <v>29701</v>
      </c>
      <c r="D106">
        <v>52</v>
      </c>
      <c r="I106" t="s">
        <v>3693</v>
      </c>
      <c r="U106" t="s">
        <v>3689</v>
      </c>
      <c r="V106" t="str">
        <f t="shared" si="1"/>
        <v>{dwID=29701,nFrame=52,szNote="通用箭塔·苍山洱海",[3]={},[4]={},aFocus={{dwMapID=-1,nMaxDistance=0,tRelation={bAll=false,bEnemy=true,bAlly=false,},tLife={bEnable=true,szOperator="&gt;=",nValue=10,},},},},</v>
      </c>
    </row>
    <row r="107" spans="3:22" x14ac:dyDescent="0.15">
      <c r="C107">
        <v>29702</v>
      </c>
      <c r="D107">
        <v>52</v>
      </c>
      <c r="I107" t="s">
        <v>3693</v>
      </c>
      <c r="U107" t="s">
        <v>3689</v>
      </c>
      <c r="V107" t="str">
        <f t="shared" si="1"/>
        <v>{dwID=29702,nFrame=52,szNote="通用箭塔·苍山洱海",[3]={},[4]={},aFocus={{dwMapID=-1,nMaxDistance=0,tRelation={bAll=false,bEnemy=true,bAlly=false,},tLife={bEnable=true,szOperator="&gt;=",nValue=10,},},},},</v>
      </c>
    </row>
    <row r="108" spans="3:22" x14ac:dyDescent="0.15">
      <c r="C108">
        <v>29703</v>
      </c>
      <c r="D108">
        <v>52</v>
      </c>
      <c r="I108" t="s">
        <v>3693</v>
      </c>
      <c r="U108" t="s">
        <v>3689</v>
      </c>
      <c r="V108" t="str">
        <f t="shared" si="1"/>
        <v>{dwID=29703,nFrame=52,szNote="通用箭塔·苍山洱海",[3]={},[4]={},aFocus={{dwMapID=-1,nMaxDistance=0,tRelation={bAll=false,bEnemy=true,bAlly=false,},tLife={bEnable=true,szOperator="&gt;=",nValue=10,},},},},</v>
      </c>
    </row>
    <row r="109" spans="3:22" x14ac:dyDescent="0.15">
      <c r="C109">
        <v>29704</v>
      </c>
      <c r="D109">
        <v>52</v>
      </c>
      <c r="I109" t="s">
        <v>3693</v>
      </c>
      <c r="U109" t="s">
        <v>3689</v>
      </c>
      <c r="V109" t="str">
        <f t="shared" si="1"/>
        <v>{dwID=29704,nFrame=52,szNote="通用箭塔·苍山洱海",[3]={},[4]={},aFocus={{dwMapID=-1,nMaxDistance=0,tRelation={bAll=false,bEnemy=true,bAlly=false,},tLife={bEnable=true,szOperator="&gt;=",nValue=10,},},},},</v>
      </c>
    </row>
    <row r="110" spans="3:22" x14ac:dyDescent="0.15">
      <c r="C110">
        <v>29705</v>
      </c>
      <c r="D110">
        <v>52</v>
      </c>
      <c r="I110" t="s">
        <v>3693</v>
      </c>
      <c r="U110" t="s">
        <v>3689</v>
      </c>
      <c r="V110" t="str">
        <f t="shared" si="1"/>
        <v>{dwID=29705,nFrame=52,szNote="通用箭塔·苍山洱海",[3]={},[4]={},aFocus={{dwMapID=-1,nMaxDistance=0,tRelation={bAll=false,bEnemy=true,bAlly=false,},tLife={bEnable=true,szOperator="&gt;=",nValue=10,},},},},</v>
      </c>
    </row>
    <row r="111" spans="3:22" x14ac:dyDescent="0.15">
      <c r="C111">
        <v>29706</v>
      </c>
      <c r="D111">
        <v>52</v>
      </c>
      <c r="I111" t="s">
        <v>3693</v>
      </c>
      <c r="U111" t="s">
        <v>3689</v>
      </c>
      <c r="V111" t="str">
        <f t="shared" si="1"/>
        <v>{dwID=29706,nFrame=52,szNote="通用箭塔·苍山洱海",[3]={},[4]={},aFocus={{dwMapID=-1,nMaxDistance=0,tRelation={bAll=false,bEnemy=true,bAlly=false,},tLife={bEnable=true,szOperator="&gt;=",nValue=10,},},},},</v>
      </c>
    </row>
    <row r="112" spans="3:22" x14ac:dyDescent="0.15">
      <c r="C112">
        <v>29707</v>
      </c>
      <c r="D112">
        <v>52</v>
      </c>
      <c r="I112" t="s">
        <v>3693</v>
      </c>
      <c r="U112" t="s">
        <v>3689</v>
      </c>
      <c r="V112" t="str">
        <f t="shared" si="1"/>
        <v>{dwID=29707,nFrame=52,szNote="通用箭塔·苍山洱海",[3]={},[4]={},aFocus={{dwMapID=-1,nMaxDistance=0,tRelation={bAll=false,bEnemy=true,bAlly=false,},tLife={bEnable=true,szOperator="&gt;=",nValue=10,},},},},</v>
      </c>
    </row>
    <row r="113" spans="3:22" x14ac:dyDescent="0.15">
      <c r="C113">
        <v>30141</v>
      </c>
      <c r="D113">
        <v>52</v>
      </c>
      <c r="I113" t="s">
        <v>3693</v>
      </c>
      <c r="U113" t="s">
        <v>3689</v>
      </c>
      <c r="V113" t="str">
        <f t="shared" si="1"/>
        <v>{dwID=30141,nFrame=52,szNote="通用箭塔·苍山洱海",[3]={},[4]={},aFocus={{dwMapID=-1,nMaxDistance=0,tRelation={bAll=false,bEnemy=true,bAlly=false,},tLife={bEnable=true,szOperator="&gt;=",nValue=10,},},},},</v>
      </c>
    </row>
    <row r="114" spans="3:22" x14ac:dyDescent="0.15">
      <c r="C114">
        <v>30142</v>
      </c>
      <c r="D114">
        <v>52</v>
      </c>
      <c r="I114" t="s">
        <v>3693</v>
      </c>
      <c r="U114" t="s">
        <v>3689</v>
      </c>
      <c r="V114" t="str">
        <f t="shared" si="1"/>
        <v>{dwID=30142,nFrame=52,szNote="通用箭塔·苍山洱海",[3]={},[4]={},aFocus={{dwMapID=-1,nMaxDistance=0,tRelation={bAll=false,bEnemy=true,bAlly=false,},tLife={bEnable=true,szOperator="&gt;=",nValue=10,},},},},</v>
      </c>
    </row>
    <row r="115" spans="3:22" x14ac:dyDescent="0.15">
      <c r="C115">
        <v>30151</v>
      </c>
      <c r="D115">
        <v>52</v>
      </c>
      <c r="I115" t="s">
        <v>3693</v>
      </c>
      <c r="U115" t="s">
        <v>3689</v>
      </c>
      <c r="V115" t="str">
        <f t="shared" si="1"/>
        <v>{dwID=30151,nFrame=52,szNote="通用箭塔·苍山洱海",[3]={},[4]={},aFocus={{dwMapID=-1,nMaxDistance=0,tRelation={bAll=false,bEnemy=true,bAlly=false,},tLife={bEnable=true,szOperator="&gt;=",nValue=10,},},},},</v>
      </c>
    </row>
    <row r="116" spans="3:22" x14ac:dyDescent="0.15">
      <c r="C116">
        <v>30212</v>
      </c>
      <c r="D116">
        <v>52</v>
      </c>
      <c r="I116" t="s">
        <v>3694</v>
      </c>
      <c r="U116" t="s">
        <v>3689</v>
      </c>
      <c r="V116" t="str">
        <f t="shared" si="1"/>
        <v>{dwID=30212,nFrame=52,szNote="通用箭塔·枫华谷·战乱",[3]={},[4]={},aFocus={{dwMapID=-1,nMaxDistance=0,tRelation={bAll=false,bEnemy=true,bAlly=false,},tLife={bEnable=true,szOperator="&gt;=",nValue=10,},},},},</v>
      </c>
    </row>
    <row r="117" spans="3:22" x14ac:dyDescent="0.15">
      <c r="C117">
        <v>29202</v>
      </c>
      <c r="D117">
        <v>52</v>
      </c>
      <c r="I117" t="s">
        <v>3694</v>
      </c>
      <c r="U117" t="s">
        <v>3689</v>
      </c>
      <c r="V117" t="str">
        <f t="shared" si="1"/>
        <v>{dwID=29202,nFrame=52,szNote="通用箭塔·枫华谷·战乱",[3]={},[4]={},aFocus={{dwMapID=-1,nMaxDistance=0,tRelation={bAll=false,bEnemy=true,bAlly=false,},tLife={bEnable=true,szOperator="&gt;=",nValue=10,},},},},</v>
      </c>
    </row>
    <row r="118" spans="3:22" x14ac:dyDescent="0.15">
      <c r="C118">
        <v>30201</v>
      </c>
      <c r="D118">
        <v>52</v>
      </c>
      <c r="I118" t="s">
        <v>3695</v>
      </c>
      <c r="U118" t="s">
        <v>3689</v>
      </c>
      <c r="V118" t="str">
        <f t="shared" si="1"/>
        <v>{dwID=30201,nFrame=52,szNote="通用箭塔·马嵬驿",[3]={},[4]={},aFocus={{dwMapID=-1,nMaxDistance=0,tRelation={bAll=false,bEnemy=true,bAlly=false,},tLife={bEnable=true,szOperator="&gt;=",nValue=10,},},},},</v>
      </c>
    </row>
    <row r="119" spans="3:22" x14ac:dyDescent="0.15">
      <c r="C119">
        <v>30202</v>
      </c>
      <c r="D119">
        <v>52</v>
      </c>
      <c r="I119" t="s">
        <v>3695</v>
      </c>
      <c r="U119" t="s">
        <v>3689</v>
      </c>
      <c r="V119" t="str">
        <f t="shared" si="1"/>
        <v>{dwID=30202,nFrame=52,szNote="通用箭塔·马嵬驿",[3]={},[4]={},aFocus={{dwMapID=-1,nMaxDistance=0,tRelation={bAll=false,bEnemy=true,bAlly=false,},tLife={bEnable=true,szOperator="&gt;=",nValue=10,},},},},</v>
      </c>
    </row>
    <row r="120" spans="3:22" x14ac:dyDescent="0.15">
      <c r="C120">
        <v>30211</v>
      </c>
      <c r="D120">
        <v>52</v>
      </c>
      <c r="I120" t="s">
        <v>3695</v>
      </c>
      <c r="U120" t="s">
        <v>3689</v>
      </c>
      <c r="V120" t="str">
        <f t="shared" si="1"/>
        <v>{dwID=30211,nFrame=52,szNote="通用箭塔·马嵬驿",[3]={},[4]={},aFocus={{dwMapID=-1,nMaxDistance=0,tRelation={bAll=false,bEnemy=true,bAlly=false,},tLife={bEnable=true,szOperator="&gt;=",nValue=10,},},},},</v>
      </c>
    </row>
    <row r="121" spans="3:22" x14ac:dyDescent="0.15">
      <c r="C121">
        <v>29001</v>
      </c>
      <c r="D121">
        <v>52</v>
      </c>
      <c r="I121" t="s">
        <v>3695</v>
      </c>
      <c r="U121" t="s">
        <v>3689</v>
      </c>
      <c r="V121" t="str">
        <f t="shared" si="1"/>
        <v>{dwID=29001,nFrame=52,szNote="通用箭塔·马嵬驿",[3]={},[4]={},aFocus={{dwMapID=-1,nMaxDistance=0,tRelation={bAll=false,bEnemy=true,bAlly=false,},tLife={bEnable=true,szOperator="&gt;=",nValue=10,},},},},</v>
      </c>
    </row>
    <row r="122" spans="3:22" x14ac:dyDescent="0.15">
      <c r="C122">
        <v>29002</v>
      </c>
      <c r="D122">
        <v>52</v>
      </c>
      <c r="I122" t="s">
        <v>3695</v>
      </c>
      <c r="U122" t="s">
        <v>3689</v>
      </c>
      <c r="V122" t="str">
        <f t="shared" si="1"/>
        <v>{dwID=29002,nFrame=52,szNote="通用箭塔·马嵬驿",[3]={},[4]={},aFocus={{dwMapID=-1,nMaxDistance=0,tRelation={bAll=false,bEnemy=true,bAlly=false,},tLife={bEnable=true,szOperator="&gt;=",nValue=10,},},},},</v>
      </c>
    </row>
    <row r="123" spans="3:22" x14ac:dyDescent="0.15">
      <c r="C123">
        <v>29003</v>
      </c>
      <c r="D123">
        <v>52</v>
      </c>
      <c r="I123" t="s">
        <v>3695</v>
      </c>
      <c r="U123" t="s">
        <v>3689</v>
      </c>
      <c r="V123" t="str">
        <f t="shared" si="1"/>
        <v>{dwID=29003,nFrame=52,szNote="通用箭塔·马嵬驿",[3]={},[4]={},aFocus={{dwMapID=-1,nMaxDistance=0,tRelation={bAll=false,bEnemy=true,bAlly=false,},tLife={bEnable=true,szOperator="&gt;=",nValue=10,},},},},</v>
      </c>
    </row>
    <row r="124" spans="3:22" x14ac:dyDescent="0.15">
      <c r="C124">
        <v>29004</v>
      </c>
      <c r="D124">
        <v>52</v>
      </c>
      <c r="I124" t="s">
        <v>3695</v>
      </c>
      <c r="U124" t="s">
        <v>3689</v>
      </c>
      <c r="V124" t="str">
        <f t="shared" si="1"/>
        <v>{dwID=29004,nFrame=52,szNote="通用箭塔·马嵬驿",[3]={},[4]={},aFocus={{dwMapID=-1,nMaxDistance=0,tRelation={bAll=false,bEnemy=true,bAlly=false,},tLife={bEnable=true,szOperator="&gt;=",nValue=10,},},},},</v>
      </c>
    </row>
    <row r="125" spans="3:22" x14ac:dyDescent="0.15">
      <c r="C125">
        <v>29005</v>
      </c>
      <c r="D125">
        <v>52</v>
      </c>
      <c r="I125" t="s">
        <v>3695</v>
      </c>
      <c r="U125" t="s">
        <v>3689</v>
      </c>
      <c r="V125" t="str">
        <f t="shared" si="1"/>
        <v>{dwID=29005,nFrame=52,szNote="通用箭塔·马嵬驿",[3]={},[4]={},aFocus={{dwMapID=-1,nMaxDistance=0,tRelation={bAll=false,bEnemy=true,bAlly=false,},tLife={bEnable=true,szOperator="&gt;=",nValue=10,},},},},</v>
      </c>
    </row>
    <row r="126" spans="3:22" x14ac:dyDescent="0.15">
      <c r="C126">
        <v>29006</v>
      </c>
      <c r="D126">
        <v>52</v>
      </c>
      <c r="I126" t="s">
        <v>3695</v>
      </c>
      <c r="U126" t="s">
        <v>3689</v>
      </c>
      <c r="V126" t="str">
        <f t="shared" si="1"/>
        <v>{dwID=29006,nFrame=52,szNote="通用箭塔·马嵬驿",[3]={},[4]={},aFocus={{dwMapID=-1,nMaxDistance=0,tRelation={bAll=false,bEnemy=true,bAlly=false,},tLife={bEnable=true,szOperator="&gt;=",nValue=10,},},},},</v>
      </c>
    </row>
    <row r="127" spans="3:22" x14ac:dyDescent="0.15">
      <c r="C127">
        <v>29007</v>
      </c>
      <c r="D127">
        <v>52</v>
      </c>
      <c r="I127" t="s">
        <v>3695</v>
      </c>
      <c r="U127" t="s">
        <v>3689</v>
      </c>
      <c r="V127" t="str">
        <f t="shared" si="1"/>
        <v>{dwID=29007,nFrame=52,szNote="通用箭塔·马嵬驿",[3]={},[4]={},aFocus={{dwMapID=-1,nMaxDistance=0,tRelation={bAll=false,bEnemy=true,bAlly=false,},tLife={bEnable=true,szOperator="&gt;=",nValue=10,},},},},</v>
      </c>
    </row>
    <row r="128" spans="3:22" x14ac:dyDescent="0.15">
      <c r="C128">
        <v>29008</v>
      </c>
      <c r="D128">
        <v>52</v>
      </c>
      <c r="I128" t="s">
        <v>3695</v>
      </c>
      <c r="U128" t="s">
        <v>3689</v>
      </c>
      <c r="V128" t="str">
        <f t="shared" si="1"/>
        <v>{dwID=29008,nFrame=52,szNote="通用箭塔·马嵬驿",[3]={},[4]={},aFocus={{dwMapID=-1,nMaxDistance=0,tRelation={bAll=false,bEnemy=true,bAlly=false,},tLife={bEnable=true,szOperator="&gt;=",nValue=10,},},},},</v>
      </c>
    </row>
    <row r="129" spans="1:22" x14ac:dyDescent="0.15">
      <c r="C129">
        <v>29009</v>
      </c>
      <c r="D129">
        <v>52</v>
      </c>
      <c r="I129" t="s">
        <v>3695</v>
      </c>
      <c r="U129" t="s">
        <v>3689</v>
      </c>
      <c r="V129" t="str">
        <f t="shared" si="1"/>
        <v>{dwID=29009,nFrame=52,szNote="通用箭塔·马嵬驿",[3]={},[4]={},aFocus={{dwMapID=-1,nMaxDistance=0,tRelation={bAll=false,bEnemy=true,bAlly=false,},tLife={bEnable=true,szOperator="&gt;=",nValue=10,},},},},</v>
      </c>
    </row>
    <row r="130" spans="1:22" x14ac:dyDescent="0.15">
      <c r="C130">
        <v>29010</v>
      </c>
      <c r="D130">
        <v>52</v>
      </c>
      <c r="I130" t="s">
        <v>3695</v>
      </c>
      <c r="U130" t="s">
        <v>3689</v>
      </c>
      <c r="V130" t="str">
        <f t="shared" ref="V130:V193" si="2">IF(ISBLANK(B130)=FALSE,IF(ISBLANK(B129),"},["&amp;B130&amp;"]={","["&amp;B130&amp;"]={"),IF(AND(ISBLANK(B130),ISBLANK(D130),ISBLANK(C130),OR(ISBLANK(B129)=FALSE,ISBLANK(D129)=FALSE,ISBLANK(C129)=FALSE)),"},},}",IF(ISBLANK(C130),"","{dwID="&amp;C130&amp;","&amp;"nFrame="&amp;D130&amp;","&amp;IF(E130&gt;0,"nCount="&amp;E130&amp;",","")&amp;IF(F130&gt;0,"bAllLeave=true,","")&amp;IF(G130&lt;&gt;"","szName="""&amp;G130&amp;""",","")&amp;IF(H130&lt;&gt;"","tKungFu={"&amp;H130&amp;"},","")&amp;IF(I130&lt;&gt;"","szNote="""&amp;I130&amp;""",","")&amp;IF(J130&lt;&gt;"","col={"&amp;J130&amp;"},","")&amp;"[3]={"&amp;IF(K130&lt;&gt;"","tMark={"&amp;K130&amp;"},","")&amp;IF(L130&lt;&gt;"","szVoice="""&amp;L130&amp;""",","")&amp;IF(M130&gt;0,"bTeamChannel=true,","")&amp;IF(N130&gt;0,"bWhisperChannel=true,","")&amp;IF(O130&gt;0,"bCenterAlarm=true,","")&amp;IF(P130&gt;0,"bScreenHead=true,","")&amp;"},"&amp;"[4]={"&amp;IF(Q130&lt;&gt;"","szVoice="""&amp;Q130&amp;""",","")&amp;IF(R130&gt;0,"bTeamChannel=true,","")&amp;IF(S130&gt;0,"bWhisperChannel=true,","")&amp;IF(T130&gt;0,"bCenterAlarm=true,","")&amp;"},"&amp;IF(U130&lt;&gt;"","aFocus={"&amp;U130&amp;"},","")&amp;IF(W130&lt;&gt;"","tCountdown={"&amp;_xlfn.TEXTJOIN("",TRUE,W130:ZZ130)&amp;"},","")&amp;"},")))</f>
        <v>{dwID=29010,nFrame=52,szNote="通用箭塔·马嵬驿",[3]={},[4]={},aFocus={{dwMapID=-1,nMaxDistance=0,tRelation={bAll=false,bEnemy=true,bAlly=false,},tLife={bEnable=true,szOperator="&gt;=",nValue=10,},},},},</v>
      </c>
    </row>
    <row r="131" spans="1:22" x14ac:dyDescent="0.15">
      <c r="C131">
        <v>29011</v>
      </c>
      <c r="D131">
        <v>52</v>
      </c>
      <c r="I131" t="s">
        <v>3695</v>
      </c>
      <c r="U131" t="s">
        <v>3689</v>
      </c>
      <c r="V131" t="str">
        <f t="shared" si="2"/>
        <v>{dwID=29011,nFrame=52,szNote="通用箭塔·马嵬驿",[3]={},[4]={},aFocus={{dwMapID=-1,nMaxDistance=0,tRelation={bAll=false,bEnemy=true,bAlly=false,},tLife={bEnable=true,szOperator="&gt;=",nValue=10,},},},},</v>
      </c>
    </row>
    <row r="132" spans="1:22" x14ac:dyDescent="0.15">
      <c r="C132">
        <v>29012</v>
      </c>
      <c r="D132">
        <v>52</v>
      </c>
      <c r="I132" t="s">
        <v>3695</v>
      </c>
      <c r="U132" t="s">
        <v>3689</v>
      </c>
      <c r="V132" t="str">
        <f t="shared" si="2"/>
        <v>{dwID=29012,nFrame=52,szNote="通用箭塔·马嵬驿",[3]={},[4]={},aFocus={{dwMapID=-1,nMaxDistance=0,tRelation={bAll=false,bEnemy=true,bAlly=false,},tLife={bEnable=true,szOperator="&gt;=",nValue=10,},},},},</v>
      </c>
    </row>
    <row r="133" spans="1:22" x14ac:dyDescent="0.15">
      <c r="C133">
        <v>29101</v>
      </c>
      <c r="D133">
        <v>52</v>
      </c>
      <c r="I133" t="s">
        <v>3695</v>
      </c>
      <c r="U133" t="s">
        <v>3689</v>
      </c>
      <c r="V133" t="str">
        <f t="shared" si="2"/>
        <v>{dwID=29101,nFrame=52,szNote="通用箭塔·马嵬驿",[3]={},[4]={},aFocus={{dwMapID=-1,nMaxDistance=0,tRelation={bAll=false,bEnemy=true,bAlly=false,},tLife={bEnable=true,szOperator="&gt;=",nValue=10,},},},},</v>
      </c>
    </row>
    <row r="134" spans="1:22" x14ac:dyDescent="0.15">
      <c r="C134">
        <v>29102</v>
      </c>
      <c r="D134">
        <v>52</v>
      </c>
      <c r="I134" t="s">
        <v>3695</v>
      </c>
      <c r="U134" t="s">
        <v>3689</v>
      </c>
      <c r="V134" t="str">
        <f t="shared" si="2"/>
        <v>{dwID=29102,nFrame=52,szNote="通用箭塔·马嵬驿",[3]={},[4]={},aFocus={{dwMapID=-1,nMaxDistance=0,tRelation={bAll=false,bEnemy=true,bAlly=false,},tLife={bEnable=true,szOperator="&gt;=",nValue=10,},},},},</v>
      </c>
    </row>
    <row r="135" spans="1:22" x14ac:dyDescent="0.15">
      <c r="C135">
        <v>29201</v>
      </c>
      <c r="D135">
        <v>52</v>
      </c>
      <c r="I135" t="s">
        <v>3695</v>
      </c>
      <c r="U135" t="s">
        <v>3689</v>
      </c>
      <c r="V135" t="str">
        <f t="shared" si="2"/>
        <v>{dwID=29201,nFrame=52,szNote="通用箭塔·马嵬驿",[3]={},[4]={},aFocus={{dwMapID=-1,nMaxDistance=0,tRelation={bAll=false,bEnemy=true,bAlly=false,},tLife={bEnable=true,szOperator="&gt;=",nValue=10,},},},},</v>
      </c>
    </row>
    <row r="136" spans="1:22" x14ac:dyDescent="0.15">
      <c r="C136">
        <v>29501</v>
      </c>
      <c r="D136">
        <v>52</v>
      </c>
      <c r="I136" t="s">
        <v>3695</v>
      </c>
      <c r="U136" t="s">
        <v>3689</v>
      </c>
      <c r="V136" t="str">
        <f t="shared" si="2"/>
        <v>{dwID=29501,nFrame=52,szNote="通用箭塔·马嵬驿",[3]={},[4]={},aFocus={{dwMapID=-1,nMaxDistance=0,tRelation={bAll=false,bEnemy=true,bAlly=false,},tLife={bEnable=true,szOperator="&gt;=",nValue=10,},},},},</v>
      </c>
    </row>
    <row r="137" spans="1:22" x14ac:dyDescent="0.15">
      <c r="C137">
        <v>30101</v>
      </c>
      <c r="D137">
        <v>52</v>
      </c>
      <c r="I137" t="s">
        <v>3695</v>
      </c>
      <c r="U137" t="s">
        <v>3689</v>
      </c>
      <c r="V137" t="str">
        <f t="shared" si="2"/>
        <v>{dwID=30101,nFrame=52,szNote="通用箭塔·马嵬驿",[3]={},[4]={},aFocus={{dwMapID=-1,nMaxDistance=0,tRelation={bAll=false,bEnemy=true,bAlly=false,},tLife={bEnable=true,szOperator="&gt;=",nValue=10,},},},},</v>
      </c>
    </row>
    <row r="138" spans="1:22" x14ac:dyDescent="0.15">
      <c r="C138">
        <v>30102</v>
      </c>
      <c r="D138">
        <v>52</v>
      </c>
      <c r="I138" t="s">
        <v>3695</v>
      </c>
      <c r="U138" t="s">
        <v>3689</v>
      </c>
      <c r="V138" t="str">
        <f t="shared" si="2"/>
        <v>{dwID=30102,nFrame=52,szNote="通用箭塔·马嵬驿",[3]={},[4]={},aFocus={{dwMapID=-1,nMaxDistance=0,tRelation={bAll=false,bEnemy=true,bAlly=false,},tLife={bEnable=true,szOperator="&gt;=",nValue=10,},},},},</v>
      </c>
    </row>
    <row r="139" spans="1:22" x14ac:dyDescent="0.15">
      <c r="C139">
        <v>30103</v>
      </c>
      <c r="D139">
        <v>52</v>
      </c>
      <c r="I139" t="s">
        <v>3695</v>
      </c>
      <c r="U139" t="s">
        <v>3689</v>
      </c>
      <c r="V139" t="str">
        <f t="shared" si="2"/>
        <v>{dwID=30103,nFrame=52,szNote="通用箭塔·马嵬驿",[3]={},[4]={},aFocus={{dwMapID=-1,nMaxDistance=0,tRelation={bAll=false,bEnemy=true,bAlly=false,},tLife={bEnable=true,szOperator="&gt;=",nValue=10,},},},},</v>
      </c>
    </row>
    <row r="140" spans="1:22" x14ac:dyDescent="0.15">
      <c r="C140">
        <v>30111</v>
      </c>
      <c r="D140">
        <v>52</v>
      </c>
      <c r="I140" t="s">
        <v>3695</v>
      </c>
      <c r="U140" t="s">
        <v>3689</v>
      </c>
      <c r="V140" t="str">
        <f t="shared" si="2"/>
        <v>{dwID=30111,nFrame=52,szNote="通用箭塔·马嵬驿",[3]={},[4]={},aFocus={{dwMapID=-1,nMaxDistance=0,tRelation={bAll=false,bEnemy=true,bAlly=false,},tLife={bEnable=true,szOperator="&gt;=",nValue=10,},},},},</v>
      </c>
    </row>
    <row r="141" spans="1:22" x14ac:dyDescent="0.15">
      <c r="C141">
        <v>30112</v>
      </c>
      <c r="D141">
        <v>52</v>
      </c>
      <c r="I141" t="s">
        <v>3695</v>
      </c>
      <c r="U141" t="s">
        <v>3689</v>
      </c>
      <c r="V141" t="str">
        <f t="shared" si="2"/>
        <v>{dwID=30112,nFrame=52,szNote="通用箭塔·马嵬驿",[3]={},[4]={},aFocus={{dwMapID=-1,nMaxDistance=0,tRelation={bAll=false,bEnemy=true,bAlly=false,},tLife={bEnable=true,szOperator="&gt;=",nValue=10,},},},},</v>
      </c>
    </row>
    <row r="142" spans="1:22" x14ac:dyDescent="0.15">
      <c r="C142">
        <v>30113</v>
      </c>
      <c r="D142">
        <v>52</v>
      </c>
      <c r="I142" t="s">
        <v>3695</v>
      </c>
      <c r="U142" t="s">
        <v>3689</v>
      </c>
      <c r="V142" t="str">
        <f t="shared" si="2"/>
        <v>{dwID=30113,nFrame=52,szNote="通用箭塔·马嵬驿",[3]={},[4]={},aFocus={{dwMapID=-1,nMaxDistance=0,tRelation={bAll=false,bEnemy=true,bAlly=false,},tLife={bEnable=true,szOperator="&gt;=",nValue=10,},},},},</v>
      </c>
    </row>
    <row r="143" spans="1:22" x14ac:dyDescent="0.15">
      <c r="A143" t="s">
        <v>2673</v>
      </c>
      <c r="B143">
        <v>-6</v>
      </c>
      <c r="V143" t="str">
        <f t="shared" si="2"/>
        <v>},[-6]={</v>
      </c>
    </row>
    <row r="144" spans="1:22" x14ac:dyDescent="0.15">
      <c r="C144">
        <v>104994</v>
      </c>
      <c r="D144">
        <v>47</v>
      </c>
      <c r="O144">
        <v>1</v>
      </c>
      <c r="U144" t="s">
        <v>3623</v>
      </c>
      <c r="V144" t="str">
        <f t="shared" si="2"/>
        <v>{dwID=104994,nFrame=47,[3]={bCenterAlarm=true,},[4]={},aFocus={{dwMapID=-1,nMaxDistance=0,tRelation={bAll=true,bEnemy=false,bAlly=false,},tLife={bEnable=false,szOperator="&gt;",nValue=0,},},},},</v>
      </c>
    </row>
    <row r="145" spans="1:24" x14ac:dyDescent="0.15">
      <c r="C145">
        <v>103852</v>
      </c>
      <c r="D145">
        <v>52</v>
      </c>
      <c r="U145" t="s">
        <v>3622</v>
      </c>
      <c r="V145" t="str">
        <f t="shared" si="2"/>
        <v>{dwID=103852,nFrame=52,[3]={},[4]={},aFocus={{dwMapID=-1,nMaxDistance=30,tRelation={bAll=true,bEnemy=false,bAlly=false,},tLife={bEnable=false,szOperator="&gt;",nValue=0,},},},},</v>
      </c>
    </row>
    <row r="146" spans="1:24" x14ac:dyDescent="0.15">
      <c r="C146">
        <v>103856</v>
      </c>
      <c r="D146">
        <v>52</v>
      </c>
      <c r="U146" t="s">
        <v>3622</v>
      </c>
      <c r="V146" t="str">
        <f t="shared" si="2"/>
        <v>{dwID=103856,nFrame=52,[3]={},[4]={},aFocus={{dwMapID=-1,nMaxDistance=30,tRelation={bAll=true,bEnemy=false,bAlly=false,},tLife={bEnable=false,szOperator="&gt;",nValue=0,},},},},</v>
      </c>
    </row>
    <row r="147" spans="1:24" x14ac:dyDescent="0.15">
      <c r="C147">
        <v>104997</v>
      </c>
      <c r="D147">
        <v>47</v>
      </c>
      <c r="J147" t="s">
        <v>2168</v>
      </c>
      <c r="P147">
        <v>1</v>
      </c>
      <c r="U147" t="s">
        <v>3622</v>
      </c>
      <c r="V147" t="str">
        <f t="shared" si="2"/>
        <v>{dwID=104997,nFrame=47,col={0,255,0,},[3]={bScreenHead=true,},[4]={},aFocus={{dwMapID=-1,nMaxDistance=30,tRelation={bAll=true,bEnemy=false,bAlly=false,},tLife={bEnable=false,szOperator="&gt;",nValue=0,},},},},</v>
      </c>
    </row>
    <row r="148" spans="1:24" x14ac:dyDescent="0.15">
      <c r="C148">
        <v>104374</v>
      </c>
      <c r="D148">
        <v>47</v>
      </c>
      <c r="U148" t="s">
        <v>3623</v>
      </c>
      <c r="V148" t="str">
        <f t="shared" si="2"/>
        <v>{dwID=104374,nFrame=47,[3]={},[4]={},aFocus={{dwMapID=-1,nMaxDistance=0,tRelation={bAll=true,bEnemy=false,bAlly=false,},tLife={bEnable=false,szOperator="&gt;",nValue=0,},},},},</v>
      </c>
    </row>
    <row r="149" spans="1:24" x14ac:dyDescent="0.15">
      <c r="C149">
        <v>67086</v>
      </c>
      <c r="D149">
        <v>47</v>
      </c>
      <c r="J149" t="s">
        <v>2168</v>
      </c>
      <c r="P149">
        <v>1</v>
      </c>
      <c r="U149" t="s">
        <v>3696</v>
      </c>
      <c r="V149" t="str">
        <f t="shared" si="2"/>
        <v>{dwID=67086,nFrame=47,col={0,255,0,},[3]={bScreenHead=true,},[4]={},aFocus={{dwMapID=-1,nMaxDistance=120,tRelation={bAll=true,bEnemy=false,bAlly=false,},tLife={bEnable=false,szOperator="&gt;",nValue=0,},},},},</v>
      </c>
    </row>
    <row r="150" spans="1:24" x14ac:dyDescent="0.15">
      <c r="A150" t="s">
        <v>2178</v>
      </c>
      <c r="B150">
        <v>-4</v>
      </c>
      <c r="V150" t="str">
        <f t="shared" si="2"/>
        <v>},[-4]={</v>
      </c>
    </row>
    <row r="151" spans="1:24" x14ac:dyDescent="0.15">
      <c r="C151">
        <v>27552</v>
      </c>
      <c r="D151">
        <v>47</v>
      </c>
      <c r="I151" t="s">
        <v>3697</v>
      </c>
      <c r="J151" t="s">
        <v>2152</v>
      </c>
      <c r="P151">
        <v>1</v>
      </c>
      <c r="U151" t="s">
        <v>3621</v>
      </c>
      <c r="V151" t="str">
        <f t="shared" si="2"/>
        <v>{dwID=27552,nFrame=47,szNote="元宵节",col={0,255,255,},[3]={bScreenHead=true,},[4]={},aFocus={{dwMapID=-1,nMaxDistance=6,tRelation={bAll=true,bEnemy=false,bAlly=false,},tLife={bEnable=false,szOperator="&gt;",nValue=0,},},},tCountdown={{nClass=3,nIcon=13,nFrame=4,szName="打完别忘结算花灯流火",nTime=599,key="花灯流火",},{nClass=4,nIcon=13,nFrame=5,szName="花灯流火",nTime=-1,key="花灯流火",},},},</v>
      </c>
      <c r="W151" t="s">
        <v>3698</v>
      </c>
      <c r="X151" t="s">
        <v>3699</v>
      </c>
    </row>
    <row r="152" spans="1:24" x14ac:dyDescent="0.15">
      <c r="C152">
        <v>27556</v>
      </c>
      <c r="D152">
        <v>47</v>
      </c>
      <c r="I152" t="s">
        <v>3697</v>
      </c>
      <c r="J152" t="s">
        <v>2676</v>
      </c>
      <c r="K152" t="s">
        <v>2521</v>
      </c>
      <c r="O152">
        <v>1</v>
      </c>
      <c r="P152">
        <v>1</v>
      </c>
      <c r="U152" t="s">
        <v>3623</v>
      </c>
      <c r="V152" t="str">
        <f t="shared" si="2"/>
        <v>{dwID=27556,nFrame=47,szNote="元宵节",col={255,50,50,},[3]={tMark={true,true,true,false,false,false,false,false,false,false,},bCenterAlarm=true,bScreenHead=true,},[4]={},aFocus={{dwMapID=-1,nMaxDistance=0,tRelation={bAll=true,bEnemy=false,bAlly=false,},tLife={bEnable=false,szOperator="&gt;",nValue=0,},},},},</v>
      </c>
    </row>
    <row r="153" spans="1:24" x14ac:dyDescent="0.15">
      <c r="A153" t="s">
        <v>2179</v>
      </c>
      <c r="B153">
        <v>-3</v>
      </c>
      <c r="V153" t="str">
        <f t="shared" si="2"/>
        <v>},[-3]={</v>
      </c>
    </row>
    <row r="154" spans="1:24" x14ac:dyDescent="0.15">
      <c r="C154">
        <v>110324</v>
      </c>
      <c r="D154">
        <v>64</v>
      </c>
      <c r="J154" t="s">
        <v>2168</v>
      </c>
      <c r="P154">
        <v>1</v>
      </c>
      <c r="V154" t="str">
        <f t="shared" si="2"/>
        <v>{dwID=110324,nFrame=64,col={0,255,0,},[3]={bScreenHead=true,},[4]={},tCountdown={{nClass=4,nIcon=17382,nFrame=5,szName="年小熊·召回",nTime=2,nRefresh=2,key="侠客召请",},},},</v>
      </c>
      <c r="W154" t="s">
        <v>3700</v>
      </c>
    </row>
    <row r="155" spans="1:24" x14ac:dyDescent="0.15">
      <c r="C155">
        <v>110323</v>
      </c>
      <c r="D155">
        <v>64</v>
      </c>
      <c r="J155" t="s">
        <v>2168</v>
      </c>
      <c r="P155">
        <v>1</v>
      </c>
      <c r="V155" t="str">
        <f t="shared" si="2"/>
        <v>{dwID=110323,nFrame=64,col={0,255,0,},[3]={bScreenHead=true,},[4]={},tCountdown={{nClass=4,nIcon=17381,nFrame=5,szName="年小鹿·召回",nTime=2,nRefresh=2,key="侠客召请",},},},</v>
      </c>
      <c r="W155" t="s">
        <v>3701</v>
      </c>
    </row>
    <row r="156" spans="1:24" x14ac:dyDescent="0.15">
      <c r="C156">
        <v>110325</v>
      </c>
      <c r="D156">
        <v>64</v>
      </c>
      <c r="J156" t="s">
        <v>2168</v>
      </c>
      <c r="P156">
        <v>1</v>
      </c>
      <c r="V156" t="str">
        <f t="shared" si="2"/>
        <v>{dwID=110325,nFrame=64,col={0,255,0,},[3]={bScreenHead=true,},[4]={},tCountdown={{nClass=4,nIcon=17383,nFrame=5,szName="茸茸·召回",nTime=2,nRefresh=2,key="侠客召请",},},},</v>
      </c>
      <c r="W156" t="s">
        <v>3702</v>
      </c>
    </row>
    <row r="157" spans="1:24" x14ac:dyDescent="0.15">
      <c r="C157">
        <v>110327</v>
      </c>
      <c r="D157">
        <v>64</v>
      </c>
      <c r="J157" t="s">
        <v>2168</v>
      </c>
      <c r="P157">
        <v>1</v>
      </c>
      <c r="V157" t="str">
        <f t="shared" si="2"/>
        <v>{dwID=110327,nFrame=64,col={0,255,0,},[3]={bScreenHead=true,},[4]={},tCountdown={{nClass=4,nIcon=17385,nFrame=5,szName="阮闲舟·召回",nTime=2,nRefresh=2,key="侠客召请",},},},</v>
      </c>
      <c r="W157" t="s">
        <v>3703</v>
      </c>
    </row>
    <row r="158" spans="1:24" x14ac:dyDescent="0.15">
      <c r="C158">
        <v>110326</v>
      </c>
      <c r="D158">
        <v>64</v>
      </c>
      <c r="J158" t="s">
        <v>2168</v>
      </c>
      <c r="P158">
        <v>1</v>
      </c>
      <c r="V158" t="str">
        <f t="shared" si="2"/>
        <v>{dwID=110326,nFrame=64,col={0,255,0,},[3]={bScreenHead=true,},[4]={},tCountdown={{nClass=4,nIcon=17384,nFrame=5,szName="阮归云·召回",nTime=2,nRefresh=2,key="侠客召请",},},},</v>
      </c>
      <c r="W158" t="s">
        <v>3704</v>
      </c>
    </row>
    <row r="159" spans="1:24" x14ac:dyDescent="0.15">
      <c r="C159">
        <v>109906</v>
      </c>
      <c r="D159">
        <v>64</v>
      </c>
      <c r="J159" t="s">
        <v>2168</v>
      </c>
      <c r="P159">
        <v>1</v>
      </c>
      <c r="V159" t="str">
        <f t="shared" si="2"/>
        <v>{dwID=109906,nFrame=64,col={0,255,0,},[3]={bScreenHead=true,},[4]={},tCountdown={{nClass=4,nIcon=5958,nFrame=5,szName="沈剑心·召回",nTime=2,nRefresh=2,key="侠客召请",},},},</v>
      </c>
      <c r="W159" t="s">
        <v>3705</v>
      </c>
    </row>
    <row r="160" spans="1:24" x14ac:dyDescent="0.15">
      <c r="C160">
        <v>110321</v>
      </c>
      <c r="D160">
        <v>64</v>
      </c>
      <c r="J160" t="s">
        <v>2168</v>
      </c>
      <c r="P160">
        <v>1</v>
      </c>
      <c r="V160" t="str">
        <f t="shared" si="2"/>
        <v>{dwID=110321,nFrame=64,col={0,255,0,},[3]={bScreenHead=true,},[4]={},tCountdown={{nClass=4,nIcon=17388,nFrame=5,szName="温辞秋·召回",nTime=2,nRefresh=2,key="侠客召请",},},},</v>
      </c>
      <c r="W160" t="s">
        <v>3706</v>
      </c>
    </row>
    <row r="161" spans="3:24" x14ac:dyDescent="0.15">
      <c r="C161">
        <v>110322</v>
      </c>
      <c r="D161">
        <v>64</v>
      </c>
      <c r="J161" t="s">
        <v>2168</v>
      </c>
      <c r="P161">
        <v>1</v>
      </c>
      <c r="V161" t="str">
        <f t="shared" si="2"/>
        <v>{dwID=110322,nFrame=64,col={0,255,0,},[3]={bScreenHead=true,},[4]={},tCountdown={{nClass=4,nIcon=17389,nFrame=5,szName="温折枝·召回",nTime=2,nRefresh=2,key="侠客召请",},},},</v>
      </c>
      <c r="W161" t="s">
        <v>3707</v>
      </c>
    </row>
    <row r="162" spans="3:24" x14ac:dyDescent="0.15">
      <c r="C162">
        <v>108916</v>
      </c>
      <c r="D162">
        <v>64</v>
      </c>
      <c r="J162" t="s">
        <v>2168</v>
      </c>
      <c r="P162">
        <v>1</v>
      </c>
      <c r="V162" t="str">
        <f t="shared" si="2"/>
        <v>{dwID=108916,nFrame=64,col={0,255,0,},[3]={bScreenHead=true,},[4]={},tCountdown={{nClass=4,nIcon=17390,nFrame=5,szName="沐晴柔·召回",nTime=2,nRefresh=2,key="侠客召请",},},},</v>
      </c>
      <c r="W162" t="s">
        <v>3708</v>
      </c>
    </row>
    <row r="163" spans="3:24" x14ac:dyDescent="0.15">
      <c r="C163">
        <v>108915</v>
      </c>
      <c r="D163">
        <v>64</v>
      </c>
      <c r="J163" t="s">
        <v>2168</v>
      </c>
      <c r="P163">
        <v>1</v>
      </c>
      <c r="V163" t="str">
        <f t="shared" si="2"/>
        <v>{dwID=108915,nFrame=64,col={0,255,0,},[3]={bScreenHead=true,},[4]={},tCountdown={{nClass=4,nIcon=17386,nFrame=5,szName="唐小珂·召回",nTime=2,nRefresh=2,key="侠客召请",},},},</v>
      </c>
      <c r="W163" t="s">
        <v>3709</v>
      </c>
    </row>
    <row r="164" spans="3:24" x14ac:dyDescent="0.15">
      <c r="C164">
        <v>108914</v>
      </c>
      <c r="D164">
        <v>64</v>
      </c>
      <c r="J164" t="s">
        <v>2168</v>
      </c>
      <c r="P164">
        <v>1</v>
      </c>
      <c r="V164" t="str">
        <f t="shared" si="2"/>
        <v>{dwID=108914,nFrame=64,col={0,255,0,},[3]={bScreenHead=true,},[4]={},tCountdown={{nClass=4,nIcon=17380,nFrame=5,szName="康宴别·召回",nTime=2,nRefresh=2,key="侠客召请",},},},</v>
      </c>
      <c r="W164" t="s">
        <v>3710</v>
      </c>
    </row>
    <row r="165" spans="3:24" x14ac:dyDescent="0.15">
      <c r="C165">
        <v>120618</v>
      </c>
      <c r="D165">
        <v>64</v>
      </c>
      <c r="J165" t="s">
        <v>2168</v>
      </c>
      <c r="P165">
        <v>1</v>
      </c>
      <c r="V165" t="str">
        <f t="shared" si="2"/>
        <v>{dwID=120618,nFrame=64,col={0,255,0,},[3]={bScreenHead=true,},[4]={},tCountdown={{nClass=4,nIcon=5958,nFrame=5,szName="刀马·召回",nTime=2,nRefresh=2,key="侠客召请",},},},</v>
      </c>
      <c r="W165" t="s">
        <v>3711</v>
      </c>
    </row>
    <row r="166" spans="3:24" x14ac:dyDescent="0.15">
      <c r="C166">
        <v>120617</v>
      </c>
      <c r="D166">
        <v>64</v>
      </c>
      <c r="J166" t="s">
        <v>2168</v>
      </c>
      <c r="P166">
        <v>1</v>
      </c>
      <c r="V166" t="str">
        <f t="shared" si="2"/>
        <v>{dwID=120617,nFrame=64,col={0,255,0,},[3]={bScreenHead=true,},[4]={},tCountdown={{nClass=4,nIcon=5958,nFrame=5,szName="燕子娘·召回",nTime=2,nRefresh=2,key="侠客召请",},},},</v>
      </c>
      <c r="W166" t="s">
        <v>3712</v>
      </c>
    </row>
    <row r="167" spans="3:24" x14ac:dyDescent="0.15">
      <c r="C167">
        <v>120906</v>
      </c>
      <c r="D167">
        <v>64</v>
      </c>
      <c r="J167" t="s">
        <v>2168</v>
      </c>
      <c r="P167">
        <v>1</v>
      </c>
      <c r="V167" t="str">
        <f t="shared" si="2"/>
        <v>{dwID=120906,nFrame=64,col={0,255,0,},[3]={bScreenHead=true,},[4]={},tCountdown={{nClass=4,nIcon=5958,nFrame=5,szName="李星云·召回",nTime=2,nRefresh=2,key="侠客召请",},},},</v>
      </c>
      <c r="W167" t="s">
        <v>3713</v>
      </c>
    </row>
    <row r="168" spans="3:24" x14ac:dyDescent="0.15">
      <c r="C168">
        <v>122730</v>
      </c>
      <c r="D168">
        <v>64</v>
      </c>
      <c r="I168" t="s">
        <v>3714</v>
      </c>
      <c r="J168" t="s">
        <v>2168</v>
      </c>
      <c r="P168">
        <v>1</v>
      </c>
      <c r="V168" t="str">
        <f t="shared" si="2"/>
        <v>{dwID=122730,nFrame=64,szNote="月嘉禾18981",col={0,255,0,},[3]={bScreenHead=true,},[4]={},tCountdown={{nClass=4,nIcon=5958,nFrame=5,szName="月嘉禾·召回",nTime=2,nRefresh=2,key="侠客召请",},},},</v>
      </c>
      <c r="W168" t="s">
        <v>3715</v>
      </c>
    </row>
    <row r="169" spans="3:24" x14ac:dyDescent="0.15">
      <c r="C169">
        <v>123965</v>
      </c>
      <c r="D169">
        <v>64</v>
      </c>
      <c r="I169">
        <v>123965</v>
      </c>
      <c r="J169" t="s">
        <v>2168</v>
      </c>
      <c r="P169">
        <v>1</v>
      </c>
      <c r="V169" t="str">
        <f t="shared" si="2"/>
        <v>{dwID=123965,nFrame=64,szNote="123965",col={0,255,0,},[3]={bScreenHead=true,},[4]={},tCountdown={{nClass=4,nIcon=5958,nFrame=5,szName="贺闲·召回",nTime=2,nRefresh=2,key="侠客召请",},},},</v>
      </c>
      <c r="W169" t="s">
        <v>3716</v>
      </c>
    </row>
    <row r="170" spans="3:24" x14ac:dyDescent="0.15">
      <c r="C170">
        <v>124038</v>
      </c>
      <c r="D170">
        <v>64</v>
      </c>
      <c r="J170" t="s">
        <v>2168</v>
      </c>
      <c r="P170">
        <v>1</v>
      </c>
      <c r="V170" t="str">
        <f t="shared" si="2"/>
        <v>{dwID=124038,nFrame=64,col={0,255,0,},[3]={bScreenHead=true,},[4]={},tCountdown={{nClass=4,nIcon=5958,nFrame=5,szName="费大劲·召回",nTime=2,nRefresh=2,key="侠客召请",},},},</v>
      </c>
      <c r="W170" t="s">
        <v>3717</v>
      </c>
    </row>
    <row r="171" spans="3:24" x14ac:dyDescent="0.15">
      <c r="C171">
        <v>126944</v>
      </c>
      <c r="D171">
        <v>64</v>
      </c>
      <c r="J171" t="s">
        <v>2168</v>
      </c>
      <c r="P171">
        <v>1</v>
      </c>
      <c r="V171" t="str">
        <f t="shared" si="2"/>
        <v>{dwID=126944,nFrame=64,col={0,255,0,},[3]={bScreenHead=true,},[4]={},tCountdown={{nClass=4,nIcon=5958,nFrame=5,szName="白鹊·召回",nTime=2,nRefresh=2,key="侠客召请",},},},</v>
      </c>
      <c r="W171" t="s">
        <v>3718</v>
      </c>
    </row>
    <row r="172" spans="3:24" x14ac:dyDescent="0.15">
      <c r="C172">
        <v>9999</v>
      </c>
      <c r="D172">
        <v>64</v>
      </c>
      <c r="H172" t="s">
        <v>3684</v>
      </c>
      <c r="J172" t="s">
        <v>2168</v>
      </c>
      <c r="U172" t="s">
        <v>3719</v>
      </c>
      <c r="V172" t="str">
        <f t="shared" si="2"/>
        <v>{dwID=9999,nFrame=64,tKungFu={["SKILL#10002"]=true,["SKILL#10028"]=true,["SKILL#10062"]=true,["SKILL#10080"]=true,["SKILL#10175"]=true,["SKILL#10176"]=true,["SKILL#10243"]=true,["SKILL#10389"]=true,["SKILL#10448"]=true,["SKILL#10626"]=true,},col={0,255,0,},[3]={},[4]={},aFocus={{dwMapID=-1,nMaxDistance=24,tRelation={bAll=false,bEnemy=false,bAlly=true,},tLife={bEnable=false,szOperator="&lt;",nValue=100,},},},tCountdown={{nClass=6,nIcon=2758,nFrame=5,szName="倒计时 {$N9999}",nTime="0.5,玉蟾·50%;0.3,玉蟾·30%;0.1,玉蟾·10%",key="玉蟾",},{nClass=12,nIcon=2758,nFrame=5,szName="玉蟾·重伤",nTime=2,key="宠物存在",},},},</v>
      </c>
      <c r="W172" t="s">
        <v>3720</v>
      </c>
      <c r="X172" t="s">
        <v>3721</v>
      </c>
    </row>
    <row r="173" spans="3:24" x14ac:dyDescent="0.15">
      <c r="C173">
        <v>9997</v>
      </c>
      <c r="D173">
        <v>64</v>
      </c>
      <c r="H173" t="s">
        <v>2344</v>
      </c>
      <c r="J173" t="s">
        <v>2168</v>
      </c>
      <c r="V173" t="str">
        <f t="shared" si="2"/>
        <v>{dwID=9997,nFrame=64,tKungFu={["SKILL#10175"]=true,["SKILL#10176"]=true,},col={0,255,0,},[3]={},[4]={},},</v>
      </c>
    </row>
    <row r="174" spans="3:24" x14ac:dyDescent="0.15">
      <c r="C174">
        <v>9956</v>
      </c>
      <c r="D174">
        <v>64</v>
      </c>
      <c r="H174" t="s">
        <v>2344</v>
      </c>
      <c r="J174" t="s">
        <v>2168</v>
      </c>
      <c r="V174" t="str">
        <f t="shared" si="2"/>
        <v>{dwID=9956,nFrame=64,tKungFu={["SKILL#10175"]=true,["SKILL#10176"]=true,},col={0,255,0,},[3]={},[4]={},},</v>
      </c>
    </row>
    <row r="175" spans="3:24" x14ac:dyDescent="0.15">
      <c r="C175">
        <v>9996</v>
      </c>
      <c r="D175">
        <v>64</v>
      </c>
      <c r="H175" t="s">
        <v>2344</v>
      </c>
      <c r="J175" t="s">
        <v>2168</v>
      </c>
      <c r="V175" t="str">
        <f t="shared" si="2"/>
        <v>{dwID=9996,nFrame=64,tKungFu={["SKILL#10175"]=true,["SKILL#10176"]=true,},col={0,255,0,},[3]={},[4]={},},</v>
      </c>
    </row>
    <row r="176" spans="3:24" x14ac:dyDescent="0.15">
      <c r="C176">
        <v>12944</v>
      </c>
      <c r="D176">
        <v>64</v>
      </c>
      <c r="H176" t="s">
        <v>3520</v>
      </c>
      <c r="J176" t="s">
        <v>2168</v>
      </c>
      <c r="V176" t="str">
        <f t="shared" si="2"/>
        <v>{dwID=12944,nFrame=64,tKungFu={["SKILL#10176"]=true,},col={0,255,0,},[3]={},[4]={},},</v>
      </c>
    </row>
    <row r="177" spans="1:23" x14ac:dyDescent="0.15">
      <c r="C177">
        <v>111963</v>
      </c>
      <c r="D177">
        <v>64</v>
      </c>
      <c r="J177" t="s">
        <v>2168</v>
      </c>
      <c r="U177" t="s">
        <v>3722</v>
      </c>
      <c r="V177" t="str">
        <f t="shared" si="2"/>
        <v>{dwID=111963,nFrame=64,col={0,255,0,},[3]={},[4]={},aFocus={{dwMapID=-1,nMaxDistance=20,tRelation={bAll=true,bEnemy=false,bAlly=false,},tLife={bEnable=true,szOperator="&lt;",nValue=100,},},},},</v>
      </c>
    </row>
    <row r="178" spans="1:23" x14ac:dyDescent="0.15">
      <c r="C178">
        <v>9998</v>
      </c>
      <c r="D178">
        <v>64</v>
      </c>
      <c r="H178" t="s">
        <v>2344</v>
      </c>
      <c r="J178" t="s">
        <v>2168</v>
      </c>
      <c r="U178" t="s">
        <v>3723</v>
      </c>
      <c r="V178" t="str">
        <f t="shared" si="2"/>
        <v>{dwID=9998,nFrame=64,tKungFu={["SKILL#10175"]=true,["SKILL#10176"]=true,},col={0,255,0,},[3]={},[4]={},aFocus={{dwMapID=-1,nMaxDistance=20,tRelation={bAll=false,bEnemy=false,bAlly=true,},tLife={bEnable=true,szOperator="&lt;",nValue=20,},},},tCountdown={{nClass=6,nIcon=2759,nFrame=5,szName="倒计时 {$N9998}",nTime="0.3,灵蛇·30%;0.1,灵蛇·10%",key="灵蛇",},},},</v>
      </c>
      <c r="W178" t="s">
        <v>3724</v>
      </c>
    </row>
    <row r="179" spans="1:23" x14ac:dyDescent="0.15">
      <c r="C179">
        <v>106917</v>
      </c>
      <c r="D179">
        <v>47</v>
      </c>
      <c r="G179" t="s">
        <v>3725</v>
      </c>
      <c r="I179" t="s">
        <v>3726</v>
      </c>
      <c r="U179" t="s">
        <v>3727</v>
      </c>
      <c r="V179" t="str">
        <f t="shared" si="2"/>
        <v>{dwID=106917,nFrame=47,szName="枯木苏息·叶子",szNote="药宗·枯木苏息",[3]={},[4]={},aFocus={{dwMapID=-1,szDisplay="枯木苏息",nMaxDistance=0,tRelation={bAll=true,bEnemy=false,bAlly=false,},tLife={bEnable=false,szOperator="&gt;",nValue=0,},},},},</v>
      </c>
    </row>
    <row r="180" spans="1:23" x14ac:dyDescent="0.15">
      <c r="C180">
        <v>66734</v>
      </c>
      <c r="D180">
        <v>47</v>
      </c>
      <c r="G180" t="s">
        <v>3646</v>
      </c>
      <c r="H180" t="s">
        <v>2149</v>
      </c>
      <c r="I180" t="s">
        <v>3728</v>
      </c>
      <c r="V180" t="str">
        <f t="shared" si="2"/>
        <v>{dwID=66734,nFrame=47,szName="冰荷花",tKungFu={["SKILL#10021"]=true,["SKILL#10028"]=true,},szNote="秘境·限制心法距离",[3]={},[4]={},},</v>
      </c>
    </row>
    <row r="181" spans="1:23" x14ac:dyDescent="0.15">
      <c r="C181">
        <v>59171</v>
      </c>
      <c r="D181">
        <v>47</v>
      </c>
      <c r="G181" t="s">
        <v>3642</v>
      </c>
      <c r="J181" t="s">
        <v>2168</v>
      </c>
      <c r="U181" t="s">
        <v>3729</v>
      </c>
      <c r="V181" t="str">
        <f t="shared" si="2"/>
        <v>{dwID=59171,nFrame=47,szName="蝶池",col={0,255,0,},[3]={},[4]={},aFocus={{dwMapID=-1,szDisplay="蝶池",nMaxDistance=8,tRelation={bAll=true,bEnemy=false,bAlly=false,},tLife={bEnable=false,szOperator="&gt;",nValue=0,},},},},</v>
      </c>
    </row>
    <row r="182" spans="1:23" x14ac:dyDescent="0.15">
      <c r="A182" t="s">
        <v>2324</v>
      </c>
      <c r="B182">
        <v>-2</v>
      </c>
      <c r="V182" t="str">
        <f t="shared" si="2"/>
        <v>},[-2]={</v>
      </c>
    </row>
    <row r="183" spans="1:23" x14ac:dyDescent="0.15">
      <c r="C183">
        <v>36651</v>
      </c>
      <c r="D183">
        <v>57</v>
      </c>
      <c r="J183" t="s">
        <v>2676</v>
      </c>
      <c r="P183">
        <v>1</v>
      </c>
      <c r="U183" t="s">
        <v>3623</v>
      </c>
      <c r="V183" t="str">
        <f t="shared" si="2"/>
        <v>{dwID=36651,nFrame=57,col={255,50,50,},[3]={bScreenHead=true,},[4]={},aFocus={{dwMapID=-1,nMaxDistance=0,tRelation={bAll=true,bEnemy=false,bAlly=false,},tLife={bEnable=false,szOperator="&gt;",nValue=0,},},},},</v>
      </c>
    </row>
    <row r="184" spans="1:23" x14ac:dyDescent="0.15">
      <c r="C184">
        <v>16170</v>
      </c>
      <c r="D184">
        <v>47</v>
      </c>
      <c r="J184" t="s">
        <v>2143</v>
      </c>
      <c r="P184">
        <v>1</v>
      </c>
      <c r="U184" t="s">
        <v>3623</v>
      </c>
      <c r="V184" t="str">
        <f t="shared" si="2"/>
        <v>{dwID=16170,nFrame=47,col={255,255,0,},[3]={bScreenHead=true,},[4]={},aFocus={{dwMapID=-1,nMaxDistance=0,tRelation={bAll=true,bEnemy=false,bAlly=false,},tLife={bEnable=false,szOperator="&gt;",nValue=0,},},},},</v>
      </c>
    </row>
    <row r="185" spans="1:23" x14ac:dyDescent="0.15">
      <c r="C185">
        <v>66734</v>
      </c>
      <c r="D185">
        <v>47</v>
      </c>
      <c r="G185" t="s">
        <v>3646</v>
      </c>
      <c r="H185" t="s">
        <v>2149</v>
      </c>
      <c r="U185" t="s">
        <v>3730</v>
      </c>
      <c r="V185" t="str">
        <f t="shared" si="2"/>
        <v>{dwID=66734,nFrame=47,szName="冰荷花",tKungFu={["SKILL#10021"]=true,["SKILL#10028"]=true,},[3]={},[4]={},aFocus={{dwMapID=-1,szDisplay="冰荷花",nMaxDistance=20,tRelation={bAll=true,bEnemy=false,bAlly=false,},tLife={bEnable=false,szOperator="&gt;",nValue=0,},},},},</v>
      </c>
    </row>
    <row r="186" spans="1:23" x14ac:dyDescent="0.15">
      <c r="C186">
        <v>57417</v>
      </c>
      <c r="D186">
        <v>50</v>
      </c>
      <c r="U186" t="s">
        <v>3622</v>
      </c>
      <c r="V186" t="str">
        <f t="shared" si="2"/>
        <v>{dwID=57417,nFrame=50,[3]={},[4]={},aFocus={{dwMapID=-1,nMaxDistance=30,tRelation={bAll=true,bEnemy=false,bAlly=false,},tLife={bEnable=false,szOperator="&gt;",nValue=0,},},},},</v>
      </c>
    </row>
    <row r="187" spans="1:23" x14ac:dyDescent="0.15">
      <c r="C187">
        <v>126763</v>
      </c>
      <c r="D187">
        <v>47</v>
      </c>
      <c r="J187" t="s">
        <v>2168</v>
      </c>
      <c r="P187">
        <v>1</v>
      </c>
      <c r="U187" t="s">
        <v>3731</v>
      </c>
      <c r="V187" t="str">
        <f t="shared" si="2"/>
        <v>{dwID=126763,nFrame=47,col={0,255,0,},[3]={bScreenHead=true,},[4]={},aFocus={{dwMapID=-1,nMaxDistance=3,tRelation={bAll=true,bEnemy=false,bAlly=false,},tLife={bEnable=false,szOperator="&gt;",nValue=0,},},},},</v>
      </c>
    </row>
    <row r="188" spans="1:23" x14ac:dyDescent="0.15">
      <c r="C188">
        <v>113500</v>
      </c>
      <c r="D188">
        <v>52</v>
      </c>
      <c r="J188" t="s">
        <v>2168</v>
      </c>
      <c r="P188">
        <v>1</v>
      </c>
      <c r="U188" t="s">
        <v>3731</v>
      </c>
      <c r="V188" t="str">
        <f t="shared" si="2"/>
        <v>{dwID=113500,nFrame=52,col={0,255,0,},[3]={bScreenHead=true,},[4]={},aFocus={{dwMapID=-1,nMaxDistance=3,tRelation={bAll=true,bEnemy=false,bAlly=false,},tLife={bEnable=false,szOperator="&gt;",nValue=0,},},},},</v>
      </c>
    </row>
    <row r="189" spans="1:23" x14ac:dyDescent="0.15">
      <c r="C189">
        <v>113516</v>
      </c>
      <c r="D189">
        <v>52</v>
      </c>
      <c r="J189" t="s">
        <v>2168</v>
      </c>
      <c r="P189">
        <v>1</v>
      </c>
      <c r="U189" t="s">
        <v>3731</v>
      </c>
      <c r="V189" t="str">
        <f t="shared" si="2"/>
        <v>{dwID=113516,nFrame=52,col={0,255,0,},[3]={bScreenHead=true,},[4]={},aFocus={{dwMapID=-1,nMaxDistance=3,tRelation={bAll=true,bEnemy=false,bAlly=false,},tLife={bEnable=false,szOperator="&gt;",nValue=0,},},},},</v>
      </c>
    </row>
    <row r="190" spans="1:23" x14ac:dyDescent="0.15">
      <c r="C190">
        <v>69393</v>
      </c>
      <c r="D190">
        <v>47</v>
      </c>
      <c r="J190" t="s">
        <v>2168</v>
      </c>
      <c r="P190">
        <v>1</v>
      </c>
      <c r="U190" t="s">
        <v>3622</v>
      </c>
      <c r="V190" t="str">
        <f t="shared" si="2"/>
        <v>{dwID=69393,nFrame=47,col={0,255,0,},[3]={bScreenHead=true,},[4]={},aFocus={{dwMapID=-1,nMaxDistance=30,tRelation={bAll=true,bEnemy=false,bAlly=false,},tLife={bEnable=false,szOperator="&gt;",nValue=0,},},},},</v>
      </c>
    </row>
    <row r="191" spans="1:23" x14ac:dyDescent="0.15">
      <c r="C191">
        <v>69394</v>
      </c>
      <c r="D191">
        <v>52</v>
      </c>
      <c r="J191" t="s">
        <v>2181</v>
      </c>
      <c r="P191">
        <v>1</v>
      </c>
      <c r="U191" t="s">
        <v>3732</v>
      </c>
      <c r="V191" t="str">
        <f t="shared" si="2"/>
        <v>{dwID=69394,nFrame=52,col={255,150,0,},[3]={bScreenHead=true,},[4]={},aFocus={{dwMapID=-1,nMaxDistance=1,tRelation={bAll=true,bEnemy=false,bAlly=false,},tLife={bEnable=false,szOperator="&gt;",nValue=0,},},},},</v>
      </c>
    </row>
    <row r="192" spans="1:23" x14ac:dyDescent="0.15">
      <c r="C192">
        <v>113579</v>
      </c>
      <c r="D192">
        <v>52</v>
      </c>
      <c r="J192" t="s">
        <v>2168</v>
      </c>
      <c r="P192">
        <v>1</v>
      </c>
      <c r="U192" t="s">
        <v>3731</v>
      </c>
      <c r="V192" t="str">
        <f t="shared" si="2"/>
        <v>{dwID=113579,nFrame=52,col={0,255,0,},[3]={bScreenHead=true,},[4]={},aFocus={{dwMapID=-1,nMaxDistance=3,tRelation={bAll=true,bEnemy=false,bAlly=false,},tLife={bEnable=false,szOperator="&gt;",nValue=0,},},},},</v>
      </c>
    </row>
    <row r="193" spans="1:24" x14ac:dyDescent="0.15">
      <c r="A193" t="s">
        <v>2327</v>
      </c>
      <c r="B193">
        <v>-1</v>
      </c>
      <c r="V193" t="str">
        <f t="shared" si="2"/>
        <v>},[-1]={</v>
      </c>
    </row>
    <row r="194" spans="1:24" x14ac:dyDescent="0.15">
      <c r="C194">
        <v>64662</v>
      </c>
      <c r="D194">
        <v>47</v>
      </c>
      <c r="P194">
        <v>1</v>
      </c>
      <c r="U194" t="s">
        <v>3696</v>
      </c>
      <c r="V194" t="str">
        <f t="shared" ref="V194:V257" si="3">IF(ISBLANK(B194)=FALSE,IF(ISBLANK(B193),"},["&amp;B194&amp;"]={","["&amp;B194&amp;"]={"),IF(AND(ISBLANK(B194),ISBLANK(D194),ISBLANK(C194),OR(ISBLANK(B193)=FALSE,ISBLANK(D193)=FALSE,ISBLANK(C193)=FALSE)),"},},}",IF(ISBLANK(C194),"","{dwID="&amp;C194&amp;","&amp;"nFrame="&amp;D194&amp;","&amp;IF(E194&gt;0,"nCount="&amp;E194&amp;",","")&amp;IF(F194&gt;0,"bAllLeave=true,","")&amp;IF(G194&lt;&gt;"","szName="""&amp;G194&amp;""",","")&amp;IF(H194&lt;&gt;"","tKungFu={"&amp;H194&amp;"},","")&amp;IF(I194&lt;&gt;"","szNote="""&amp;I194&amp;""",","")&amp;IF(J194&lt;&gt;"","col={"&amp;J194&amp;"},","")&amp;"[3]={"&amp;IF(K194&lt;&gt;"","tMark={"&amp;K194&amp;"},","")&amp;IF(L194&lt;&gt;"","szVoice="""&amp;L194&amp;""",","")&amp;IF(M194&gt;0,"bTeamChannel=true,","")&amp;IF(N194&gt;0,"bWhisperChannel=true,","")&amp;IF(O194&gt;0,"bCenterAlarm=true,","")&amp;IF(P194&gt;0,"bScreenHead=true,","")&amp;"},"&amp;"[4]={"&amp;IF(Q194&lt;&gt;"","szVoice="""&amp;Q194&amp;""",","")&amp;IF(R194&gt;0,"bTeamChannel=true,","")&amp;IF(S194&gt;0,"bWhisperChannel=true,","")&amp;IF(T194&gt;0,"bCenterAlarm=true,","")&amp;"},"&amp;IF(U194&lt;&gt;"","aFocus={"&amp;U194&amp;"},","")&amp;IF(W194&lt;&gt;"","tCountdown={"&amp;_xlfn.TEXTJOIN("",TRUE,W194:ZZ194)&amp;"},","")&amp;"},")))</f>
        <v>{dwID=64662,nFrame=47,[3]={bScreenHead=true,},[4]={},aFocus={{dwMapID=-1,nMaxDistance=120,tRelation={bAll=true,bEnemy=false,bAlly=false,},tLife={bEnable=false,szOperator="&gt;",nValue=0,},},},},</v>
      </c>
    </row>
    <row r="195" spans="1:24" x14ac:dyDescent="0.15">
      <c r="C195">
        <v>64661</v>
      </c>
      <c r="D195">
        <v>47</v>
      </c>
      <c r="P195">
        <v>1</v>
      </c>
      <c r="U195" t="s">
        <v>3696</v>
      </c>
      <c r="V195" t="str">
        <f t="shared" si="3"/>
        <v>{dwID=64661,nFrame=47,[3]={bScreenHead=true,},[4]={},aFocus={{dwMapID=-1,nMaxDistance=120,tRelation={bAll=true,bEnemy=false,bAlly=false,},tLife={bEnable=false,szOperator="&gt;",nValue=0,},},},},</v>
      </c>
    </row>
    <row r="196" spans="1:24" x14ac:dyDescent="0.15">
      <c r="C196">
        <v>51501</v>
      </c>
      <c r="D196">
        <v>67</v>
      </c>
      <c r="U196" t="s">
        <v>3733</v>
      </c>
      <c r="V196" t="str">
        <f t="shared" si="3"/>
        <v>{dwID=51501,nFrame=67,[3]={},[4]={},aFocus={{dwMapID=-1,nMaxDistance=60,tRelation={bAll=true,bEnemy=false,bAlly=false,},tLife={bEnable=false,szOperator="&gt;",nValue=0,},},},},</v>
      </c>
    </row>
    <row r="197" spans="1:24" x14ac:dyDescent="0.15">
      <c r="C197">
        <v>60540</v>
      </c>
      <c r="D197">
        <v>47</v>
      </c>
      <c r="I197" t="s">
        <v>3734</v>
      </c>
      <c r="J197" t="s">
        <v>2168</v>
      </c>
      <c r="O197">
        <v>1</v>
      </c>
      <c r="P197">
        <v>1</v>
      </c>
      <c r="U197" t="s">
        <v>3735</v>
      </c>
      <c r="V197" t="str">
        <f t="shared" si="3"/>
        <v>{dwID=60540,nFrame=47,szNote="雪雪·相逢",col={0,255,0,},[3]={bCenterAlarm=true,bScreenHead=true,},[4]={},aFocus={{dwMapID=-1,nMaxDistance=0,tRelation={bAll=false,bEnemy=false,bAlly=false,},tLife={bEnable=false,szOperator="&gt;",nValue=0,},},},},</v>
      </c>
    </row>
    <row r="198" spans="1:24" x14ac:dyDescent="0.15">
      <c r="C198">
        <v>36659</v>
      </c>
      <c r="D198">
        <v>47</v>
      </c>
      <c r="J198" t="s">
        <v>2168</v>
      </c>
      <c r="P198">
        <v>1</v>
      </c>
      <c r="U198" t="s">
        <v>3612</v>
      </c>
      <c r="V198" t="str">
        <f t="shared" si="3"/>
        <v>{dwID=36659,nFrame=47,col={0,255,0,},[3]={bScreenHead=true,},[4]={},aFocus={{dwMapID=-1,nMaxDistance=10,tRelation={bAll=false,bEnemy=false,bAlly=true,},tLife={bEnable=false,szOperator="&gt;",nValue=0,},},},},</v>
      </c>
    </row>
    <row r="199" spans="1:24" x14ac:dyDescent="0.15">
      <c r="C199">
        <v>106107</v>
      </c>
      <c r="D199">
        <v>69</v>
      </c>
      <c r="P199">
        <v>1</v>
      </c>
      <c r="V199" t="str">
        <f t="shared" si="3"/>
        <v>{dwID=106107,nFrame=69,[3]={bScreenHead=true,},[4]={},},</v>
      </c>
    </row>
    <row r="200" spans="1:24" x14ac:dyDescent="0.15">
      <c r="C200">
        <v>107557</v>
      </c>
      <c r="D200">
        <v>47</v>
      </c>
      <c r="G200" t="s">
        <v>558</v>
      </c>
      <c r="H200" t="s">
        <v>3444</v>
      </c>
      <c r="I200" t="s">
        <v>3736</v>
      </c>
      <c r="J200" t="s">
        <v>3737</v>
      </c>
      <c r="U200" t="s">
        <v>3738</v>
      </c>
      <c r="V200" t="str">
        <f t="shared" si="3"/>
        <v>{dwID=107557,nFrame=47,szName="灵荆",tKungFu={["SKILL#10626"]=true,["SKILL#10627"]=true,},szNote="药宗·灵荆之种",col={45,255,45,},[3]={},[4]={},aFocus={{dwMapID=-1,szDisplay="灵荆",nMaxDistance=20,tRelation={bAll=false,bEnemy=false,bAlly=true,},tLife={bEnable=false,szOperator="&gt;",nValue=0,},},},tCountdown={{nClass=3,nIcon=15418,nFrame=6,szName="灵荆·剩余时间",nTime=15,key="灵荆·剩余时间",},{nClass=4,nIcon=15418,nFrame=5,szName="灵荆·剩余时间",nTime=0,key="灵荆·剩余时间",},},},</v>
      </c>
      <c r="W200" t="s">
        <v>3739</v>
      </c>
      <c r="X200" t="s">
        <v>3740</v>
      </c>
    </row>
    <row r="201" spans="1:24" x14ac:dyDescent="0.15">
      <c r="C201">
        <v>111366</v>
      </c>
      <c r="D201">
        <v>47</v>
      </c>
      <c r="G201" t="s">
        <v>378</v>
      </c>
      <c r="H201" t="s">
        <v>3450</v>
      </c>
      <c r="I201" t="s">
        <v>3741</v>
      </c>
      <c r="U201" t="s">
        <v>3742</v>
      </c>
      <c r="V201" t="str">
        <f t="shared" si="3"/>
        <v>{dwID=111366,nFrame=47,szName="影子",tKungFu={["SKILL#10698"]=true,},szNote="刀宗·影子",[3]={},[4]={},aFocus={{dwMapID=-1,szDisplay="刀宗·影子",nMaxDistance=120,tRelation={bAll=true,bEnemy=false,bAlly=false,},tLife={bEnable=false,szOperator="&gt;",nValue=0,},},},},</v>
      </c>
    </row>
    <row r="202" spans="1:24" x14ac:dyDescent="0.15">
      <c r="C202">
        <v>41744</v>
      </c>
      <c r="D202">
        <v>47</v>
      </c>
      <c r="U202" t="s">
        <v>3623</v>
      </c>
      <c r="V202" t="str">
        <f t="shared" si="3"/>
        <v>{dwID=41744,nFrame=47,[3]={},[4]={},aFocus={{dwMapID=-1,nMaxDistance=0,tRelation={bAll=true,bEnemy=false,bAlly=false,},tLife={bEnable=false,szOperator="&gt;",nValue=0,},},},},</v>
      </c>
    </row>
    <row r="203" spans="1:24" x14ac:dyDescent="0.15">
      <c r="A203" t="s">
        <v>645</v>
      </c>
      <c r="B203">
        <v>1</v>
      </c>
      <c r="V203" t="str">
        <f t="shared" si="3"/>
        <v>},[1]={</v>
      </c>
    </row>
    <row r="204" spans="1:24" x14ac:dyDescent="0.15">
      <c r="C204">
        <v>1248</v>
      </c>
      <c r="D204">
        <v>52</v>
      </c>
      <c r="P204">
        <v>1</v>
      </c>
      <c r="U204" t="s">
        <v>3743</v>
      </c>
      <c r="V204" t="str">
        <f t="shared" si="3"/>
        <v>{dwID=1248,nFrame=52,[3]={bScreenHead=true,},[4]={},aFocus={{dwMapID=-1,szDisplay="布娃娃·隐藏任务",nMaxDistance=10,tRelation={bAll=true,bEnemy=false,bAlly=false,},tLife={bEnable=false,szOperator="&gt;",nValue=0,},},},},</v>
      </c>
    </row>
    <row r="205" spans="1:24" x14ac:dyDescent="0.15">
      <c r="C205">
        <v>1173</v>
      </c>
      <c r="D205">
        <v>47</v>
      </c>
      <c r="I205" t="s">
        <v>3744</v>
      </c>
      <c r="J205" t="s">
        <v>2168</v>
      </c>
      <c r="P205">
        <v>1</v>
      </c>
      <c r="U205" t="s">
        <v>3745</v>
      </c>
      <c r="V205" t="str">
        <f t="shared" si="3"/>
        <v>{dwID=1173,nFrame=47,szNote="隐藏任务·稻草人",col={0,255,0,},[3]={bScreenHead=true,},[4]={},aFocus={{dwMapID=-1,szDisplay="阮氏·隐藏任务",nMaxDistance=20,tRelation={bAll=true,bEnemy=false,bAlly=false,},tLife={bEnable=false,szOperator="&gt;",nValue=0,},},},},</v>
      </c>
    </row>
    <row r="206" spans="1:24" x14ac:dyDescent="0.15">
      <c r="C206">
        <v>1178</v>
      </c>
      <c r="D206">
        <v>47</v>
      </c>
      <c r="I206" t="s">
        <v>3746</v>
      </c>
      <c r="J206" t="s">
        <v>2168</v>
      </c>
      <c r="P206">
        <v>1</v>
      </c>
      <c r="U206" t="s">
        <v>3747</v>
      </c>
      <c r="V206" t="str">
        <f t="shared" si="3"/>
        <v>{dwID=1178,nFrame=47,szNote="隐藏任务·同粥共济",col={0,255,0,},[3]={bScreenHead=true,},[4]={},aFocus={{dwMapID=-1,szDisplay="王大·隐藏任务",nMaxDistance=20,tRelation={bAll=true,bEnemy=false,bAlly=false,},tLife={bEnable=false,szOperator="&gt;",nValue=0,},},},},</v>
      </c>
    </row>
    <row r="207" spans="1:24" x14ac:dyDescent="0.15">
      <c r="C207">
        <v>7138</v>
      </c>
      <c r="D207">
        <v>47</v>
      </c>
      <c r="I207" t="s">
        <v>3748</v>
      </c>
      <c r="J207" t="s">
        <v>2168</v>
      </c>
      <c r="P207">
        <v>1</v>
      </c>
      <c r="U207" t="s">
        <v>3749</v>
      </c>
      <c r="V207" t="str">
        <f t="shared" si="3"/>
        <v>{dwID=7138,nFrame=47,szNote="隐藏任务",col={0,255,0,},[3]={bScreenHead=true,},[4]={},aFocus={{dwMapID=-1,szDisplay="叶季良·隐藏任务",nMaxDistance=20,tRelation={bAll=true,bEnemy=false,bAlly=false,},tLife={bEnable=false,szOperator="&gt;",nValue=0,},},},},</v>
      </c>
    </row>
    <row r="208" spans="1:24" x14ac:dyDescent="0.15">
      <c r="C208">
        <v>63</v>
      </c>
      <c r="D208">
        <v>47</v>
      </c>
      <c r="I208" t="s">
        <v>3750</v>
      </c>
      <c r="J208" t="s">
        <v>2168</v>
      </c>
      <c r="P208">
        <v>1</v>
      </c>
      <c r="U208" t="s">
        <v>3751</v>
      </c>
      <c r="V208" t="str">
        <f t="shared" si="3"/>
        <v>{dwID=63,nFrame=47,szNote="窈窕淑女君子逑",col={0,255,0,},[3]={bScreenHead=true,},[4]={},aFocus={{dwMapID=-1,szDisplay="织女·窈窕淑女君子逑",nMaxDistance=10,tRelation={bAll=true,bEnemy=false,bAlly=false,},tLife={bEnable=false,szOperator="&gt;",nValue=0,},},},},</v>
      </c>
    </row>
    <row r="209" spans="1:27" x14ac:dyDescent="0.15">
      <c r="C209">
        <v>64493</v>
      </c>
      <c r="D209">
        <v>47</v>
      </c>
      <c r="I209" t="s">
        <v>601</v>
      </c>
      <c r="J209" t="s">
        <v>2168</v>
      </c>
      <c r="P209">
        <v>1</v>
      </c>
      <c r="U209" t="s">
        <v>3752</v>
      </c>
      <c r="V209" t="str">
        <f t="shared" si="3"/>
        <v>{dwID=64493,nFrame=47,szNote="身无分文",col={0,255,0,},[3]={bScreenHead=true,},[4]={},aFocus={{dwMapID=-1,szDisplay="沈剑心·身无分文",nMaxDistance=20,tRelation={bAll=true,bEnemy=false,bAlly=false,},tLife={bEnable=false,szOperator="&gt;",nValue=0,},},},},</v>
      </c>
    </row>
    <row r="210" spans="1:27" x14ac:dyDescent="0.15">
      <c r="C210">
        <v>64575</v>
      </c>
      <c r="D210">
        <v>47</v>
      </c>
      <c r="J210" t="s">
        <v>2168</v>
      </c>
      <c r="P210">
        <v>1</v>
      </c>
      <c r="U210" t="s">
        <v>3621</v>
      </c>
      <c r="V210" t="str">
        <f t="shared" si="3"/>
        <v>{dwID=64575,nFrame=47,col={0,255,0,},[3]={bScreenHead=true,},[4]={},aFocus={{dwMapID=-1,nMaxDistance=6,tRelation={bAll=true,bEnemy=false,bAlly=false,},tLife={bEnable=false,szOperator="&gt;",nValue=0,},},},},</v>
      </c>
    </row>
    <row r="211" spans="1:27" x14ac:dyDescent="0.15">
      <c r="C211">
        <v>27</v>
      </c>
      <c r="D211">
        <v>47</v>
      </c>
      <c r="J211" t="s">
        <v>2168</v>
      </c>
      <c r="P211">
        <v>1</v>
      </c>
      <c r="U211" t="s">
        <v>3753</v>
      </c>
      <c r="V211" t="str">
        <f t="shared" si="3"/>
        <v>{dwID=27,nFrame=47,col={0,255,0,},[3]={bScreenHead=true,},[4]={},aFocus={{dwMapID=-1,szDisplay="余半仙·算命",nMaxDistance=10,tRelation={bAll=true,bEnemy=false,bAlly=false,},tLife={bEnable=false,szOperator="&gt;",nValue=0,},},},},</v>
      </c>
    </row>
    <row r="212" spans="1:27" x14ac:dyDescent="0.15">
      <c r="C212">
        <v>7134</v>
      </c>
      <c r="D212">
        <v>47</v>
      </c>
      <c r="I212" t="s">
        <v>3748</v>
      </c>
      <c r="P212">
        <v>1</v>
      </c>
      <c r="U212" t="s">
        <v>3754</v>
      </c>
      <c r="V212" t="str">
        <f t="shared" si="3"/>
        <v>{dwID=7134,nFrame=47,szNote="隐藏任务",[3]={bScreenHead=true,},[4]={},aFocus={{dwMapID=-1,szDisplay="鬼祟的村民·隐藏任务",nMaxDistance=20,tRelation={bAll=true,bEnemy=false,bAlly=false,},tLife={bEnable=false,szOperator="&gt;",nValue=0,},},},},</v>
      </c>
    </row>
    <row r="213" spans="1:27" x14ac:dyDescent="0.15">
      <c r="C213">
        <v>60217</v>
      </c>
      <c r="D213">
        <v>47</v>
      </c>
      <c r="J213" t="s">
        <v>2168</v>
      </c>
      <c r="P213">
        <v>1</v>
      </c>
      <c r="U213" t="s">
        <v>3755</v>
      </c>
      <c r="V213" t="str">
        <f t="shared" si="3"/>
        <v>{dwID=60217,nFrame=47,col={0,255,0,},[3]={bScreenHead=true,},[4]={},aFocus={{dwMapID=-1,szDisplay="宋明·隐藏任务",nMaxDistance=20,tRelation={bAll=true,bEnemy=false,bAlly=false,},tLife={bEnable=false,szOperator="&gt;",nValue=0,},},},},</v>
      </c>
    </row>
    <row r="214" spans="1:27" x14ac:dyDescent="0.15">
      <c r="C214">
        <v>46</v>
      </c>
      <c r="D214">
        <v>47</v>
      </c>
      <c r="I214" t="s">
        <v>3756</v>
      </c>
      <c r="J214" t="s">
        <v>2168</v>
      </c>
      <c r="P214">
        <v>1</v>
      </c>
      <c r="U214" t="s">
        <v>3757</v>
      </c>
      <c r="V214" t="str">
        <f t="shared" si="3"/>
        <v>{dwID=46,nFrame=47,szNote="鱼腥草",col={0,255,0,},[3]={bScreenHead=true,},[4]={},aFocus={{dwMapID=-1,szDisplay="阿文·鱼腥草",nMaxDistance=8,tRelation={bAll=true,bEnemy=false,bAlly=false,},tLife={bEnable=false,szOperator="&gt;",nValue=0,},},},},</v>
      </c>
    </row>
    <row r="215" spans="1:27" x14ac:dyDescent="0.15">
      <c r="C215">
        <v>69</v>
      </c>
      <c r="D215">
        <v>50</v>
      </c>
      <c r="I215" t="s">
        <v>3756</v>
      </c>
      <c r="J215" t="s">
        <v>2168</v>
      </c>
      <c r="P215">
        <v>1</v>
      </c>
      <c r="U215" t="s">
        <v>3758</v>
      </c>
      <c r="V215" t="str">
        <f t="shared" si="3"/>
        <v>{dwID=69,nFrame=50,szNote="鱼腥草",col={0,255,0,},[3]={bScreenHead=true,},[4]={},aFocus={{dwMapID=-1,szDisplay="阿武·鱼腥草",nMaxDistance=8,tRelation={bAll=true,bEnemy=false,bAlly=false,},tLife={bEnable=false,szOperator="&gt;",nValue=0,},},},},</v>
      </c>
    </row>
    <row r="216" spans="1:27" x14ac:dyDescent="0.15">
      <c r="C216">
        <v>60141</v>
      </c>
      <c r="D216">
        <v>57</v>
      </c>
      <c r="P216">
        <v>1</v>
      </c>
      <c r="U216" t="s">
        <v>3759</v>
      </c>
      <c r="V216" t="str">
        <f t="shared" si="3"/>
        <v>{dwID=60141,nFrame=57,[3]={bScreenHead=true,},[4]={},aFocus={{dwMapID=-1,nMaxDistance=30,tRelation={bAll=false,bEnemy=true,bAlly=false,},tLife={bEnable=false,szOperator="&gt;",nValue=0,},},},},</v>
      </c>
    </row>
    <row r="217" spans="1:27" x14ac:dyDescent="0.15">
      <c r="C217">
        <v>60182</v>
      </c>
      <c r="D217">
        <v>47</v>
      </c>
      <c r="I217" t="s">
        <v>3760</v>
      </c>
      <c r="J217" t="s">
        <v>2168</v>
      </c>
      <c r="P217">
        <v>1</v>
      </c>
      <c r="U217" t="s">
        <v>3761</v>
      </c>
      <c r="V217" t="str">
        <f t="shared" si="3"/>
        <v>{dwID=60182,nFrame=47,szNote="雪雪·旅行",col={0,255,0,},[3]={bScreenHead=true,},[4]={},aFocus={{dwMapID=-1,nMaxDistance=240,tRelation={bAll=true,bEnemy=false,bAlly=false,},tLife={bEnable=false,szOperator="&gt;",nValue=0,},},},},</v>
      </c>
    </row>
    <row r="218" spans="1:27" x14ac:dyDescent="0.15">
      <c r="C218">
        <v>70387</v>
      </c>
      <c r="D218">
        <v>47</v>
      </c>
      <c r="I218" t="s">
        <v>3762</v>
      </c>
      <c r="U218" t="s">
        <v>3623</v>
      </c>
      <c r="V218" t="str">
        <f t="shared" si="3"/>
        <v>{dwID=70387,nFrame=47,szNote="白日梦·凝血草阿大",[3]={},[4]={},aFocus={{dwMapID=-1,nMaxDistance=0,tRelation={bAll=true,bEnemy=false,bAlly=false,},tLife={bEnable=false,szOperator="&gt;",nValue=0,},},},tCountdown={{nClass=3,nIcon=17135,nFrame=7,bHold=true,szName="按1·变成凝血草",nTime=600,key="奇遇提示2",},{nClass=3,nIcon=17135,nFrame=7,bHold=true,szName="依次交互·阿大·阿二·阿三",nTime=600,key="奇遇提示3",},{nClass=4,nIcon=17135,nFrame=6,bHold=true,szName="回到·家园集市·裴草",nTime=600,key="奇遇提示1",},{nClass=4,nIcon=17135,nFrame=7,szName="扬州·城南树林·茶馆",nTime=600,key="奇遇提示2",},{nClass=4,nIcon=17135,nFrame=7,szName="马商附近·使用·游梦仙枕",nTime=600,key="奇遇提示3",},},},</v>
      </c>
      <c r="W218" t="s">
        <v>3763</v>
      </c>
      <c r="X218" t="s">
        <v>3764</v>
      </c>
      <c r="Y218" t="s">
        <v>3765</v>
      </c>
      <c r="Z218" t="s">
        <v>3766</v>
      </c>
      <c r="AA218" t="s">
        <v>3767</v>
      </c>
    </row>
    <row r="219" spans="1:27" x14ac:dyDescent="0.15">
      <c r="C219">
        <v>70527</v>
      </c>
      <c r="D219">
        <v>47</v>
      </c>
      <c r="I219" t="s">
        <v>3768</v>
      </c>
      <c r="U219" t="s">
        <v>3623</v>
      </c>
      <c r="V219" t="str">
        <f t="shared" si="3"/>
        <v>{dwID=70527,nFrame=47,szNote="白日梦·凝血草阿二",[3]={},[4]={},aFocus={{dwMapID=-1,nMaxDistance=0,tRelation={bAll=true,bEnemy=false,bAlly=false,},tLife={bEnable=false,szOperator="&gt;",nValue=0,},},},},</v>
      </c>
    </row>
    <row r="220" spans="1:27" x14ac:dyDescent="0.15">
      <c r="C220">
        <v>70528</v>
      </c>
      <c r="D220">
        <v>47</v>
      </c>
      <c r="I220" t="s">
        <v>3769</v>
      </c>
      <c r="U220" t="s">
        <v>3623</v>
      </c>
      <c r="V220" t="str">
        <f t="shared" si="3"/>
        <v>{dwID=70528,nFrame=47,szNote="白日梦·凝血草阿三",[3]={},[4]={},aFocus={{dwMapID=-1,nMaxDistance=0,tRelation={bAll=true,bEnemy=false,bAlly=false,},tLife={bEnable=false,szOperator="&gt;",nValue=0,},},},},</v>
      </c>
    </row>
    <row r="221" spans="1:27" x14ac:dyDescent="0.15">
      <c r="A221" t="s">
        <v>232</v>
      </c>
      <c r="B221">
        <v>2</v>
      </c>
      <c r="V221" t="str">
        <f t="shared" si="3"/>
        <v>},[2]={</v>
      </c>
    </row>
    <row r="222" spans="1:27" x14ac:dyDescent="0.15">
      <c r="C222">
        <v>50432</v>
      </c>
      <c r="D222">
        <v>47</v>
      </c>
      <c r="I222" t="s">
        <v>2503</v>
      </c>
      <c r="J222" t="s">
        <v>2168</v>
      </c>
      <c r="P222">
        <v>1</v>
      </c>
      <c r="U222" t="s">
        <v>3770</v>
      </c>
      <c r="V222" t="str">
        <f t="shared" si="3"/>
        <v>{dwID=50432,nFrame=47,szNote="门派事件",col={0,255,0,},[3]={bScreenHead=true,},[4]={},aFocus={{dwMapID=-1,szDisplay="花草·门派事件",nMaxDistance=10,tRelation={bAll=false,bEnemy=false,bAlly=true,},tLife={bEnable=false,szOperator="&gt;",nValue=0,},},},},</v>
      </c>
    </row>
    <row r="223" spans="1:27" x14ac:dyDescent="0.15">
      <c r="C223">
        <v>50434</v>
      </c>
      <c r="D223">
        <v>50</v>
      </c>
      <c r="I223" t="s">
        <v>2503</v>
      </c>
      <c r="J223" t="s">
        <v>2676</v>
      </c>
      <c r="V223" t="str">
        <f t="shared" si="3"/>
        <v>{dwID=50434,nFrame=50,szNote="门派事件",col={255,50,50,},[3]={},[4]={},},</v>
      </c>
    </row>
    <row r="224" spans="1:27" x14ac:dyDescent="0.15">
      <c r="C224">
        <v>50433</v>
      </c>
      <c r="D224">
        <v>50</v>
      </c>
      <c r="I224" t="s">
        <v>2503</v>
      </c>
      <c r="J224" t="s">
        <v>2676</v>
      </c>
      <c r="V224" t="str">
        <f t="shared" si="3"/>
        <v>{dwID=50433,nFrame=50,szNote="门派事件",col={255,50,50,},[3]={},[4]={},},</v>
      </c>
    </row>
    <row r="225" spans="3:25" x14ac:dyDescent="0.15">
      <c r="C225">
        <v>50438</v>
      </c>
      <c r="D225">
        <v>50</v>
      </c>
      <c r="I225" t="s">
        <v>2503</v>
      </c>
      <c r="J225" t="s">
        <v>2676</v>
      </c>
      <c r="V225" t="str">
        <f t="shared" si="3"/>
        <v>{dwID=50438,nFrame=50,szNote="门派事件",col={255,50,50,},[3]={},[4]={},},</v>
      </c>
    </row>
    <row r="226" spans="3:25" x14ac:dyDescent="0.15">
      <c r="C226">
        <v>50423</v>
      </c>
      <c r="D226">
        <v>47</v>
      </c>
      <c r="I226" t="s">
        <v>2503</v>
      </c>
      <c r="J226" t="s">
        <v>2168</v>
      </c>
      <c r="P226">
        <v>1</v>
      </c>
      <c r="U226" t="s">
        <v>3612</v>
      </c>
      <c r="V226" t="str">
        <f t="shared" si="3"/>
        <v>{dwID=50423,nFrame=47,szNote="门派事件",col={0,255,0,},[3]={bScreenHead=true,},[4]={},aFocus={{dwMapID=-1,nMaxDistance=10,tRelation={bAll=false,bEnemy=false,bAlly=true,},tLife={bEnable=false,szOperator="&gt;",nValue=0,},},},},</v>
      </c>
    </row>
    <row r="227" spans="3:25" x14ac:dyDescent="0.15">
      <c r="C227">
        <v>50478</v>
      </c>
      <c r="D227">
        <v>47</v>
      </c>
      <c r="I227" t="s">
        <v>2503</v>
      </c>
      <c r="J227" t="s">
        <v>2168</v>
      </c>
      <c r="P227">
        <v>1</v>
      </c>
      <c r="U227" t="s">
        <v>3771</v>
      </c>
      <c r="V227" t="str">
        <f t="shared" si="3"/>
        <v>{dwID=50478,nFrame=47,szNote="门派事件",col={0,255,0,},[3]={bScreenHead=true,},[4]={},aFocus={{dwMapID=-1,szDisplay="常华聿·门派事件",nMaxDistance=10,tRelation={bAll=false,bEnemy=false,bAlly=true,},tLife={bEnable=false,szOperator="&gt;",nValue=0,},},},},</v>
      </c>
    </row>
    <row r="228" spans="3:25" x14ac:dyDescent="0.15">
      <c r="C228">
        <v>50424</v>
      </c>
      <c r="D228">
        <v>47</v>
      </c>
      <c r="I228" t="s">
        <v>2503</v>
      </c>
      <c r="J228" t="s">
        <v>2168</v>
      </c>
      <c r="P228">
        <v>1</v>
      </c>
      <c r="U228" t="s">
        <v>3772</v>
      </c>
      <c r="V228" t="str">
        <f t="shared" si="3"/>
        <v>{dwID=50424,nFrame=47,szNote="门派事件",col={0,255,0,},[3]={bScreenHead=true,},[4]={},aFocus={{dwMapID=-1,szDisplay="元草芳·门派事件",nMaxDistance=10,tRelation={bAll=false,bEnemy=false,bAlly=true,},tLife={bEnable=false,szOperator="&gt;",nValue=0,},},},},</v>
      </c>
    </row>
    <row r="229" spans="3:25" x14ac:dyDescent="0.15">
      <c r="C229">
        <v>50240</v>
      </c>
      <c r="D229">
        <v>57</v>
      </c>
      <c r="I229" t="s">
        <v>2503</v>
      </c>
      <c r="J229" t="s">
        <v>2676</v>
      </c>
      <c r="P229">
        <v>1</v>
      </c>
      <c r="U229" t="s">
        <v>3773</v>
      </c>
      <c r="V229" t="str">
        <f t="shared" si="3"/>
        <v>{dwID=50240,nFrame=57,szNote="门派事件",col={255,50,50,},[3]={bScreenHead=true,},[4]={},aFocus={{dwMapID=-1,szDisplay="剧毒王·门派事件",nMaxDistance=0,tRelation={bAll=false,bEnemy=true,bAlly=false,},tLife={bEnable=false,szOperator="&gt;",nValue=0,},},},},</v>
      </c>
    </row>
    <row r="230" spans="3:25" x14ac:dyDescent="0.15">
      <c r="C230">
        <v>50191</v>
      </c>
      <c r="D230">
        <v>57</v>
      </c>
      <c r="I230" t="s">
        <v>2503</v>
      </c>
      <c r="J230" t="s">
        <v>2676</v>
      </c>
      <c r="U230" t="s">
        <v>3774</v>
      </c>
      <c r="V230" t="str">
        <f t="shared" si="3"/>
        <v>{dwID=50191,nFrame=57,szNote="门派事件",col={255,50,50,},[3]={},[4]={},aFocus={{dwMapID=-1,szDisplay="毒人·门派事件",nMaxDistance=20,tRelation={bAll=false,bEnemy=true,bAlly=false,},tLife={bEnable=false,szOperator="&gt;",nValue=0,},},},},</v>
      </c>
    </row>
    <row r="231" spans="3:25" x14ac:dyDescent="0.15">
      <c r="C231">
        <v>50484</v>
      </c>
      <c r="D231">
        <v>47</v>
      </c>
      <c r="I231" t="s">
        <v>2503</v>
      </c>
      <c r="J231" t="s">
        <v>2168</v>
      </c>
      <c r="P231">
        <v>1</v>
      </c>
      <c r="U231" t="s">
        <v>3775</v>
      </c>
      <c r="V231" t="str">
        <f t="shared" si="3"/>
        <v>{dwID=50484,nFrame=47,szNote="门派事件",col={0,255,0,},[3]={bScreenHead=true,},[4]={},aFocus={{dwMapID=-1,nMaxDistance=4,tRelation={bAll=false,bEnemy=false,bAlly=true,},tLife={bEnable=false,szOperator="&gt;",nValue=0,},},},},</v>
      </c>
    </row>
    <row r="232" spans="3:25" x14ac:dyDescent="0.15">
      <c r="C232">
        <v>50233</v>
      </c>
      <c r="D232">
        <v>57</v>
      </c>
      <c r="I232" t="s">
        <v>2503</v>
      </c>
      <c r="J232" t="s">
        <v>2676</v>
      </c>
      <c r="P232">
        <v>1</v>
      </c>
      <c r="U232" t="s">
        <v>3776</v>
      </c>
      <c r="V232" t="str">
        <f t="shared" si="3"/>
        <v>{dwID=50233,nFrame=57,szNote="门派事件",col={255,50,50,},[3]={bScreenHead=true,},[4]={},aFocus={{dwMapID=-1,szDisplay="令狐潮·门派事件",nMaxDistance=120,tRelation={bAll=false,bEnemy=true,bAlly=false,},tLife={bEnable=false,szOperator="&gt;",nValue=0,},},},},</v>
      </c>
    </row>
    <row r="233" spans="3:25" x14ac:dyDescent="0.15">
      <c r="C233">
        <v>60182</v>
      </c>
      <c r="D233">
        <v>47</v>
      </c>
      <c r="I233" t="s">
        <v>3760</v>
      </c>
      <c r="J233" t="s">
        <v>2168</v>
      </c>
      <c r="P233">
        <v>1</v>
      </c>
      <c r="U233" t="s">
        <v>3761</v>
      </c>
      <c r="V233" t="str">
        <f t="shared" si="3"/>
        <v>{dwID=60182,nFrame=47,szNote="雪雪·旅行",col={0,255,0,},[3]={bScreenHead=true,},[4]={},aFocus={{dwMapID=-1,nMaxDistance=240,tRelation={bAll=true,bEnemy=false,bAlly=false,},tLife={bEnable=false,szOperator="&gt;",nValue=0,},},},},</v>
      </c>
    </row>
    <row r="234" spans="3:25" x14ac:dyDescent="0.15">
      <c r="C234">
        <v>48105</v>
      </c>
      <c r="D234">
        <v>47</v>
      </c>
      <c r="I234" t="s">
        <v>3777</v>
      </c>
      <c r="J234" t="s">
        <v>2152</v>
      </c>
      <c r="P234">
        <v>1</v>
      </c>
      <c r="U234" t="s">
        <v>3778</v>
      </c>
      <c r="V234" t="str">
        <f t="shared" si="3"/>
        <v>{dwID=48105,nFrame=47,szNote="孩童书·赵小凯",col={0,255,255,},[3]={bScreenHead=true,},[4]={},aFocus={{dwMapID=-1,szDisplay="赵小凯·孩童书",nMaxDistance=60,tRelation={bAll=true,bEnemy=false,bAlly=false,},tLife={bEnable=false,szOperator="&gt;",nValue=0,},},},},</v>
      </c>
    </row>
    <row r="235" spans="3:25" x14ac:dyDescent="0.15">
      <c r="C235">
        <v>36002</v>
      </c>
      <c r="D235">
        <v>47</v>
      </c>
      <c r="I235" t="s">
        <v>3779</v>
      </c>
      <c r="U235" t="s">
        <v>3780</v>
      </c>
      <c r="V235" t="str">
        <f t="shared" si="3"/>
        <v>{dwID=36002,nFrame=47,szNote="孩童书·陈一",[3]={},[4]={},aFocus={{dwMapID=-1,szDisplay="陈一·孩童书",nMaxDistance=60,tRelation={bAll=true,bEnemy=false,bAlly=false,},tLife={bEnable=false,szOperator="&gt;",nValue=0,},},},},</v>
      </c>
    </row>
    <row r="236" spans="3:25" x14ac:dyDescent="0.15">
      <c r="C236">
        <v>179</v>
      </c>
      <c r="D236">
        <v>47</v>
      </c>
      <c r="I236" t="s">
        <v>3781</v>
      </c>
      <c r="U236" t="s">
        <v>3782</v>
      </c>
      <c r="V236" t="str">
        <f t="shared" si="3"/>
        <v>{dwID=179,nFrame=47,szNote="孩童书·徐书",[3]={},[4]={},aFocus={{dwMapID=-1,szDisplay="徐书·孩童书",nMaxDistance=90,tRelation={bAll=true,bEnemy=false,bAlly=false,},tLife={bEnable=false,szOperator="&gt;",nValue=0,},},},},</v>
      </c>
    </row>
    <row r="237" spans="3:25" x14ac:dyDescent="0.15">
      <c r="C237">
        <v>113</v>
      </c>
      <c r="D237">
        <v>47</v>
      </c>
      <c r="I237" t="s">
        <v>3783</v>
      </c>
      <c r="U237" t="s">
        <v>3784</v>
      </c>
      <c r="V237" t="str">
        <f t="shared" si="3"/>
        <v>{dwID=113,nFrame=47,szNote="孩童书·吴岱",[3]={},[4]={},aFocus={{dwMapID=-1,szDisplay="吴岱·孩童书",nMaxDistance=30,tRelation={bAll=true,bEnemy=false,bAlly=false,},tLife={bEnable=false,szOperator="&gt;",nValue=0,},},},},</v>
      </c>
    </row>
    <row r="238" spans="3:25" x14ac:dyDescent="0.15">
      <c r="C238">
        <v>84</v>
      </c>
      <c r="D238">
        <v>47</v>
      </c>
      <c r="I238" t="s">
        <v>3785</v>
      </c>
      <c r="U238" t="s">
        <v>3786</v>
      </c>
      <c r="V238" t="str">
        <f t="shared" si="3"/>
        <v>{dwID=84,nFrame=47,szNote="孩童书·葛晚星",[3]={},[4]={},aFocus={{dwMapID=-1,szDisplay="葛晚星·孩童书",nMaxDistance=0,tRelation={bAll=true,bEnemy=false,bAlly=false,},tLife={bEnable=false,szOperator="&gt;",nValue=0,},},},},</v>
      </c>
    </row>
    <row r="239" spans="3:25" x14ac:dyDescent="0.15">
      <c r="C239">
        <v>91</v>
      </c>
      <c r="D239">
        <v>47</v>
      </c>
      <c r="I239" t="s">
        <v>3787</v>
      </c>
      <c r="U239" t="s">
        <v>3788</v>
      </c>
      <c r="V239" t="str">
        <f t="shared" si="3"/>
        <v>{dwID=91,nFrame=47,szNote="孩童书·颜真卿",[3]={},[4]={},aFocus={{dwMapID=-1,szDisplay="颜真卿·孩童书",nMaxDistance=0,tRelation={bAll=true,bEnemy=false,bAlly=false,},tLife={bEnable=false,szOperator="&gt;",nValue=0,},},},},</v>
      </c>
    </row>
    <row r="240" spans="3:25" x14ac:dyDescent="0.15">
      <c r="C240">
        <v>36003</v>
      </c>
      <c r="D240">
        <v>47</v>
      </c>
      <c r="I240" t="s">
        <v>3789</v>
      </c>
      <c r="U240" t="s">
        <v>3790</v>
      </c>
      <c r="V240" t="str">
        <f t="shared" si="3"/>
        <v>{dwID=36003,nFrame=47,szNote="孩童书·偷书小兽",[3]={},[4]={},aFocus={{dwMapID=-1,szDisplay="偷书小兽·孩童书",nMaxDistance=0,tRelation={bAll=true,bEnemy=false,bAlly=false,},tLife={bEnable=false,szOperator="&gt;",nValue=0,},},},tCountdown={{nClass=3,nIcon=17135,nFrame=7,szName="7.返回找葛晚星·返回找陈一",nTime=600,nRefresh=600,key="奇遇提示1",},{nClass=3,nIcon=17135,nFrame=7,szName="8.仙迹岩寻找·颜真卿",nTime=600,nRefresh=600,key="奇遇提示2",},{nClass=3,nIcon=17135,nFrame=7,szName="9.等待剧情后·返回找陈一",nTime=600,nRefresh=600,key="奇遇提示3",},},},</v>
      </c>
      <c r="W240" t="s">
        <v>3791</v>
      </c>
      <c r="X240" t="s">
        <v>3792</v>
      </c>
      <c r="Y240" t="s">
        <v>3793</v>
      </c>
    </row>
    <row r="241" spans="1:22" x14ac:dyDescent="0.15">
      <c r="A241" t="s">
        <v>665</v>
      </c>
      <c r="B241">
        <v>5</v>
      </c>
      <c r="V241" t="str">
        <f t="shared" si="3"/>
        <v>},[5]={</v>
      </c>
    </row>
    <row r="242" spans="1:22" x14ac:dyDescent="0.15">
      <c r="C242">
        <v>50158</v>
      </c>
      <c r="D242">
        <v>47</v>
      </c>
      <c r="I242" t="s">
        <v>2503</v>
      </c>
      <c r="P242">
        <v>1</v>
      </c>
      <c r="U242" t="s">
        <v>3794</v>
      </c>
      <c r="V242" t="str">
        <f t="shared" si="3"/>
        <v>{dwID=50158,nFrame=47,szNote="门派事件",[3]={bScreenHead=true,},[4]={},aFocus={{dwMapID=-1,nMaxDistance=20,tRelation={bAll=false,bEnemy=true,bAlly=false,},tLife={bEnable=false,szOperator="&gt;",nValue=0,},},},},</v>
      </c>
    </row>
    <row r="243" spans="1:22" x14ac:dyDescent="0.15">
      <c r="C243">
        <v>50157</v>
      </c>
      <c r="D243">
        <v>47</v>
      </c>
      <c r="I243" t="s">
        <v>2503</v>
      </c>
      <c r="J243" t="s">
        <v>2168</v>
      </c>
      <c r="P243">
        <v>1</v>
      </c>
      <c r="V243" t="str">
        <f t="shared" si="3"/>
        <v>{dwID=50157,nFrame=47,szNote="门派事件",col={0,255,0,},[3]={bScreenHead=true,},[4]={},},</v>
      </c>
    </row>
    <row r="244" spans="1:22" x14ac:dyDescent="0.15">
      <c r="C244">
        <v>3082</v>
      </c>
      <c r="D244">
        <v>47</v>
      </c>
      <c r="I244" t="s">
        <v>2503</v>
      </c>
      <c r="J244" t="s">
        <v>2168</v>
      </c>
      <c r="P244">
        <v>1</v>
      </c>
      <c r="U244" t="s">
        <v>3795</v>
      </c>
      <c r="V244" t="str">
        <f t="shared" si="3"/>
        <v>{dwID=3082,nFrame=47,szNote="门派事件",col={0,255,0,},[3]={bScreenHead=true,},[4]={},aFocus={{dwMapID=-1,szDisplay="道苦·门派事件",nMaxDistance=30,tRelation={bAll=true,bEnemy=false,bAlly=false,},tLife={bEnable=false,szOperator="&gt;",nValue=0,},},},},</v>
      </c>
    </row>
    <row r="245" spans="1:22" x14ac:dyDescent="0.15">
      <c r="C245">
        <v>50159</v>
      </c>
      <c r="D245">
        <v>57</v>
      </c>
      <c r="I245" t="s">
        <v>2503</v>
      </c>
      <c r="J245" t="s">
        <v>2676</v>
      </c>
      <c r="V245" t="str">
        <f t="shared" si="3"/>
        <v>{dwID=50159,nFrame=57,szNote="门派事件",col={255,50,50,},[3]={},[4]={},},</v>
      </c>
    </row>
    <row r="246" spans="1:22" x14ac:dyDescent="0.15">
      <c r="C246">
        <v>50447</v>
      </c>
      <c r="D246">
        <v>47</v>
      </c>
      <c r="I246" t="s">
        <v>2503</v>
      </c>
      <c r="J246" t="s">
        <v>2676</v>
      </c>
      <c r="P246">
        <v>1</v>
      </c>
      <c r="U246" t="s">
        <v>3623</v>
      </c>
      <c r="V246" t="str">
        <f t="shared" si="3"/>
        <v>{dwID=50447,nFrame=47,szNote="门派事件",col={255,50,50,},[3]={bScreenHead=true,},[4]={},aFocus={{dwMapID=-1,nMaxDistance=0,tRelation={bAll=true,bEnemy=false,bAlly=false,},tLife={bEnable=false,szOperator="&gt;",nValue=0,},},},},</v>
      </c>
    </row>
    <row r="247" spans="1:22" x14ac:dyDescent="0.15">
      <c r="C247">
        <v>50168</v>
      </c>
      <c r="D247">
        <v>57</v>
      </c>
      <c r="I247" t="s">
        <v>2503</v>
      </c>
      <c r="J247" t="s">
        <v>2676</v>
      </c>
      <c r="P247">
        <v>1</v>
      </c>
      <c r="U247" t="s">
        <v>3794</v>
      </c>
      <c r="V247" t="str">
        <f t="shared" si="3"/>
        <v>{dwID=50168,nFrame=57,szNote="门派事件",col={255,50,50,},[3]={bScreenHead=true,},[4]={},aFocus={{dwMapID=-1,nMaxDistance=20,tRelation={bAll=false,bEnemy=true,bAlly=false,},tLife={bEnable=false,szOperator="&gt;",nValue=0,},},},},</v>
      </c>
    </row>
    <row r="248" spans="1:22" x14ac:dyDescent="0.15">
      <c r="C248">
        <v>50173</v>
      </c>
      <c r="D248">
        <v>57</v>
      </c>
      <c r="I248" t="s">
        <v>2503</v>
      </c>
      <c r="J248" t="s">
        <v>2676</v>
      </c>
      <c r="P248">
        <v>1</v>
      </c>
      <c r="U248" t="s">
        <v>3794</v>
      </c>
      <c r="V248" t="str">
        <f t="shared" si="3"/>
        <v>{dwID=50173,nFrame=57,szNote="门派事件",col={255,50,50,},[3]={bScreenHead=true,},[4]={},aFocus={{dwMapID=-1,nMaxDistance=20,tRelation={bAll=false,bEnemy=true,bAlly=false,},tLife={bEnable=false,szOperator="&gt;",nValue=0,},},},},</v>
      </c>
    </row>
    <row r="249" spans="1:22" x14ac:dyDescent="0.15">
      <c r="C249">
        <v>50167</v>
      </c>
      <c r="D249">
        <v>57</v>
      </c>
      <c r="I249" t="s">
        <v>2503</v>
      </c>
      <c r="J249" t="s">
        <v>2676</v>
      </c>
      <c r="P249">
        <v>1</v>
      </c>
      <c r="U249" t="s">
        <v>3794</v>
      </c>
      <c r="V249" t="str">
        <f t="shared" si="3"/>
        <v>{dwID=50167,nFrame=57,szNote="门派事件",col={255,50,50,},[3]={bScreenHead=true,},[4]={},aFocus={{dwMapID=-1,nMaxDistance=20,tRelation={bAll=false,bEnemy=true,bAlly=false,},tLife={bEnable=false,szOperator="&gt;",nValue=0,},},},},</v>
      </c>
    </row>
    <row r="250" spans="1:22" x14ac:dyDescent="0.15">
      <c r="C250">
        <v>50605</v>
      </c>
      <c r="D250">
        <v>47</v>
      </c>
      <c r="I250" t="s">
        <v>2503</v>
      </c>
      <c r="J250" t="s">
        <v>2168</v>
      </c>
      <c r="P250">
        <v>1</v>
      </c>
      <c r="U250" t="s">
        <v>3796</v>
      </c>
      <c r="V250" t="str">
        <f t="shared" si="3"/>
        <v>{dwID=50605,nFrame=47,szNote="门派事件",col={0,255,0,},[3]={bScreenHead=true,},[4]={},aFocus={{dwMapID=-1,szDisplay="伙房弟子·门派事件",nMaxDistance=90,tRelation={bAll=true,bEnemy=false,bAlly=false,},tLife={bEnable=false,szOperator="&gt;",nValue=0,},},},},</v>
      </c>
    </row>
    <row r="251" spans="1:22" x14ac:dyDescent="0.15">
      <c r="C251">
        <v>50581</v>
      </c>
      <c r="D251">
        <v>47</v>
      </c>
      <c r="I251" t="s">
        <v>2503</v>
      </c>
      <c r="J251" t="s">
        <v>2168</v>
      </c>
      <c r="P251">
        <v>1</v>
      </c>
      <c r="U251" t="s">
        <v>3797</v>
      </c>
      <c r="V251" t="str">
        <f t="shared" si="3"/>
        <v>{dwID=50581,nFrame=47,szNote="门派事件",col={0,255,0,},[3]={bScreenHead=true,},[4]={},aFocus={{dwMapID=-1,szDisplay="门派事件·六阳正气丹",nMaxDistance=20,tRelation={bAll=false,bEnemy=false,bAlly=true,},tLife={bEnable=false,szOperator="&gt;",nValue=0,},},},},</v>
      </c>
    </row>
    <row r="252" spans="1:22" x14ac:dyDescent="0.15">
      <c r="C252">
        <v>50595</v>
      </c>
      <c r="D252">
        <v>47</v>
      </c>
      <c r="I252" t="s">
        <v>2503</v>
      </c>
      <c r="J252" t="s">
        <v>2676</v>
      </c>
      <c r="P252">
        <v>1</v>
      </c>
      <c r="U252" t="s">
        <v>3623</v>
      </c>
      <c r="V252" t="str">
        <f t="shared" si="3"/>
        <v>{dwID=50595,nFrame=47,szNote="门派事件",col={255,50,50,},[3]={bScreenHead=true,},[4]={},aFocus={{dwMapID=-1,nMaxDistance=0,tRelation={bAll=true,bEnemy=false,bAlly=false,},tLife={bEnable=false,szOperator="&gt;",nValue=0,},},},},</v>
      </c>
    </row>
    <row r="253" spans="1:22" x14ac:dyDescent="0.15">
      <c r="C253">
        <v>50596</v>
      </c>
      <c r="D253">
        <v>47</v>
      </c>
      <c r="I253" t="s">
        <v>2503</v>
      </c>
      <c r="J253" t="s">
        <v>2676</v>
      </c>
      <c r="P253">
        <v>1</v>
      </c>
      <c r="U253" t="s">
        <v>3623</v>
      </c>
      <c r="V253" t="str">
        <f t="shared" si="3"/>
        <v>{dwID=50596,nFrame=47,szNote="门派事件",col={255,50,50,},[3]={bScreenHead=true,},[4]={},aFocus={{dwMapID=-1,nMaxDistance=0,tRelation={bAll=true,bEnemy=false,bAlly=false,},tLife={bEnable=false,szOperator="&gt;",nValue=0,},},},},</v>
      </c>
    </row>
    <row r="254" spans="1:22" x14ac:dyDescent="0.15">
      <c r="C254">
        <v>50597</v>
      </c>
      <c r="D254">
        <v>47</v>
      </c>
      <c r="I254" t="s">
        <v>2503</v>
      </c>
      <c r="J254" t="s">
        <v>2676</v>
      </c>
      <c r="P254">
        <v>1</v>
      </c>
      <c r="U254" t="s">
        <v>3623</v>
      </c>
      <c r="V254" t="str">
        <f t="shared" si="3"/>
        <v>{dwID=50597,nFrame=47,szNote="门派事件",col={255,50,50,},[3]={bScreenHead=true,},[4]={},aFocus={{dwMapID=-1,nMaxDistance=0,tRelation={bAll=true,bEnemy=false,bAlly=false,},tLife={bEnable=false,szOperator="&gt;",nValue=0,},},},},</v>
      </c>
    </row>
    <row r="255" spans="1:22" x14ac:dyDescent="0.15">
      <c r="C255">
        <v>50598</v>
      </c>
      <c r="D255">
        <v>47</v>
      </c>
      <c r="I255" t="s">
        <v>2503</v>
      </c>
      <c r="J255" t="s">
        <v>2676</v>
      </c>
      <c r="P255">
        <v>1</v>
      </c>
      <c r="U255" t="s">
        <v>3623</v>
      </c>
      <c r="V255" t="str">
        <f t="shared" si="3"/>
        <v>{dwID=50598,nFrame=47,szNote="门派事件",col={255,50,50,},[3]={bScreenHead=true,},[4]={},aFocus={{dwMapID=-1,nMaxDistance=0,tRelation={bAll=true,bEnemy=false,bAlly=false,},tLife={bEnable=false,szOperator="&gt;",nValue=0,},},},},</v>
      </c>
    </row>
    <row r="256" spans="1:22" x14ac:dyDescent="0.15">
      <c r="A256" t="s">
        <v>671</v>
      </c>
      <c r="B256">
        <v>6</v>
      </c>
      <c r="V256" t="str">
        <f t="shared" si="3"/>
        <v>},[6]={</v>
      </c>
    </row>
    <row r="257" spans="1:27" x14ac:dyDescent="0.15">
      <c r="C257">
        <v>52458</v>
      </c>
      <c r="D257">
        <v>67</v>
      </c>
      <c r="J257" t="s">
        <v>2152</v>
      </c>
      <c r="P257">
        <v>1</v>
      </c>
      <c r="U257" t="s">
        <v>3798</v>
      </c>
      <c r="V257" t="str">
        <f t="shared" si="3"/>
        <v>{dwID=52458,nFrame=67,col={0,255,255,},[3]={bScreenHead=true,},[4]={},aFocus={{dwMapID=-1,szDisplay="隐藏任务·方士2级",nMaxDistance=60,tRelation={bAll=true,bEnemy=false,bAlly=false,},tLife={bEnable=false,szOperator="&gt;",nValue=0,},},},},</v>
      </c>
    </row>
    <row r="258" spans="1:27" x14ac:dyDescent="0.15">
      <c r="C258">
        <v>53009</v>
      </c>
      <c r="D258">
        <v>47</v>
      </c>
      <c r="J258" t="s">
        <v>2152</v>
      </c>
      <c r="P258">
        <v>1</v>
      </c>
      <c r="U258" t="s">
        <v>3798</v>
      </c>
      <c r="V258" t="str">
        <f t="shared" ref="V258:V321" si="4">IF(ISBLANK(B258)=FALSE,IF(ISBLANK(B257),"},["&amp;B258&amp;"]={","["&amp;B258&amp;"]={"),IF(AND(ISBLANK(B258),ISBLANK(D258),ISBLANK(C258),OR(ISBLANK(B257)=FALSE,ISBLANK(D257)=FALSE,ISBLANK(C257)=FALSE)),"},},}",IF(ISBLANK(C258),"","{dwID="&amp;C258&amp;","&amp;"nFrame="&amp;D258&amp;","&amp;IF(E258&gt;0,"nCount="&amp;E258&amp;",","")&amp;IF(F258&gt;0,"bAllLeave=true,","")&amp;IF(G258&lt;&gt;"","szName="""&amp;G258&amp;""",","")&amp;IF(H258&lt;&gt;"","tKungFu={"&amp;H258&amp;"},","")&amp;IF(I258&lt;&gt;"","szNote="""&amp;I258&amp;""",","")&amp;IF(J258&lt;&gt;"","col={"&amp;J258&amp;"},","")&amp;"[3]={"&amp;IF(K258&lt;&gt;"","tMark={"&amp;K258&amp;"},","")&amp;IF(L258&lt;&gt;"","szVoice="""&amp;L258&amp;""",","")&amp;IF(M258&gt;0,"bTeamChannel=true,","")&amp;IF(N258&gt;0,"bWhisperChannel=true,","")&amp;IF(O258&gt;0,"bCenterAlarm=true,","")&amp;IF(P258&gt;0,"bScreenHead=true,","")&amp;"},"&amp;"[4]={"&amp;IF(Q258&lt;&gt;"","szVoice="""&amp;Q258&amp;""",","")&amp;IF(R258&gt;0,"bTeamChannel=true,","")&amp;IF(S258&gt;0,"bWhisperChannel=true,","")&amp;IF(T258&gt;0,"bCenterAlarm=true,","")&amp;"},"&amp;IF(U258&lt;&gt;"","aFocus={"&amp;U258&amp;"},","")&amp;IF(W258&lt;&gt;"","tCountdown={"&amp;_xlfn.TEXTJOIN("",TRUE,W258:ZZ258)&amp;"},","")&amp;"},")))</f>
        <v>{dwID=53009,nFrame=47,col={0,255,255,},[3]={bScreenHead=true,},[4]={},aFocus={{dwMapID=-1,szDisplay="隐藏任务·方士2级",nMaxDistance=60,tRelation={bAll=true,bEnemy=false,bAlly=false,},tLife={bEnable=false,szOperator="&gt;",nValue=0,},},},},</v>
      </c>
    </row>
    <row r="259" spans="1:27" x14ac:dyDescent="0.15">
      <c r="C259">
        <v>52314</v>
      </c>
      <c r="D259">
        <v>47</v>
      </c>
      <c r="J259" t="s">
        <v>2152</v>
      </c>
      <c r="P259">
        <v>1</v>
      </c>
      <c r="U259" t="s">
        <v>3798</v>
      </c>
      <c r="V259" t="str">
        <f t="shared" si="4"/>
        <v>{dwID=52314,nFrame=47,col={0,255,255,},[3]={bScreenHead=true,},[4]={},aFocus={{dwMapID=-1,szDisplay="隐藏任务·方士2级",nMaxDistance=60,tRelation={bAll=true,bEnemy=false,bAlly=false,},tLife={bEnable=false,szOperator="&gt;",nValue=0,},},},},</v>
      </c>
    </row>
    <row r="260" spans="1:27" x14ac:dyDescent="0.15">
      <c r="C260">
        <v>290</v>
      </c>
      <c r="D260">
        <v>47</v>
      </c>
      <c r="I260" t="s">
        <v>3799</v>
      </c>
      <c r="U260" t="s">
        <v>3622</v>
      </c>
      <c r="V260" t="str">
        <f t="shared" si="4"/>
        <v>{dwID=290,nFrame=47,szNote="新春有缘人·颜如烟",[3]={},[4]={},aFocus={{dwMapID=-1,nMaxDistance=30,tRelation={bAll=true,bEnemy=false,bAlly=false,},tLife={bEnable=false,szOperator="&gt;",nValue=0,},},},},</v>
      </c>
    </row>
    <row r="261" spans="1:27" x14ac:dyDescent="0.15">
      <c r="C261">
        <v>416</v>
      </c>
      <c r="D261">
        <v>57</v>
      </c>
      <c r="J261" t="s">
        <v>2676</v>
      </c>
      <c r="P261">
        <v>1</v>
      </c>
      <c r="U261" t="s">
        <v>3800</v>
      </c>
      <c r="V261" t="str">
        <f t="shared" si="4"/>
        <v>{dwID=416,nFrame=57,col={255,50,50,},[3]={bScreenHead=true,},[4]={},aFocus={{dwMapID=-1,szDisplay="土肥原次郎·除邪惩恶",nMaxDistance=90,tRelation={bAll=true,bEnemy=false,bAlly=false,},tLife={bEnable=false,szOperator="&gt;",nValue=0,},},},},</v>
      </c>
    </row>
    <row r="262" spans="1:27" x14ac:dyDescent="0.15">
      <c r="C262">
        <v>6960</v>
      </c>
      <c r="D262">
        <v>47</v>
      </c>
      <c r="U262" t="s">
        <v>3801</v>
      </c>
      <c r="V262" t="str">
        <f t="shared" si="4"/>
        <v>{dwID=6960,nFrame=47,[3]={},[4]={},aFocus={{dwMapID=-1,szDisplay="吏部御史·科举奖励",nMaxDistance=5,tRelation={bAll=true,bEnemy=false,bAlly=false,},tLife={bEnable=false,szOperator="&gt;",nValue=0,},},},},</v>
      </c>
    </row>
    <row r="263" spans="1:27" x14ac:dyDescent="0.15">
      <c r="C263">
        <v>109293</v>
      </c>
      <c r="D263">
        <v>47</v>
      </c>
      <c r="U263" t="s">
        <v>3802</v>
      </c>
      <c r="V263" t="str">
        <f t="shared" si="4"/>
        <v>{dwID=109293,nFrame=47,[3]={},[4]={},aFocus={{dwMapID=-1,szDisplay="张百炼·鸠雀记",nMaxDistance=10,tRelation={bAll=true,bEnemy=false,bAlly=false,},tLife={bEnable=false,szOperator="&gt;",nValue=0,},},},},</v>
      </c>
    </row>
    <row r="264" spans="1:27" x14ac:dyDescent="0.15">
      <c r="C264">
        <v>52008</v>
      </c>
      <c r="D264">
        <v>47</v>
      </c>
      <c r="G264" t="s">
        <v>3803</v>
      </c>
      <c r="J264" t="s">
        <v>2152</v>
      </c>
      <c r="P264">
        <v>1</v>
      </c>
      <c r="U264" t="s">
        <v>3804</v>
      </c>
      <c r="V264" t="str">
        <f t="shared" si="4"/>
        <v>{dwID=52008,nFrame=47,szName="公页少风·兽王佩",col={0,255,255,},[3]={bScreenHead=true,},[4]={},aFocus={{dwMapID=-1,szDisplay="公页少风·兽王佩",nMaxDistance=0,tRelation={bAll=true,bEnemy=false,bAlly=false,},tLife={bEnable=false,szOperator="&gt;",nValue=0,},},},},</v>
      </c>
    </row>
    <row r="265" spans="1:27" x14ac:dyDescent="0.15">
      <c r="C265">
        <v>27542</v>
      </c>
      <c r="D265">
        <v>52</v>
      </c>
      <c r="U265" t="s">
        <v>3805</v>
      </c>
      <c r="V265" t="str">
        <f t="shared" si="4"/>
        <v>{dwID=27542,nFrame=52,[3]={},[4]={},aFocus={{dwMapID=-1,nMaxDistance=100,tRelation={bAll=true,bEnemy=false,bAlly=false,},tLife={bEnable=false,szOperator="&gt;",nValue=0,},},},},</v>
      </c>
    </row>
    <row r="266" spans="1:27" x14ac:dyDescent="0.15">
      <c r="C266">
        <v>70538</v>
      </c>
      <c r="D266">
        <v>47</v>
      </c>
      <c r="I266" t="s">
        <v>3806</v>
      </c>
      <c r="U266" t="s">
        <v>3623</v>
      </c>
      <c r="V266" t="str">
        <f t="shared" si="4"/>
        <v>{dwID=70538,nFrame=47,szNote="白日梦·赤兔",[3]={},[4]={},aFocus={{dwMapID=-1,nMaxDistance=0,tRelation={bAll=true,bEnemy=false,bAlly=false,},tLife={bEnable=false,szOperator="&gt;",nValue=0,},},},},</v>
      </c>
    </row>
    <row r="267" spans="1:27" x14ac:dyDescent="0.15">
      <c r="C267">
        <v>70539</v>
      </c>
      <c r="D267">
        <v>47</v>
      </c>
      <c r="I267" t="s">
        <v>3807</v>
      </c>
      <c r="U267" t="s">
        <v>3623</v>
      </c>
      <c r="V267" t="str">
        <f t="shared" si="4"/>
        <v>{dwID=70539,nFrame=47,szNote="白日梦·不羁",[3]={},[4]={},aFocus={{dwMapID=-1,nMaxDistance=0,tRelation={bAll=true,bEnemy=false,bAlly=false,},tLife={bEnable=false,szOperator="&gt;",nValue=0,},},},},</v>
      </c>
    </row>
    <row r="268" spans="1:27" x14ac:dyDescent="0.15">
      <c r="C268">
        <v>70537</v>
      </c>
      <c r="D268">
        <v>47</v>
      </c>
      <c r="I268" t="s">
        <v>3808</v>
      </c>
      <c r="U268" t="s">
        <v>3623</v>
      </c>
      <c r="V268" t="str">
        <f t="shared" si="4"/>
        <v>{dwID=70537,nFrame=47,szNote="白日梦·绿螭骢",[3]={},[4]={},aFocus={{dwMapID=-1,nMaxDistance=0,tRelation={bAll=true,bEnemy=false,bAlly=false,},tLife={bEnable=false,szOperator="&gt;",nValue=0,},},},tCountdown={{nClass=3,nIcon=17135,nFrame=7,bHold=true,szName="按1·变成浮云马",nTime=600,key="奇遇提示2",},{nClass=3,nIcon=17135,nFrame=7,bHold=true,szName="依次交互·绿螭骢·不羁·赤兔",nTime=600,key="奇遇提示3",},{nClass=4,nIcon=17135,nFrame=6,bHold=true,szName="回到·家园集市·裴草",nTime=600,key="奇遇提示1",},{nClass=4,nIcon=17135,nFrame=7,bHold=true,szName="成都·广都镇·木桩区",nTime=600,key="奇遇提示2",},{nClass=4,nIcon=17135,nFrame=7,bHold=true,szName="极境木桩·使用·游梦仙枕",nTime=600,key="奇遇提示3",},},},</v>
      </c>
      <c r="W268" t="s">
        <v>3809</v>
      </c>
      <c r="X268" t="s">
        <v>3810</v>
      </c>
      <c r="Y268" t="s">
        <v>3765</v>
      </c>
      <c r="Z268" t="s">
        <v>3811</v>
      </c>
      <c r="AA268" t="s">
        <v>3812</v>
      </c>
    </row>
    <row r="269" spans="1:27" x14ac:dyDescent="0.15">
      <c r="A269" t="s">
        <v>675</v>
      </c>
      <c r="B269">
        <v>7</v>
      </c>
      <c r="V269" t="str">
        <f t="shared" si="4"/>
        <v>},[7]={</v>
      </c>
    </row>
    <row r="270" spans="1:27" x14ac:dyDescent="0.15">
      <c r="C270">
        <v>50443</v>
      </c>
      <c r="D270">
        <v>47</v>
      </c>
      <c r="J270" t="s">
        <v>2168</v>
      </c>
      <c r="P270">
        <v>1</v>
      </c>
      <c r="U270" t="s">
        <v>3813</v>
      </c>
      <c r="V270" t="str">
        <f t="shared" si="4"/>
        <v>{dwID=50443,nFrame=47,col={0,255,0,},[3]={bScreenHead=true,},[4]={},aFocus={{dwMapID=-1,szDisplay="平安锁·门派事件",nMaxDistance=20,tRelation={bAll=true,bEnemy=false,bAlly=false,},tLife={bEnable=false,szOperator="&gt;",nValue=0,},},},},</v>
      </c>
    </row>
    <row r="271" spans="1:27" x14ac:dyDescent="0.15">
      <c r="C271">
        <v>50457</v>
      </c>
      <c r="D271">
        <v>47</v>
      </c>
      <c r="P271">
        <v>1</v>
      </c>
      <c r="U271" t="s">
        <v>3814</v>
      </c>
      <c r="V271" t="str">
        <f t="shared" si="4"/>
        <v>{dwID=50457,nFrame=47,[3]={bScreenHead=true,},[4]={},aFocus={{dwMapID=-1,szDisplay="千秋子·门派事件",nMaxDistance=0,tRelation={bAll=true,bEnemy=false,bAlly=false,},tLife={bEnable=false,szOperator="&gt;",nValue=0,},},},},</v>
      </c>
    </row>
    <row r="272" spans="1:27" x14ac:dyDescent="0.15">
      <c r="C272">
        <v>50372</v>
      </c>
      <c r="D272">
        <v>47</v>
      </c>
      <c r="J272" t="s">
        <v>2168</v>
      </c>
      <c r="P272">
        <v>1</v>
      </c>
      <c r="U272" t="s">
        <v>3815</v>
      </c>
      <c r="V272" t="str">
        <f t="shared" si="4"/>
        <v>{dwID=50372,nFrame=47,col={0,255,0,},[3]={bScreenHead=true,},[4]={},aFocus={{dwMapID=-1,szDisplay="玉衡剑·门派事件",nMaxDistance=10,tRelation={bAll=true,bEnemy=false,bAlly=false,},tLife={bEnable=false,szOperator="&gt;",nValue=0,},},},},</v>
      </c>
    </row>
    <row r="273" spans="1:22" x14ac:dyDescent="0.15">
      <c r="C273">
        <v>50370</v>
      </c>
      <c r="D273">
        <v>47</v>
      </c>
      <c r="J273" t="s">
        <v>2168</v>
      </c>
      <c r="P273">
        <v>1</v>
      </c>
      <c r="U273" t="s">
        <v>3816</v>
      </c>
      <c r="V273" t="str">
        <f t="shared" si="4"/>
        <v>{dwID=50370,nFrame=47,col={0,255,0,},[3]={bScreenHead=true,},[4]={},aFocus={{dwMapID=-1,szDisplay="天玑剑·门派事件",nMaxDistance=10,tRelation={bAll=true,bEnemy=false,bAlly=false,},tLife={bEnable=false,szOperator="&gt;",nValue=0,},},},},</v>
      </c>
    </row>
    <row r="274" spans="1:22" x14ac:dyDescent="0.15">
      <c r="C274">
        <v>50376</v>
      </c>
      <c r="D274">
        <v>47</v>
      </c>
      <c r="J274" t="s">
        <v>2168</v>
      </c>
      <c r="P274">
        <v>1</v>
      </c>
      <c r="U274" t="s">
        <v>3817</v>
      </c>
      <c r="V274" t="str">
        <f t="shared" si="4"/>
        <v>{dwID=50376,nFrame=47,col={0,255,0,},[3]={bScreenHead=true,},[4]={},aFocus={{dwMapID=-1,szDisplay="摇光剑·门派事件",nMaxDistance=10,tRelation={bAll=true,bEnemy=false,bAlly=false,},tLife={bEnable=false,szOperator="&gt;",nValue=0,},},},},</v>
      </c>
    </row>
    <row r="275" spans="1:22" x14ac:dyDescent="0.15">
      <c r="C275">
        <v>60531</v>
      </c>
      <c r="D275">
        <v>47</v>
      </c>
      <c r="I275" t="s">
        <v>3818</v>
      </c>
      <c r="J275" t="s">
        <v>2168</v>
      </c>
      <c r="P275">
        <v>1</v>
      </c>
      <c r="U275" t="s">
        <v>3819</v>
      </c>
      <c r="V275" t="str">
        <f t="shared" si="4"/>
        <v>{dwID=60531,nFrame=47,szNote="雪雪·剧情",col={0,255,0,},[3]={bScreenHead=true,},[4]={},aFocus={{dwMapID=-1,szDisplay="雪雪·剧情",nMaxDistance=0,tRelation={bAll=true,bEnemy=false,bAlly=false,},tLife={bEnable=false,szOperator="&gt;",nValue=0,},},},},</v>
      </c>
    </row>
    <row r="276" spans="1:22" x14ac:dyDescent="0.15">
      <c r="C276">
        <v>60182</v>
      </c>
      <c r="D276">
        <v>47</v>
      </c>
      <c r="I276" t="s">
        <v>3760</v>
      </c>
      <c r="J276" t="s">
        <v>2168</v>
      </c>
      <c r="P276">
        <v>1</v>
      </c>
      <c r="U276" t="s">
        <v>3761</v>
      </c>
      <c r="V276" t="str">
        <f t="shared" si="4"/>
        <v>{dwID=60182,nFrame=47,szNote="雪雪·旅行",col={0,255,0,},[3]={bScreenHead=true,},[4]={},aFocus={{dwMapID=-1,nMaxDistance=240,tRelation={bAll=true,bEnemy=false,bAlly=false,},tLife={bEnable=false,szOperator="&gt;",nValue=0,},},},},</v>
      </c>
    </row>
    <row r="277" spans="1:22" x14ac:dyDescent="0.15">
      <c r="C277">
        <v>50211</v>
      </c>
      <c r="D277">
        <v>52</v>
      </c>
      <c r="J277" t="s">
        <v>2168</v>
      </c>
      <c r="P277">
        <v>1</v>
      </c>
      <c r="U277" t="s">
        <v>3627</v>
      </c>
      <c r="V277" t="str">
        <f t="shared" si="4"/>
        <v>{dwID=50211,nFrame=52,col={0,255,0,},[3]={bScreenHead=true,},[4]={},aFocus={{dwMapID=-1,nMaxDistance=10,tRelation={bAll=true,bEnemy=false,bAlly=false,},tLife={bEnable=false,szOperator="&gt;",nValue=0,},},},},</v>
      </c>
    </row>
    <row r="278" spans="1:22" x14ac:dyDescent="0.15">
      <c r="C278">
        <v>50210</v>
      </c>
      <c r="D278">
        <v>57</v>
      </c>
      <c r="P278">
        <v>1</v>
      </c>
      <c r="V278" t="str">
        <f t="shared" si="4"/>
        <v>{dwID=50210,nFrame=57,[3]={bScreenHead=true,},[4]={},},</v>
      </c>
    </row>
    <row r="279" spans="1:22" x14ac:dyDescent="0.15">
      <c r="C279">
        <v>50406</v>
      </c>
      <c r="D279">
        <v>57</v>
      </c>
      <c r="P279">
        <v>1</v>
      </c>
      <c r="V279" t="str">
        <f t="shared" si="4"/>
        <v>{dwID=50406,nFrame=57,[3]={bScreenHead=true,},[4]={},},</v>
      </c>
    </row>
    <row r="280" spans="1:22" x14ac:dyDescent="0.15">
      <c r="C280">
        <v>50214</v>
      </c>
      <c r="D280">
        <v>57</v>
      </c>
      <c r="P280">
        <v>1</v>
      </c>
      <c r="V280" t="str">
        <f t="shared" si="4"/>
        <v>{dwID=50214,nFrame=57,[3]={bScreenHead=true,},[4]={},},</v>
      </c>
    </row>
    <row r="281" spans="1:22" x14ac:dyDescent="0.15">
      <c r="C281">
        <v>50407</v>
      </c>
      <c r="D281">
        <v>57</v>
      </c>
      <c r="P281">
        <v>1</v>
      </c>
      <c r="V281" t="str">
        <f t="shared" si="4"/>
        <v>{dwID=50407,nFrame=57,[3]={bScreenHead=true,},[4]={},},</v>
      </c>
    </row>
    <row r="282" spans="1:22" x14ac:dyDescent="0.15">
      <c r="C282">
        <v>50302</v>
      </c>
      <c r="D282">
        <v>47</v>
      </c>
      <c r="J282" t="s">
        <v>2168</v>
      </c>
      <c r="P282">
        <v>1</v>
      </c>
      <c r="U282" t="s">
        <v>3731</v>
      </c>
      <c r="V282" t="str">
        <f t="shared" si="4"/>
        <v>{dwID=50302,nFrame=47,col={0,255,0,},[3]={bScreenHead=true,},[4]={},aFocus={{dwMapID=-1,nMaxDistance=3,tRelation={bAll=true,bEnemy=false,bAlly=false,},tLife={bEnable=false,szOperator="&gt;",nValue=0,},},},},</v>
      </c>
    </row>
    <row r="283" spans="1:22" x14ac:dyDescent="0.15">
      <c r="C283">
        <v>59335</v>
      </c>
      <c r="D283">
        <v>47</v>
      </c>
      <c r="I283" t="s">
        <v>3820</v>
      </c>
      <c r="J283" t="s">
        <v>2152</v>
      </c>
      <c r="P283">
        <v>1</v>
      </c>
      <c r="U283" t="s">
        <v>3821</v>
      </c>
      <c r="V283" t="str">
        <f t="shared" si="4"/>
        <v>{dwID=59335,nFrame=47,szNote="白雪忆·步虚尘",col={0,255,255,},[3]={bScreenHead=true,},[4]={},aFocus={{dwMapID=-1,szDisplay="步虚尘·白雪忆",nMaxDistance=60,tRelation={bAll=true,bEnemy=false,bAlly=false,},tLife={bEnable=false,szOperator="&gt;",nValue=0,},},},},</v>
      </c>
    </row>
    <row r="284" spans="1:22" x14ac:dyDescent="0.15">
      <c r="C284">
        <v>59358</v>
      </c>
      <c r="D284">
        <v>47</v>
      </c>
      <c r="I284" t="s">
        <v>3822</v>
      </c>
      <c r="U284" t="s">
        <v>3823</v>
      </c>
      <c r="V284" t="str">
        <f t="shared" si="4"/>
        <v>{dwID=59358,nFrame=47,szNote="白雪忆·苏卿若",[3]={},[4]={},aFocus={{dwMapID=-1,szDisplay="苏卿若·白雪忆",nMaxDistance=0,tRelation={bAll=true,bEnemy=false,bAlly=false,},tLife={bEnable=false,szOperator="&gt;",nValue=0,},},},},</v>
      </c>
    </row>
    <row r="285" spans="1:22" x14ac:dyDescent="0.15">
      <c r="A285" t="s">
        <v>679</v>
      </c>
      <c r="B285">
        <v>8</v>
      </c>
      <c r="V285" t="str">
        <f t="shared" si="4"/>
        <v>},[8]={</v>
      </c>
    </row>
    <row r="286" spans="1:22" x14ac:dyDescent="0.15">
      <c r="C286">
        <v>36651</v>
      </c>
      <c r="D286">
        <v>57</v>
      </c>
      <c r="J286" t="s">
        <v>2676</v>
      </c>
      <c r="P286">
        <v>1</v>
      </c>
      <c r="U286" t="s">
        <v>3623</v>
      </c>
      <c r="V286" t="str">
        <f t="shared" si="4"/>
        <v>{dwID=36651,nFrame=57,col={255,50,50,},[3]={bScreenHead=true,},[4]={},aFocus={{dwMapID=-1,nMaxDistance=0,tRelation={bAll=true,bEnemy=false,bAlly=false,},tLife={bEnable=false,szOperator="&gt;",nValue=0,},},},},</v>
      </c>
    </row>
    <row r="287" spans="1:22" x14ac:dyDescent="0.15">
      <c r="C287">
        <v>16170</v>
      </c>
      <c r="D287">
        <v>47</v>
      </c>
      <c r="J287" t="s">
        <v>2143</v>
      </c>
      <c r="P287">
        <v>1</v>
      </c>
      <c r="U287" t="s">
        <v>3623</v>
      </c>
      <c r="V287" t="str">
        <f t="shared" si="4"/>
        <v>{dwID=16170,nFrame=47,col={255,255,0,},[3]={bScreenHead=true,},[4]={},aFocus={{dwMapID=-1,nMaxDistance=0,tRelation={bAll=true,bEnemy=false,bAlly=false,},tLife={bEnable=false,szOperator="&gt;",nValue=0,},},},},</v>
      </c>
    </row>
    <row r="288" spans="1:22" x14ac:dyDescent="0.15">
      <c r="C288">
        <v>1101</v>
      </c>
      <c r="D288">
        <v>47</v>
      </c>
      <c r="J288" t="s">
        <v>2676</v>
      </c>
      <c r="P288">
        <v>1</v>
      </c>
      <c r="U288" t="s">
        <v>3824</v>
      </c>
      <c r="V288" t="str">
        <f t="shared" si="4"/>
        <v>{dwID=1101,nFrame=47,col={255,50,50,},[3]={bScreenHead=true,},[4]={},aFocus={{dwMapID=-1,szDisplay="宋笑声·除邪惩恶",nMaxDistance=90,tRelation={bAll=true,bEnemy=false,bAlly=false,},tLife={bEnable=false,szOperator="&gt;",nValue=0,},},},},</v>
      </c>
    </row>
    <row r="289" spans="1:22" x14ac:dyDescent="0.15">
      <c r="C289">
        <v>1091</v>
      </c>
      <c r="D289">
        <v>47</v>
      </c>
      <c r="I289" t="s">
        <v>3825</v>
      </c>
      <c r="U289" t="s">
        <v>3622</v>
      </c>
      <c r="V289" t="str">
        <f t="shared" si="4"/>
        <v>{dwID=1091,nFrame=47,szNote="新春有缘人·楚小妹",[3]={},[4]={},aFocus={{dwMapID=-1,nMaxDistance=30,tRelation={bAll=true,bEnemy=false,bAlly=false,},tLife={bEnable=false,szOperator="&gt;",nValue=0,},},},},</v>
      </c>
    </row>
    <row r="290" spans="1:22" x14ac:dyDescent="0.15">
      <c r="C290">
        <v>1045</v>
      </c>
      <c r="D290">
        <v>57</v>
      </c>
      <c r="U290" t="s">
        <v>3826</v>
      </c>
      <c r="V290" t="str">
        <f t="shared" si="4"/>
        <v>{dwID=1045,nFrame=57,[3]={},[4]={},aFocus={{dwMapID=-1,szDisplay="穿缝补好的军服",nMaxDistance=10,tRelation={bAll=false,bEnemy=true,bAlly=false,},tLife={bEnable=false,szOperator="&gt;",nValue=0,},},},},</v>
      </c>
    </row>
    <row r="291" spans="1:22" x14ac:dyDescent="0.15">
      <c r="A291" t="s">
        <v>684</v>
      </c>
      <c r="B291">
        <v>9</v>
      </c>
      <c r="V291" t="str">
        <f t="shared" si="4"/>
        <v>},[9]={</v>
      </c>
    </row>
    <row r="292" spans="1:22" x14ac:dyDescent="0.15">
      <c r="C292">
        <v>102833</v>
      </c>
      <c r="D292">
        <v>47</v>
      </c>
      <c r="I292" t="s">
        <v>3827</v>
      </c>
      <c r="J292" t="s">
        <v>2152</v>
      </c>
      <c r="P292">
        <v>1</v>
      </c>
      <c r="U292" t="s">
        <v>3828</v>
      </c>
      <c r="V292" t="str">
        <f t="shared" si="4"/>
        <v>{dwID=102833,nFrame=47,szNote="尘网中·红师农",col={0,255,255,},[3]={bScreenHead=true,},[4]={},aFocus={{dwMapID=-1,szDisplay="红师农·尘网中",nMaxDistance=60,tRelation={bAll=true,bEnemy=false,bAlly=false,},tLife={bEnable=false,szOperator="&gt;",nValue=0,},},},},</v>
      </c>
    </row>
    <row r="293" spans="1:22" x14ac:dyDescent="0.15">
      <c r="C293">
        <v>103024</v>
      </c>
      <c r="D293">
        <v>65</v>
      </c>
      <c r="I293" t="s">
        <v>3829</v>
      </c>
      <c r="U293" t="s">
        <v>3830</v>
      </c>
      <c r="V293" t="str">
        <f t="shared" si="4"/>
        <v>{dwID=103024,nFrame=65,szNote="尘网中·小猪崽·崽崽",[3]={},[4]={},aFocus={{dwMapID=-1,szDisplay="小猪崽·崽崽·尘网中",nMaxDistance=60,tRelation={bAll=true,bEnemy=false,bAlly=false,},tLife={bEnable=false,szOperator="&gt;",nValue=0,},},},},</v>
      </c>
    </row>
    <row r="294" spans="1:22" x14ac:dyDescent="0.15">
      <c r="C294">
        <v>47992</v>
      </c>
      <c r="D294">
        <v>47</v>
      </c>
      <c r="I294" t="s">
        <v>3831</v>
      </c>
      <c r="J294" t="s">
        <v>2152</v>
      </c>
      <c r="P294">
        <v>1</v>
      </c>
      <c r="U294" t="s">
        <v>3832</v>
      </c>
      <c r="V294" t="str">
        <f t="shared" si="4"/>
        <v>{dwID=47992,nFrame=47,szNote="红衣歌·老不知",col={0,255,255,},[3]={bScreenHead=true,},[4]={},aFocus={{dwMapID=-1,szDisplay="老不知·红衣歌",nMaxDistance=30,tRelation={bAll=true,bEnemy=false,bAlly=false,},tLife={bEnable=false,szOperator="&gt;",nValue=0,},},},},</v>
      </c>
    </row>
    <row r="295" spans="1:22" x14ac:dyDescent="0.15">
      <c r="C295">
        <v>36772</v>
      </c>
      <c r="D295">
        <v>47</v>
      </c>
      <c r="I295" t="s">
        <v>3833</v>
      </c>
      <c r="U295" t="s">
        <v>3834</v>
      </c>
      <c r="V295" t="str">
        <f t="shared" si="4"/>
        <v>{dwID=36772,nFrame=47,szNote="红衣歌·莫清尘",[3]={},[4]={},aFocus={{dwMapID=-1,szDisplay="莫清尘·红衣歌",nMaxDistance=60,tRelation={bAll=true,bEnemy=false,bAlly=false,},tLife={bEnable=false,szOperator="&gt;",nValue=0,},},},},</v>
      </c>
    </row>
    <row r="296" spans="1:22" x14ac:dyDescent="0.15">
      <c r="C296">
        <v>36771</v>
      </c>
      <c r="D296">
        <v>47</v>
      </c>
      <c r="I296" t="s">
        <v>3835</v>
      </c>
      <c r="U296" t="s">
        <v>3836</v>
      </c>
      <c r="V296" t="str">
        <f t="shared" si="4"/>
        <v>{dwID=36771,nFrame=47,szNote="红衣歌·墨漓",[3]={},[4]={},aFocus={{dwMapID=-1,szDisplay="墨漓·红衣歌",nMaxDistance=60,tRelation={bAll=true,bEnemy=false,bAlly=false,},tLife={bEnable=false,szOperator="&gt;",nValue=0,},},},},</v>
      </c>
    </row>
    <row r="297" spans="1:22" x14ac:dyDescent="0.15">
      <c r="C297">
        <v>36433</v>
      </c>
      <c r="D297">
        <v>52</v>
      </c>
      <c r="I297" t="s">
        <v>3837</v>
      </c>
      <c r="J297" t="s">
        <v>2168</v>
      </c>
      <c r="U297" t="s">
        <v>3838</v>
      </c>
      <c r="V297" t="str">
        <f t="shared" si="4"/>
        <v>{dwID=36433,nFrame=52,szNote="大旗·红莲岗",col={0,255,0,},[3]={},[4]={},aFocus={{dwMapID=-1,szDisplay="大旗·红莲岗",nMaxDistance=3,tRelation={bAll=true,bEnemy=false,bAlly=false,},tLife={bEnable=false,szOperator="&gt;",nValue=0,},},},},</v>
      </c>
    </row>
    <row r="298" spans="1:22" x14ac:dyDescent="0.15">
      <c r="C298">
        <v>36432</v>
      </c>
      <c r="D298">
        <v>52</v>
      </c>
      <c r="I298" t="s">
        <v>3839</v>
      </c>
      <c r="J298" t="s">
        <v>2168</v>
      </c>
      <c r="U298" t="s">
        <v>3840</v>
      </c>
      <c r="V298" t="str">
        <f t="shared" si="4"/>
        <v>{dwID=36432,nFrame=52,szNote="大旗·秋雨堡",col={0,255,0,},[3]={},[4]={},aFocus={{dwMapID=-1,szDisplay="大旗·秋雨堡",nMaxDistance=3,tRelation={bAll=true,bEnemy=false,bAlly=false,},tLife={bEnable=false,szOperator="&gt;",nValue=0,},},},},</v>
      </c>
    </row>
    <row r="299" spans="1:22" x14ac:dyDescent="0.15">
      <c r="A299" t="s">
        <v>687</v>
      </c>
      <c r="B299">
        <v>10</v>
      </c>
      <c r="V299" t="str">
        <f t="shared" si="4"/>
        <v>},[10]={</v>
      </c>
    </row>
    <row r="300" spans="1:22" x14ac:dyDescent="0.15">
      <c r="C300">
        <v>2350</v>
      </c>
      <c r="D300">
        <v>47</v>
      </c>
      <c r="I300" t="s">
        <v>3841</v>
      </c>
      <c r="J300" t="s">
        <v>2152</v>
      </c>
      <c r="P300">
        <v>1</v>
      </c>
      <c r="U300" t="s">
        <v>3842</v>
      </c>
      <c r="V300" t="str">
        <f t="shared" si="4"/>
        <v>{dwID=2350,nFrame=47,szNote="破晓鸣·猫猫",col={0,255,255,},[3]={bScreenHead=true,},[4]={},aFocus={{dwMapID=-1,szDisplay="猫猫·破晓鸣",nMaxDistance=30,tRelation={bAll=true,bEnemy=false,bAlly=false,},tLife={bEnable=false,szOperator="&gt;",nValue=0,},},},},</v>
      </c>
    </row>
    <row r="301" spans="1:22" x14ac:dyDescent="0.15">
      <c r="C301">
        <v>1274</v>
      </c>
      <c r="D301">
        <v>47</v>
      </c>
      <c r="I301" t="s">
        <v>3843</v>
      </c>
      <c r="U301" t="s">
        <v>3844</v>
      </c>
      <c r="V301" t="str">
        <f t="shared" si="4"/>
        <v>{dwID=1274,nFrame=47,szNote="破晓鸣·秦邑",[3]={},[4]={},aFocus={{dwMapID=-1,szDisplay="秦邑·破晓鸣",nMaxDistance=20,tRelation={bAll=true,bEnemy=false,bAlly=false,},tLife={bEnable=false,szOperator="&gt;",nValue=0,},},},},</v>
      </c>
    </row>
    <row r="302" spans="1:22" x14ac:dyDescent="0.15">
      <c r="C302">
        <v>51711</v>
      </c>
      <c r="D302">
        <v>47</v>
      </c>
      <c r="I302" t="s">
        <v>3845</v>
      </c>
      <c r="U302" t="s">
        <v>3846</v>
      </c>
      <c r="V302" t="str">
        <f t="shared" si="4"/>
        <v>{dwID=51711,nFrame=47,szNote="破晓鸣·韩惜辰",[3]={},[4]={},aFocus={{dwMapID=-1,szDisplay="韩惜辰·破晓鸣",nMaxDistance=60,tRelation={bAll=true,bEnemy=false,bAlly=false,},tLife={bEnable=false,szOperator="&gt;",nValue=0,},},},},</v>
      </c>
    </row>
    <row r="303" spans="1:22" x14ac:dyDescent="0.15">
      <c r="C303">
        <v>51719</v>
      </c>
      <c r="D303">
        <v>65</v>
      </c>
      <c r="I303" t="s">
        <v>3847</v>
      </c>
      <c r="U303" t="s">
        <v>3848</v>
      </c>
      <c r="V303" t="str">
        <f t="shared" si="4"/>
        <v>{dwID=51719,nFrame=65,szNote="破晓鸣·一只灰尘扑扑",[3]={},[4]={},aFocus={{dwMapID=-1,szDisplay="一只灰尘扑扑的公鸡·破晓鸣",nMaxDistance=20,tRelation={bAll=true,bEnemy=false,bAlly=false,},tLife={bEnable=false,szOperator="&gt;",nValue=0,},},},},</v>
      </c>
    </row>
    <row r="304" spans="1:22" x14ac:dyDescent="0.15">
      <c r="C304">
        <v>51717</v>
      </c>
      <c r="D304">
        <v>47</v>
      </c>
      <c r="I304" t="s">
        <v>3849</v>
      </c>
      <c r="U304" t="s">
        <v>3850</v>
      </c>
      <c r="V304" t="str">
        <f t="shared" si="4"/>
        <v>{dwID=51717,nFrame=47,szNote="破晓鸣·一个晕倒的人",[3]={},[4]={},aFocus={{dwMapID=-1,szDisplay="一个晕倒的人·破晓鸣",nMaxDistance=90,tRelation={bAll=true,bEnemy=false,bAlly=false,},tLife={bEnable=false,szOperator="&gt;",nValue=0,},},},},</v>
      </c>
    </row>
    <row r="305" spans="1:27" x14ac:dyDescent="0.15">
      <c r="C305">
        <v>51736</v>
      </c>
      <c r="D305">
        <v>47</v>
      </c>
      <c r="I305" t="s">
        <v>3851</v>
      </c>
      <c r="U305" t="s">
        <v>3852</v>
      </c>
      <c r="V305" t="str">
        <f t="shared" si="4"/>
        <v>{dwID=51736,nFrame=47,szNote="破晓鸣·顾释",[3]={},[4]={},aFocus={{dwMapID=-1,szDisplay="顾释·破晓鸣",nMaxDistance=30,tRelation={bAll=true,bEnemy=false,bAlly=false,},tLife={bEnable=false,szOperator="&gt;",nValue=0,},},},tCountdown={{nClass=4,nIcon=17135,nFrame=0,szName="奇遇提示0",nTime=0,key="奇遇提示0",},{nClass=3,nIcon=17135,nFrame=7,szName="对话·顾释",nTime=60,key="奇遇提示1",},{nClass=4,nIcon=17135,nFrame=7,szName="完成奇遇·破晓鸣·黄袍大统领",nTime=10,key="奇遇提示1",},{nClass=4,nIcon=17135,nFrame=7,szName="奇遇提示2",nTime=0,key="奇遇提示2",},{nClass=4,nIcon=17135,nFrame=7,szName="奇遇提示3",nTime=0,key="奇遇提示3",},},},</v>
      </c>
      <c r="W305" t="s">
        <v>3853</v>
      </c>
      <c r="X305" t="s">
        <v>3854</v>
      </c>
      <c r="Y305" t="s">
        <v>3855</v>
      </c>
      <c r="Z305" t="s">
        <v>3856</v>
      </c>
      <c r="AA305" t="s">
        <v>3857</v>
      </c>
    </row>
    <row r="306" spans="1:27" x14ac:dyDescent="0.15">
      <c r="A306" t="s">
        <v>697</v>
      </c>
      <c r="B306">
        <v>13</v>
      </c>
      <c r="V306" t="str">
        <f t="shared" si="4"/>
        <v>},[13]={</v>
      </c>
    </row>
    <row r="307" spans="1:27" x14ac:dyDescent="0.15">
      <c r="C307">
        <v>18575</v>
      </c>
      <c r="D307">
        <v>47</v>
      </c>
      <c r="J307" t="s">
        <v>3858</v>
      </c>
      <c r="O307">
        <v>1</v>
      </c>
      <c r="P307">
        <v>1</v>
      </c>
      <c r="T307">
        <v>1</v>
      </c>
      <c r="U307" t="s">
        <v>3623</v>
      </c>
      <c r="V307" t="str">
        <f t="shared" si="4"/>
        <v>{dwID=18575,nFrame=47,col={2,255,0,},[3]={bCenterAlarm=true,bScreenHead=true,},[4]={bCenterAlarm=true,},aFocus={{dwMapID=-1,nMaxDistance=0,tRelation={bAll=true,bEnemy=false,bAlly=false,},tLife={bEnable=false,szOperator="&gt;",nValue=0,},},},},</v>
      </c>
    </row>
    <row r="308" spans="1:27" x14ac:dyDescent="0.15">
      <c r="C308">
        <v>18573</v>
      </c>
      <c r="D308">
        <v>47</v>
      </c>
      <c r="J308" t="s">
        <v>2168</v>
      </c>
      <c r="O308">
        <v>1</v>
      </c>
      <c r="P308">
        <v>1</v>
      </c>
      <c r="T308">
        <v>1</v>
      </c>
      <c r="U308" t="s">
        <v>3623</v>
      </c>
      <c r="V308" t="str">
        <f t="shared" si="4"/>
        <v>{dwID=18573,nFrame=47,col={0,255,0,},[3]={bCenterAlarm=true,bScreenHead=true,},[4]={bCenterAlarm=true,},aFocus={{dwMapID=-1,nMaxDistance=0,tRelation={bAll=true,bEnemy=false,bAlly=false,},tLife={bEnable=false,szOperator="&gt;",nValue=0,},},},},</v>
      </c>
    </row>
    <row r="309" spans="1:27" x14ac:dyDescent="0.15">
      <c r="C309">
        <v>2182</v>
      </c>
      <c r="D309">
        <v>47</v>
      </c>
      <c r="U309" t="s">
        <v>3859</v>
      </c>
      <c r="V309" t="str">
        <f t="shared" si="4"/>
        <v>{dwID=2182,nFrame=47,[3]={},[4]={},aFocus={{dwMapID=-1,szDisplay="上官勇·隐藏任务",nMaxDistance=5,tRelation={bAll=true,bEnemy=false,bAlly=false,},tLife={bEnable=false,szOperator="&gt;",nValue=0,},},},},</v>
      </c>
    </row>
    <row r="310" spans="1:27" x14ac:dyDescent="0.15">
      <c r="C310">
        <v>2033</v>
      </c>
      <c r="D310">
        <v>47</v>
      </c>
      <c r="I310" t="s">
        <v>2681</v>
      </c>
      <c r="U310" t="s">
        <v>3860</v>
      </c>
      <c r="V310" t="str">
        <f t="shared" si="4"/>
        <v>{dwID=2033,nFrame=47,szNote="鸠雀记",[3]={},[4]={},aFocus={{dwMapID=-1,szDisplay="七嫂·鸠雀记",nMaxDistance=10,tRelation={bAll=true,bEnemy=false,bAlly=false,},tLife={bEnable=false,szOperator="&gt;",nValue=0,},},},},</v>
      </c>
    </row>
    <row r="311" spans="1:27" x14ac:dyDescent="0.15">
      <c r="C311">
        <v>2034</v>
      </c>
      <c r="D311">
        <v>47</v>
      </c>
      <c r="I311" t="s">
        <v>2681</v>
      </c>
      <c r="U311" t="s">
        <v>3861</v>
      </c>
      <c r="V311" t="str">
        <f t="shared" si="4"/>
        <v>{dwID=2034,nFrame=47,szNote="鸠雀记",[3]={},[4]={},aFocus={{dwMapID=-1,szDisplay="龙文武·鸠雀记",nMaxDistance=10,tRelation={bAll=true,bEnemy=false,bAlly=false,},tLife={bEnable=false,szOperator="&gt;",nValue=0,},},},},</v>
      </c>
    </row>
    <row r="312" spans="1:27" x14ac:dyDescent="0.15">
      <c r="C312">
        <v>109294</v>
      </c>
      <c r="D312">
        <v>47</v>
      </c>
      <c r="I312" t="s">
        <v>2681</v>
      </c>
      <c r="J312" t="s">
        <v>2168</v>
      </c>
      <c r="P312">
        <v>1</v>
      </c>
      <c r="U312" t="s">
        <v>3862</v>
      </c>
      <c r="V312" t="str">
        <f t="shared" si="4"/>
        <v>{dwID=109294,nFrame=47,szNote="鸠雀记",col={0,255,0,},[3]={bScreenHead=true,},[4]={},aFocus={{dwMapID=-1,szDisplay="邝桃宝·鸠雀记",nMaxDistance=30,tRelation={bAll=true,bEnemy=false,bAlly=false,},tLife={bEnable=false,szOperator="&gt;",nValue=0,},},},},</v>
      </c>
    </row>
    <row r="313" spans="1:27" x14ac:dyDescent="0.15">
      <c r="C313">
        <v>3267</v>
      </c>
      <c r="D313">
        <v>47</v>
      </c>
      <c r="I313" t="s">
        <v>2681</v>
      </c>
      <c r="U313" t="s">
        <v>3863</v>
      </c>
      <c r="V313" t="str">
        <f t="shared" si="4"/>
        <v>{dwID=3267,nFrame=47,szNote="鸠雀记",[3]={},[4]={},aFocus={{dwMapID=-1,szDisplay="老乞丐·鸠雀记",nMaxDistance=10,tRelation={bAll=true,bEnemy=false,bAlly=false,},tLife={bEnable=false,szOperator="&gt;",nValue=0,},},},},</v>
      </c>
    </row>
    <row r="314" spans="1:27" x14ac:dyDescent="0.15">
      <c r="C314">
        <v>3332</v>
      </c>
      <c r="D314">
        <v>47</v>
      </c>
      <c r="I314" t="s">
        <v>2681</v>
      </c>
      <c r="U314" t="s">
        <v>3864</v>
      </c>
      <c r="V314" t="str">
        <f t="shared" si="4"/>
        <v>{dwID=3332,nFrame=47,szNote="鸠雀记",[3]={},[4]={},aFocus={{dwMapID=-1,szDisplay="古二婶·鸠雀记",nMaxDistance=8,tRelation={bAll=true,bEnemy=false,bAlly=false,},tLife={bEnable=false,szOperator="&gt;",nValue=0,},},},},</v>
      </c>
    </row>
    <row r="315" spans="1:27" x14ac:dyDescent="0.15">
      <c r="C315">
        <v>3326</v>
      </c>
      <c r="D315">
        <v>47</v>
      </c>
      <c r="I315" t="s">
        <v>2681</v>
      </c>
      <c r="U315" t="s">
        <v>3865</v>
      </c>
      <c r="V315" t="str">
        <f t="shared" si="4"/>
        <v>{dwID=3326,nFrame=47,szNote="鸠雀记",[3]={},[4]={},aFocus={{dwMapID=-1,szDisplay="伯炅·鸠雀记",nMaxDistance=8,tRelation={bAll=true,bEnemy=false,bAlly=false,},tLife={bEnable=false,szOperator="&gt;",nValue=0,},},},},</v>
      </c>
    </row>
    <row r="316" spans="1:27" x14ac:dyDescent="0.15">
      <c r="C316">
        <v>3396</v>
      </c>
      <c r="D316">
        <v>47</v>
      </c>
      <c r="I316" t="s">
        <v>2681</v>
      </c>
      <c r="U316" t="s">
        <v>3866</v>
      </c>
      <c r="V316" t="str">
        <f t="shared" si="4"/>
        <v>{dwID=3396,nFrame=47,szNote="鸠雀记",[3]={},[4]={},aFocus={{dwMapID=-1,szDisplay="元宝儿·鸠雀记",nMaxDistance=8,tRelation={bAll=true,bEnemy=false,bAlly=false,},tLife={bEnable=false,szOperator="&gt;",nValue=0,},},},},</v>
      </c>
    </row>
    <row r="317" spans="1:27" x14ac:dyDescent="0.15">
      <c r="C317">
        <v>2112</v>
      </c>
      <c r="D317">
        <v>47</v>
      </c>
      <c r="I317" t="s">
        <v>2681</v>
      </c>
      <c r="U317" t="s">
        <v>3867</v>
      </c>
      <c r="V317" t="str">
        <f t="shared" si="4"/>
        <v>{dwID=2112,nFrame=47,szNote="鸠雀记",[3]={},[4]={},aFocus={{dwMapID=-1,szDisplay="鸠雀记",nMaxDistance=10,tRelation={bAll=true,bEnemy=false,bAlly=false,},tLife={bEnable=false,szOperator="&gt;",nValue=0,},},},},</v>
      </c>
    </row>
    <row r="318" spans="1:27" x14ac:dyDescent="0.15">
      <c r="C318">
        <v>2183</v>
      </c>
      <c r="D318">
        <v>47</v>
      </c>
      <c r="J318" t="s">
        <v>2168</v>
      </c>
      <c r="P318">
        <v>1</v>
      </c>
      <c r="U318" t="s">
        <v>3868</v>
      </c>
      <c r="V318" t="str">
        <f t="shared" si="4"/>
        <v>{dwID=2183,nFrame=47,col={0,255,0,},[3]={bScreenHead=true,},[4]={},aFocus={{dwMapID=-1,nMaxDistance=20,tRelation={bAll=false,bEnemy=false,bAlly=true,},tLife={bEnable=false,szOperator="&gt;",nValue=0,},},},},</v>
      </c>
    </row>
    <row r="319" spans="1:27" x14ac:dyDescent="0.15">
      <c r="C319">
        <v>60182</v>
      </c>
      <c r="D319">
        <v>47</v>
      </c>
      <c r="I319" t="s">
        <v>3760</v>
      </c>
      <c r="J319" t="s">
        <v>2168</v>
      </c>
      <c r="P319">
        <v>1</v>
      </c>
      <c r="U319" t="s">
        <v>3761</v>
      </c>
      <c r="V319" t="str">
        <f t="shared" si="4"/>
        <v>{dwID=60182,nFrame=47,szNote="雪雪·旅行",col={0,255,0,},[3]={bScreenHead=true,},[4]={},aFocus={{dwMapID=-1,nMaxDistance=240,tRelation={bAll=true,bEnemy=false,bAlly=false,},tLife={bEnable=false,szOperator="&gt;",nValue=0,},},},},</v>
      </c>
    </row>
    <row r="320" spans="1:27" x14ac:dyDescent="0.15">
      <c r="C320">
        <v>36430</v>
      </c>
      <c r="D320">
        <v>52</v>
      </c>
      <c r="I320" t="s">
        <v>3869</v>
      </c>
      <c r="J320" t="s">
        <v>2168</v>
      </c>
      <c r="U320" t="s">
        <v>3870</v>
      </c>
      <c r="V320" t="str">
        <f t="shared" si="4"/>
        <v>{dwID=36430,nFrame=52,szNote="大旗·金门关",col={0,255,0,},[3]={},[4]={},aFocus={{dwMapID=-1,szDisplay="大旗·金门关",nMaxDistance=3,tRelation={bAll=true,bEnemy=false,bAlly=false,},tLife={bEnable=false,szOperator="&gt;",nValue=0,},},},},</v>
      </c>
    </row>
    <row r="321" spans="1:22" x14ac:dyDescent="0.15">
      <c r="C321">
        <v>36431</v>
      </c>
      <c r="D321">
        <v>52</v>
      </c>
      <c r="I321" t="s">
        <v>3871</v>
      </c>
      <c r="J321" t="s">
        <v>2168</v>
      </c>
      <c r="U321" t="s">
        <v>3872</v>
      </c>
      <c r="V321" t="str">
        <f t="shared" si="4"/>
        <v>{dwID=36431,nFrame=52,szNote="大旗·青云坞",col={0,255,0,},[3]={},[4]={},aFocus={{dwMapID=-1,szDisplay="大旗·青云坞",nMaxDistance=3,tRelation={bAll=true,bEnemy=false,bAlly=false,},tLife={bEnable=false,szOperator="&gt;",nValue=0,},},},},</v>
      </c>
    </row>
    <row r="322" spans="1:22" x14ac:dyDescent="0.15">
      <c r="A322" t="s">
        <v>702</v>
      </c>
      <c r="B322">
        <v>15</v>
      </c>
      <c r="V322" t="str">
        <f t="shared" ref="V322:V385" si="5">IF(ISBLANK(B322)=FALSE,IF(ISBLANK(B321),"},["&amp;B322&amp;"]={","["&amp;B322&amp;"]={"),IF(AND(ISBLANK(B322),ISBLANK(D322),ISBLANK(C322),OR(ISBLANK(B321)=FALSE,ISBLANK(D321)=FALSE,ISBLANK(C321)=FALSE)),"},},}",IF(ISBLANK(C322),"","{dwID="&amp;C322&amp;","&amp;"nFrame="&amp;D322&amp;","&amp;IF(E322&gt;0,"nCount="&amp;E322&amp;",","")&amp;IF(F322&gt;0,"bAllLeave=true,","")&amp;IF(G322&lt;&gt;"","szName="""&amp;G322&amp;""",","")&amp;IF(H322&lt;&gt;"","tKungFu={"&amp;H322&amp;"},","")&amp;IF(I322&lt;&gt;"","szNote="""&amp;I322&amp;""",","")&amp;IF(J322&lt;&gt;"","col={"&amp;J322&amp;"},","")&amp;"[3]={"&amp;IF(K322&lt;&gt;"","tMark={"&amp;K322&amp;"},","")&amp;IF(L322&lt;&gt;"","szVoice="""&amp;L322&amp;""",","")&amp;IF(M322&gt;0,"bTeamChannel=true,","")&amp;IF(N322&gt;0,"bWhisperChannel=true,","")&amp;IF(O322&gt;0,"bCenterAlarm=true,","")&amp;IF(P322&gt;0,"bScreenHead=true,","")&amp;"},"&amp;"[4]={"&amp;IF(Q322&lt;&gt;"","szVoice="""&amp;Q322&amp;""",","")&amp;IF(R322&gt;0,"bTeamChannel=true,","")&amp;IF(S322&gt;0,"bWhisperChannel=true,","")&amp;IF(T322&gt;0,"bCenterAlarm=true,","")&amp;"},"&amp;IF(U322&lt;&gt;"","aFocus={"&amp;U322&amp;"},","")&amp;IF(W322&lt;&gt;"","tCountdown={"&amp;_xlfn.TEXTJOIN("",TRUE,W322:ZZ322)&amp;"},","")&amp;"},")))</f>
        <v>},[15]={</v>
      </c>
    </row>
    <row r="323" spans="1:22" x14ac:dyDescent="0.15">
      <c r="C323">
        <v>36651</v>
      </c>
      <c r="D323">
        <v>57</v>
      </c>
      <c r="J323" t="s">
        <v>2676</v>
      </c>
      <c r="P323">
        <v>1</v>
      </c>
      <c r="U323" t="s">
        <v>3623</v>
      </c>
      <c r="V323" t="str">
        <f t="shared" si="5"/>
        <v>{dwID=36651,nFrame=57,col={255,50,50,},[3]={bScreenHead=true,},[4]={},aFocus={{dwMapID=-1,nMaxDistance=0,tRelation={bAll=true,bEnemy=false,bAlly=false,},tLife={bEnable=false,szOperator="&gt;",nValue=0,},},},},</v>
      </c>
    </row>
    <row r="324" spans="1:22" x14ac:dyDescent="0.15">
      <c r="C324">
        <v>16170</v>
      </c>
      <c r="D324">
        <v>47</v>
      </c>
      <c r="J324" t="s">
        <v>2143</v>
      </c>
      <c r="P324">
        <v>1</v>
      </c>
      <c r="U324" t="s">
        <v>3623</v>
      </c>
      <c r="V324" t="str">
        <f t="shared" si="5"/>
        <v>{dwID=16170,nFrame=47,col={255,255,0,},[3]={bScreenHead=true,},[4]={},aFocus={{dwMapID=-1,nMaxDistance=0,tRelation={bAll=true,bEnemy=false,bAlly=false,},tLife={bEnable=false,szOperator="&gt;",nValue=0,},},},},</v>
      </c>
    </row>
    <row r="325" spans="1:22" x14ac:dyDescent="0.15">
      <c r="C325">
        <v>57417</v>
      </c>
      <c r="D325">
        <v>50</v>
      </c>
      <c r="P325">
        <v>1</v>
      </c>
      <c r="V325" t="str">
        <f t="shared" si="5"/>
        <v>{dwID=57417,nFrame=50,[3]={bScreenHead=true,},[4]={},},</v>
      </c>
    </row>
    <row r="326" spans="1:22" x14ac:dyDescent="0.15">
      <c r="C326">
        <v>2460</v>
      </c>
      <c r="D326">
        <v>57</v>
      </c>
      <c r="J326" t="s">
        <v>2676</v>
      </c>
      <c r="P326">
        <v>1</v>
      </c>
      <c r="U326" t="s">
        <v>3873</v>
      </c>
      <c r="V326" t="str">
        <f t="shared" si="5"/>
        <v>{dwID=2460,nFrame=57,col={255,50,50,},[3]={bScreenHead=true,},[4]={},aFocus={{dwMapID=-1,szDisplay="白萍·除邪惩恶",nMaxDistance=0,tRelation={bAll=true,bEnemy=false,bAlly=false,},tLife={bEnable=false,szOperator="&gt;",nValue=0,},},},},</v>
      </c>
    </row>
    <row r="327" spans="1:22" x14ac:dyDescent="0.15">
      <c r="C327">
        <v>2438</v>
      </c>
      <c r="D327">
        <v>47</v>
      </c>
      <c r="I327" t="s">
        <v>3874</v>
      </c>
      <c r="U327" t="s">
        <v>3622</v>
      </c>
      <c r="V327" t="str">
        <f t="shared" si="5"/>
        <v>{dwID=2438,nFrame=47,szNote="新春有缘人·杜甫",[3]={},[4]={},aFocus={{dwMapID=-1,nMaxDistance=30,tRelation={bAll=true,bEnemy=false,bAlly=false,},tLife={bEnable=false,szOperator="&gt;",nValue=0,},},},},</v>
      </c>
    </row>
    <row r="328" spans="1:22" x14ac:dyDescent="0.15">
      <c r="A328" t="s">
        <v>233</v>
      </c>
      <c r="B328">
        <v>16</v>
      </c>
      <c r="V328" t="str">
        <f t="shared" si="5"/>
        <v>},[16]={</v>
      </c>
    </row>
    <row r="329" spans="1:22" x14ac:dyDescent="0.15">
      <c r="C329">
        <v>50648</v>
      </c>
      <c r="D329">
        <v>47</v>
      </c>
      <c r="I329" t="s">
        <v>2503</v>
      </c>
      <c r="J329" t="s">
        <v>2168</v>
      </c>
      <c r="P329">
        <v>1</v>
      </c>
      <c r="U329" t="s">
        <v>3875</v>
      </c>
      <c r="V329" t="str">
        <f t="shared" si="5"/>
        <v>{dwID=50648,nFrame=47,szNote="门派事件",col={0,255,0,},[3]={bScreenHead=true,},[4]={},aFocus={{dwMapID=-1,szDisplay="夏年·门派事件",nMaxDistance=60,tRelation={bAll=false,bEnemy=false,bAlly=true,},tLife={bEnable=false,szOperator="&gt;",nValue=0,},},},},</v>
      </c>
    </row>
    <row r="330" spans="1:22" x14ac:dyDescent="0.15">
      <c r="C330">
        <v>50649</v>
      </c>
      <c r="D330">
        <v>47</v>
      </c>
      <c r="I330" t="s">
        <v>2503</v>
      </c>
      <c r="J330" t="s">
        <v>2168</v>
      </c>
      <c r="P330">
        <v>1</v>
      </c>
      <c r="U330" t="s">
        <v>3876</v>
      </c>
      <c r="V330" t="str">
        <f t="shared" si="5"/>
        <v>{dwID=50649,nFrame=47,szNote="门派事件",col={0,255,0,},[3]={bScreenHead=true,},[4]={},aFocus={{dwMapID=-1,szDisplay="佟雅辰·门派事件",nMaxDistance=60,tRelation={bAll=false,bEnemy=false,bAlly=true,},tLife={bEnable=false,szOperator="&gt;",nValue=0,},},},},</v>
      </c>
    </row>
    <row r="331" spans="1:22" x14ac:dyDescent="0.15">
      <c r="C331">
        <v>50650</v>
      </c>
      <c r="D331">
        <v>47</v>
      </c>
      <c r="I331" t="s">
        <v>2503</v>
      </c>
      <c r="J331" t="s">
        <v>2168</v>
      </c>
      <c r="P331">
        <v>1</v>
      </c>
      <c r="U331" t="s">
        <v>3877</v>
      </c>
      <c r="V331" t="str">
        <f t="shared" si="5"/>
        <v>{dwID=50650,nFrame=47,szNote="门派事件",col={0,255,0,},[3]={bScreenHead=true,},[4]={},aFocus={{dwMapID=-1,szDisplay="慕容晚·门派事件",nMaxDistance=60,tRelation={bAll=false,bEnemy=false,bAlly=true,},tLife={bEnable=false,szOperator="&gt;",nValue=0,},},},},</v>
      </c>
    </row>
    <row r="332" spans="1:22" x14ac:dyDescent="0.15">
      <c r="C332">
        <v>50140</v>
      </c>
      <c r="D332">
        <v>47</v>
      </c>
      <c r="I332" t="s">
        <v>2503</v>
      </c>
      <c r="U332" t="s">
        <v>3878</v>
      </c>
      <c r="V332" t="str">
        <f t="shared" si="5"/>
        <v>{dwID=50140,nFrame=47,szNote="门派事件",[3]={},[4]={},aFocus={{dwMapID=-1,szDisplay="剑舞弟子·萝莉",nMaxDistance=30,tRelation={bAll=false,bEnemy=false,bAlly=true,},tLife={bEnable=false,szOperator="&gt;",nValue=0,},},},},</v>
      </c>
    </row>
    <row r="333" spans="1:22" x14ac:dyDescent="0.15">
      <c r="C333">
        <v>50646</v>
      </c>
      <c r="D333">
        <v>47</v>
      </c>
      <c r="I333" t="s">
        <v>2503</v>
      </c>
      <c r="U333" t="s">
        <v>3879</v>
      </c>
      <c r="V333" t="str">
        <f t="shared" si="5"/>
        <v>{dwID=50646,nFrame=47,szNote="门派事件",[3]={},[4]={},aFocus={{dwMapID=-1,szDisplay="剑舞弟子·成女",nMaxDistance=30,tRelation={bAll=false,bEnemy=false,bAlly=true,},tLife={bEnable=false,szOperator="&gt;",nValue=0,},},},},</v>
      </c>
    </row>
    <row r="334" spans="1:22" x14ac:dyDescent="0.15">
      <c r="C334">
        <v>50141</v>
      </c>
      <c r="D334">
        <v>47</v>
      </c>
      <c r="I334" t="s">
        <v>2503</v>
      </c>
      <c r="U334" t="s">
        <v>3879</v>
      </c>
      <c r="V334" t="str">
        <f t="shared" si="5"/>
        <v>{dwID=50141,nFrame=47,szNote="门派事件",[3]={},[4]={},aFocus={{dwMapID=-1,szDisplay="剑舞弟子·成女",nMaxDistance=30,tRelation={bAll=false,bEnemy=false,bAlly=true,},tLife={bEnable=false,szOperator="&gt;",nValue=0,},},},},</v>
      </c>
    </row>
    <row r="335" spans="1:22" x14ac:dyDescent="0.15">
      <c r="C335">
        <v>50655</v>
      </c>
      <c r="D335">
        <v>47</v>
      </c>
      <c r="I335" t="s">
        <v>2503</v>
      </c>
      <c r="U335" t="s">
        <v>3879</v>
      </c>
      <c r="V335" t="str">
        <f t="shared" si="5"/>
        <v>{dwID=50655,nFrame=47,szNote="门派事件",[3]={},[4]={},aFocus={{dwMapID=-1,szDisplay="剑舞弟子·成女",nMaxDistance=30,tRelation={bAll=false,bEnemy=false,bAlly=true,},tLife={bEnable=false,szOperator="&gt;",nValue=0,},},},},</v>
      </c>
    </row>
    <row r="336" spans="1:22" x14ac:dyDescent="0.15">
      <c r="C336">
        <v>50511</v>
      </c>
      <c r="D336">
        <v>47</v>
      </c>
      <c r="I336" t="s">
        <v>2503</v>
      </c>
      <c r="U336" t="s">
        <v>3878</v>
      </c>
      <c r="V336" t="str">
        <f t="shared" si="5"/>
        <v>{dwID=50511,nFrame=47,szNote="门派事件",[3]={},[4]={},aFocus={{dwMapID=-1,szDisplay="剑舞弟子·萝莉",nMaxDistance=30,tRelation={bAll=false,bEnemy=false,bAlly=true,},tLife={bEnable=false,szOperator="&gt;",nValue=0,},},},},</v>
      </c>
    </row>
    <row r="337" spans="3:22" x14ac:dyDescent="0.15">
      <c r="C337">
        <v>50652</v>
      </c>
      <c r="D337">
        <v>47</v>
      </c>
      <c r="I337" t="s">
        <v>2503</v>
      </c>
      <c r="J337" t="s">
        <v>2168</v>
      </c>
      <c r="P337">
        <v>1</v>
      </c>
      <c r="U337" t="s">
        <v>3868</v>
      </c>
      <c r="V337" t="str">
        <f t="shared" si="5"/>
        <v>{dwID=50652,nFrame=47,szNote="门派事件",col={0,255,0,},[3]={bScreenHead=true,},[4]={},aFocus={{dwMapID=-1,nMaxDistance=20,tRelation={bAll=false,bEnemy=false,bAlly=true,},tLife={bEnable=false,szOperator="&gt;",nValue=0,},},},},</v>
      </c>
    </row>
    <row r="338" spans="3:22" x14ac:dyDescent="0.15">
      <c r="C338">
        <v>50515</v>
      </c>
      <c r="D338">
        <v>47</v>
      </c>
      <c r="I338" t="s">
        <v>2503</v>
      </c>
      <c r="P338">
        <v>1</v>
      </c>
      <c r="U338" t="s">
        <v>3880</v>
      </c>
      <c r="V338" t="str">
        <f t="shared" si="5"/>
        <v>{dwID=50515,nFrame=47,szNote="门派事件",[3]={bScreenHead=true,},[4]={},aFocus={{dwMapID=-1,szDisplay="照萤·门派事件",nMaxDistance=10,tRelation={bAll=true,bEnemy=false,bAlly=false,},tLife={bEnable=false,szOperator="&gt;",nValue=0,},},},},</v>
      </c>
    </row>
    <row r="339" spans="3:22" x14ac:dyDescent="0.15">
      <c r="C339">
        <v>50146</v>
      </c>
      <c r="D339">
        <v>47</v>
      </c>
      <c r="I339" t="s">
        <v>2503</v>
      </c>
      <c r="J339" t="s">
        <v>2676</v>
      </c>
      <c r="P339">
        <v>1</v>
      </c>
      <c r="U339" t="s">
        <v>3881</v>
      </c>
      <c r="V339" t="str">
        <f t="shared" si="5"/>
        <v>{dwID=50146,nFrame=47,szNote="门派事件",col={255,50,50,},[3]={bScreenHead=true,},[4]={},aFocus={{dwMapID=-1,szDisplay="夏年·门派事件",nMaxDistance=60,tRelation={bAll=true,bEnemy=false,bAlly=false,},tLife={bEnable=false,szOperator="&gt;",nValue=0,},},},},</v>
      </c>
    </row>
    <row r="340" spans="3:22" x14ac:dyDescent="0.15">
      <c r="C340">
        <v>50147</v>
      </c>
      <c r="D340">
        <v>47</v>
      </c>
      <c r="I340" t="s">
        <v>2503</v>
      </c>
      <c r="J340" t="s">
        <v>2676</v>
      </c>
      <c r="P340">
        <v>1</v>
      </c>
      <c r="U340" t="s">
        <v>3882</v>
      </c>
      <c r="V340" t="str">
        <f t="shared" si="5"/>
        <v>{dwID=50147,nFrame=47,szNote="门派事件",col={255,50,50,},[3]={bScreenHead=true,},[4]={},aFocus={{dwMapID=-1,szDisplay="佟雅辰·门派事件",nMaxDistance=60,tRelation={bAll=true,bEnemy=false,bAlly=false,},tLife={bEnable=false,szOperator="&gt;",nValue=0,},},},},</v>
      </c>
    </row>
    <row r="341" spans="3:22" x14ac:dyDescent="0.15">
      <c r="C341">
        <v>50148</v>
      </c>
      <c r="D341">
        <v>47</v>
      </c>
      <c r="I341" t="s">
        <v>3883</v>
      </c>
      <c r="J341" t="s">
        <v>2676</v>
      </c>
      <c r="P341">
        <v>1</v>
      </c>
      <c r="U341" t="s">
        <v>3884</v>
      </c>
      <c r="V341" t="str">
        <f t="shared" si="5"/>
        <v>{dwID=50148,nFrame=47,szNote="慕容晚",col={255,50,50,},[3]={bScreenHead=true,},[4]={},aFocus={{dwMapID=-1,szDisplay="慕容晚·门派事件",nMaxDistance=60,tRelation={bAll=true,bEnemy=false,bAlly=false,},tLife={bEnable=false,szOperator="&gt;",nValue=0,},},},},</v>
      </c>
    </row>
    <row r="342" spans="3:22" x14ac:dyDescent="0.15">
      <c r="C342">
        <v>50152</v>
      </c>
      <c r="D342">
        <v>47</v>
      </c>
      <c r="I342" t="s">
        <v>2503</v>
      </c>
      <c r="J342" t="s">
        <v>2676</v>
      </c>
      <c r="P342">
        <v>1</v>
      </c>
      <c r="U342" t="s">
        <v>3885</v>
      </c>
      <c r="V342" t="str">
        <f t="shared" si="5"/>
        <v>{dwID=50152,nFrame=47,szNote="门派事件",col={255,50,50,},[3]={bScreenHead=true,},[4]={},aFocus={{dwMapID=-1,szDisplay="白璃予·门派事件",nMaxDistance=60,tRelation={bAll=false,bEnemy=true,bAlly=false,},tLife={bEnable=false,szOperator="&gt;",nValue=0,},},},},</v>
      </c>
    </row>
    <row r="343" spans="3:22" x14ac:dyDescent="0.15">
      <c r="C343">
        <v>50730</v>
      </c>
      <c r="D343">
        <v>57</v>
      </c>
      <c r="I343" t="s">
        <v>2503</v>
      </c>
      <c r="J343" t="s">
        <v>2676</v>
      </c>
      <c r="P343">
        <v>1</v>
      </c>
      <c r="U343" t="s">
        <v>3886</v>
      </c>
      <c r="V343" t="str">
        <f t="shared" si="5"/>
        <v>{dwID=50730,nFrame=57,szNote="门派事件",col={255,50,50,},[3]={bScreenHead=true,},[4]={},aFocus={{dwMapID=-1,szDisplay="白璃予·分身",nMaxDistance=30,tRelation={bAll=false,bEnemy=true,bAlly=false,},tLife={bEnable=true,szOperator="&lt;",nValue=100,},},},},</v>
      </c>
    </row>
    <row r="344" spans="3:22" x14ac:dyDescent="0.15">
      <c r="C344">
        <v>50726</v>
      </c>
      <c r="D344">
        <v>47</v>
      </c>
      <c r="I344" t="s">
        <v>2503</v>
      </c>
      <c r="J344" t="s">
        <v>2168</v>
      </c>
      <c r="P344">
        <v>1</v>
      </c>
      <c r="V344" t="str">
        <f t="shared" si="5"/>
        <v>{dwID=50726,nFrame=47,szNote="门派事件",col={0,255,0,},[3]={bScreenHead=true,},[4]={},},</v>
      </c>
    </row>
    <row r="345" spans="3:22" x14ac:dyDescent="0.15">
      <c r="C345">
        <v>50151</v>
      </c>
      <c r="D345">
        <v>47</v>
      </c>
      <c r="I345" t="s">
        <v>2503</v>
      </c>
      <c r="J345" t="s">
        <v>2168</v>
      </c>
      <c r="P345">
        <v>1</v>
      </c>
      <c r="V345" t="str">
        <f t="shared" si="5"/>
        <v>{dwID=50151,nFrame=47,szNote="门派事件",col={0,255,0,},[3]={bScreenHead=true,},[4]={},},</v>
      </c>
    </row>
    <row r="346" spans="3:22" x14ac:dyDescent="0.15">
      <c r="C346">
        <v>50149</v>
      </c>
      <c r="D346">
        <v>47</v>
      </c>
      <c r="I346" t="s">
        <v>2503</v>
      </c>
      <c r="J346" t="s">
        <v>2168</v>
      </c>
      <c r="P346">
        <v>1</v>
      </c>
      <c r="V346" t="str">
        <f t="shared" si="5"/>
        <v>{dwID=50149,nFrame=47,szNote="门派事件",col={0,255,0,},[3]={bScreenHead=true,},[4]={},},</v>
      </c>
    </row>
    <row r="347" spans="3:22" x14ac:dyDescent="0.15">
      <c r="C347">
        <v>50150</v>
      </c>
      <c r="D347">
        <v>47</v>
      </c>
      <c r="I347" t="s">
        <v>2503</v>
      </c>
      <c r="J347" t="s">
        <v>2168</v>
      </c>
      <c r="P347">
        <v>1</v>
      </c>
      <c r="V347" t="str">
        <f t="shared" si="5"/>
        <v>{dwID=50150,nFrame=47,szNote="门派事件",col={0,255,0,},[3]={bScreenHead=true,},[4]={},},</v>
      </c>
    </row>
    <row r="348" spans="3:22" x14ac:dyDescent="0.15">
      <c r="C348">
        <v>59355</v>
      </c>
      <c r="D348">
        <v>47</v>
      </c>
      <c r="I348" t="s">
        <v>3887</v>
      </c>
      <c r="J348" t="s">
        <v>2152</v>
      </c>
      <c r="P348">
        <v>1</v>
      </c>
      <c r="U348" t="s">
        <v>3888</v>
      </c>
      <c r="V348" t="str">
        <f t="shared" si="5"/>
        <v>{dwID=59355,nFrame=47,szNote="烟花戏·秋·卢蓉",col={0,255,255,},[3]={bScreenHead=true,},[4]={},aFocus={{dwMapID=-1,szDisplay="卢蓉·烟花戏·秋",nMaxDistance=60,tRelation={bAll=true,bEnemy=false,bAlly=false,},tLife={bEnable=false,szOperator="&gt;",nValue=0,},},},},</v>
      </c>
    </row>
    <row r="349" spans="3:22" x14ac:dyDescent="0.15">
      <c r="C349">
        <v>36945</v>
      </c>
      <c r="D349">
        <v>47</v>
      </c>
      <c r="I349" t="s">
        <v>3889</v>
      </c>
      <c r="J349" t="s">
        <v>2152</v>
      </c>
      <c r="P349">
        <v>1</v>
      </c>
      <c r="U349" t="s">
        <v>3890</v>
      </c>
      <c r="V349" t="str">
        <f t="shared" si="5"/>
        <v>{dwID=36945,nFrame=47,szNote="捉妖记·陶九翁",col={0,255,255,},[3]={bScreenHead=true,},[4]={},aFocus={{dwMapID=-1,szDisplay="陶九翁·捉妖记",nMaxDistance=30,tRelation={bAll=true,bEnemy=false,bAlly=false,},tLife={bEnable=false,szOperator="&gt;",nValue=0,},},},},</v>
      </c>
    </row>
    <row r="350" spans="3:22" x14ac:dyDescent="0.15">
      <c r="C350">
        <v>36947</v>
      </c>
      <c r="D350">
        <v>47</v>
      </c>
      <c r="I350" t="s">
        <v>3891</v>
      </c>
      <c r="U350" t="s">
        <v>3892</v>
      </c>
      <c r="V350" t="str">
        <f t="shared" si="5"/>
        <v>{dwID=36947,nFrame=47,szNote="捉妖记·陶蛋儿",[3]={},[4]={},aFocus={{dwMapID=-1,szDisplay="陶蛋儿·捉妖记",nMaxDistance=60,tRelation={bAll=true,bEnemy=false,bAlly=false,},tLife={bEnable=false,szOperator="&gt;",nValue=0,},},},},</v>
      </c>
    </row>
    <row r="351" spans="3:22" x14ac:dyDescent="0.15">
      <c r="C351">
        <v>36948</v>
      </c>
      <c r="D351">
        <v>47</v>
      </c>
      <c r="I351" t="s">
        <v>3893</v>
      </c>
      <c r="U351" t="s">
        <v>3894</v>
      </c>
      <c r="V351" t="str">
        <f t="shared" si="5"/>
        <v>{dwID=36948,nFrame=47,szNote="捉妖记·陶小方",[3]={},[4]={},aFocus={{dwMapID=-1,szDisplay="陶小方·捉妖记",nMaxDistance=30,tRelation={bAll=true,bEnemy=false,bAlly=false,},tLife={bEnable=false,szOperator="&gt;",nValue=0,},},},},</v>
      </c>
    </row>
    <row r="352" spans="3:22" x14ac:dyDescent="0.15">
      <c r="C352">
        <v>36949</v>
      </c>
      <c r="D352">
        <v>47</v>
      </c>
      <c r="I352" t="s">
        <v>3895</v>
      </c>
      <c r="U352" t="s">
        <v>3896</v>
      </c>
      <c r="V352" t="str">
        <f t="shared" si="5"/>
        <v>{dwID=36949,nFrame=47,szNote="捉妖记·陶虎子",[3]={},[4]={},aFocus={{dwMapID=-1,szDisplay="陶虎子·捉妖记",nMaxDistance=60,tRelation={bAll=true,bEnemy=false,bAlly=false,},tLife={bEnable=false,szOperator="&gt;",nValue=0,},},},},</v>
      </c>
    </row>
    <row r="353" spans="1:23" x14ac:dyDescent="0.15">
      <c r="C353">
        <v>36950</v>
      </c>
      <c r="D353">
        <v>47</v>
      </c>
      <c r="I353" t="s">
        <v>3897</v>
      </c>
      <c r="U353" t="s">
        <v>3898</v>
      </c>
      <c r="V353" t="str">
        <f t="shared" si="5"/>
        <v>{dwID=36950,nFrame=47,szNote="捉妖记·会动的酒坛子",[3]={},[4]={},aFocus={{dwMapID=-1,szDisplay="会动的酒坛子·捉妖记",nMaxDistance=90,tRelation={bAll=true,bEnemy=false,bAlly=false,},tLife={bEnable=false,szOperator="&gt;",nValue=0,},},},},</v>
      </c>
    </row>
    <row r="354" spans="1:23" x14ac:dyDescent="0.15">
      <c r="A354" t="s">
        <v>711</v>
      </c>
      <c r="B354">
        <v>21</v>
      </c>
      <c r="V354" t="str">
        <f t="shared" si="5"/>
        <v>},[21]={</v>
      </c>
    </row>
    <row r="355" spans="1:23" x14ac:dyDescent="0.15">
      <c r="C355">
        <v>18575</v>
      </c>
      <c r="D355">
        <v>47</v>
      </c>
      <c r="J355" t="s">
        <v>3858</v>
      </c>
      <c r="O355">
        <v>1</v>
      </c>
      <c r="P355">
        <v>1</v>
      </c>
      <c r="T355">
        <v>1</v>
      </c>
      <c r="U355" t="s">
        <v>3623</v>
      </c>
      <c r="V355" t="str">
        <f t="shared" si="5"/>
        <v>{dwID=18575,nFrame=47,col={2,255,0,},[3]={bCenterAlarm=true,bScreenHead=true,},[4]={bCenterAlarm=true,},aFocus={{dwMapID=-1,nMaxDistance=0,tRelation={bAll=true,bEnemy=false,bAlly=false,},tLife={bEnable=false,szOperator="&gt;",nValue=0,},},},},</v>
      </c>
    </row>
    <row r="356" spans="1:23" x14ac:dyDescent="0.15">
      <c r="C356">
        <v>18573</v>
      </c>
      <c r="D356">
        <v>47</v>
      </c>
      <c r="J356" t="s">
        <v>2168</v>
      </c>
      <c r="O356">
        <v>1</v>
      </c>
      <c r="P356">
        <v>1</v>
      </c>
      <c r="T356">
        <v>1</v>
      </c>
      <c r="U356" t="s">
        <v>3623</v>
      </c>
      <c r="V356" t="str">
        <f t="shared" si="5"/>
        <v>{dwID=18573,nFrame=47,col={0,255,0,},[3]={bCenterAlarm=true,bScreenHead=true,},[4]={bCenterAlarm=true,},aFocus={{dwMapID=-1,nMaxDistance=0,tRelation={bAll=true,bEnemy=false,bAlly=false,},tLife={bEnable=false,szOperator="&gt;",nValue=0,},},},},</v>
      </c>
    </row>
    <row r="357" spans="1:23" x14ac:dyDescent="0.15">
      <c r="C357">
        <v>53526</v>
      </c>
      <c r="D357">
        <v>50</v>
      </c>
      <c r="J357" t="s">
        <v>2676</v>
      </c>
      <c r="O357">
        <v>1</v>
      </c>
      <c r="P357">
        <v>1</v>
      </c>
      <c r="U357" t="s">
        <v>3623</v>
      </c>
      <c r="V357" t="str">
        <f t="shared" si="5"/>
        <v>{dwID=53526,nFrame=50,col={255,50,50,},[3]={bCenterAlarm=true,bScreenHead=true,},[4]={},aFocus={{dwMapID=-1,nMaxDistance=0,tRelation={bAll=true,bEnemy=false,bAlly=false,},tLife={bEnable=false,szOperator="&gt;",nValue=0,},},},},</v>
      </c>
    </row>
    <row r="358" spans="1:23" x14ac:dyDescent="0.15">
      <c r="C358">
        <v>110169</v>
      </c>
      <c r="D358">
        <v>47</v>
      </c>
      <c r="I358" t="s">
        <v>3899</v>
      </c>
      <c r="U358" t="s">
        <v>3622</v>
      </c>
      <c r="V358" t="str">
        <f t="shared" si="5"/>
        <v>{dwID=110169,nFrame=47,szNote="江湖侠客·唐小柯任务",[3]={},[4]={},aFocus={{dwMapID=-1,nMaxDistance=30,tRelation={bAll=true,bEnemy=false,bAlly=false,},tLife={bEnable=false,szOperator="&gt;",nValue=0,},},},},</v>
      </c>
    </row>
    <row r="359" spans="1:23" x14ac:dyDescent="0.15">
      <c r="C359">
        <v>110158</v>
      </c>
      <c r="D359">
        <v>52</v>
      </c>
      <c r="U359" t="s">
        <v>3900</v>
      </c>
      <c r="V359" t="str">
        <f t="shared" si="5"/>
        <v>{dwID=110158,nFrame=52,[3]={},[4]={},aFocus={{dwMapID=-1,szDisplay="机关小猪·小花猪",nMaxDistance=10,tRelation={bAll=true,bEnemy=false,bAlly=false,},tLife={bEnable=false,szOperator="&gt;",nValue=0,},},},},</v>
      </c>
    </row>
    <row r="360" spans="1:23" x14ac:dyDescent="0.15">
      <c r="C360">
        <v>4566</v>
      </c>
      <c r="D360">
        <v>47</v>
      </c>
      <c r="I360" t="s">
        <v>3901</v>
      </c>
      <c r="U360" t="s">
        <v>3902</v>
      </c>
      <c r="V360" t="str">
        <f t="shared" si="5"/>
        <v>{dwID=4566,nFrame=47,szNote="白雪忆·说书人",[3]={},[4]={},aFocus={{dwMapID=-1,szDisplay="说书人·白雪忆",nMaxDistance=50,tRelation={bAll=true,bEnemy=false,bAlly=false,},tLife={bEnable=false,szOperator="&gt;",nValue=0,},},},},</v>
      </c>
    </row>
    <row r="361" spans="1:23" x14ac:dyDescent="0.15">
      <c r="C361">
        <v>59334</v>
      </c>
      <c r="D361">
        <v>47</v>
      </c>
      <c r="I361" t="s">
        <v>3903</v>
      </c>
      <c r="U361" t="s">
        <v>3904</v>
      </c>
      <c r="V361" t="str">
        <f t="shared" si="5"/>
        <v>{dwID=59334,nFrame=47,szNote="白雪忆·季妍华",[3]={},[4]={},aFocus={{dwMapID=-1,szDisplay="季妍华·白雪忆",nMaxDistance=50,tRelation={bAll=true,bEnemy=false,bAlly=false,},tLife={bEnable=false,szOperator="&gt;",nValue=0,},},},},</v>
      </c>
    </row>
    <row r="362" spans="1:23" x14ac:dyDescent="0.15">
      <c r="C362">
        <v>59359</v>
      </c>
      <c r="D362">
        <v>47</v>
      </c>
      <c r="I362" t="s">
        <v>3905</v>
      </c>
      <c r="U362" t="s">
        <v>3906</v>
      </c>
      <c r="V362" t="str">
        <f t="shared" si="5"/>
        <v>{dwID=59359,nFrame=47,szNote="白雪忆·叶颢轩",[3]={},[4]={},aFocus={{dwMapID=-1,szDisplay="叶颢轩·白雪忆",nMaxDistance=0,tRelation={bAll=true,bEnemy=false,bAlly=false,},tLife={bEnable=false,szOperator="&gt;",nValue=0,},},},},</v>
      </c>
    </row>
    <row r="363" spans="1:23" x14ac:dyDescent="0.15">
      <c r="C363">
        <v>59360</v>
      </c>
      <c r="D363">
        <v>47</v>
      </c>
      <c r="I363" t="s">
        <v>3907</v>
      </c>
      <c r="U363" t="s">
        <v>3908</v>
      </c>
      <c r="V363" t="str">
        <f t="shared" si="5"/>
        <v>{dwID=59360,nFrame=47,szNote="白雪忆·颜谷芝",[3]={},[4]={},aFocus={{dwMapID=-1,szDisplay="颜谷芝·白雪忆",nMaxDistance=10,tRelation={bAll=true,bEnemy=false,bAlly=false,},tLife={bEnable=false,szOperator="&gt;",nValue=0,},},},},</v>
      </c>
    </row>
    <row r="364" spans="1:23" x14ac:dyDescent="0.15">
      <c r="C364">
        <v>36434</v>
      </c>
      <c r="D364">
        <v>52</v>
      </c>
      <c r="I364" t="s">
        <v>3909</v>
      </c>
      <c r="J364" t="s">
        <v>2168</v>
      </c>
      <c r="U364" t="s">
        <v>3910</v>
      </c>
      <c r="V364" t="str">
        <f t="shared" si="5"/>
        <v>{dwID=36434,nFrame=52,szNote="大旗·盘龙坞",col={0,255,0,},[3]={},[4]={},aFocus={{dwMapID=-1,szDisplay="大旗·盘龙坞",nMaxDistance=3,tRelation={bAll=true,bEnemy=false,bAlly=false,},tLife={bEnable=false,szOperator="&gt;",nValue=0,},},},},</v>
      </c>
    </row>
    <row r="365" spans="1:23" x14ac:dyDescent="0.15">
      <c r="C365">
        <v>36435</v>
      </c>
      <c r="D365">
        <v>52</v>
      </c>
      <c r="I365" t="s">
        <v>3911</v>
      </c>
      <c r="J365" t="s">
        <v>2168</v>
      </c>
      <c r="U365" t="s">
        <v>3912</v>
      </c>
      <c r="V365" t="str">
        <f t="shared" si="5"/>
        <v>{dwID=36435,nFrame=52,szNote="大旗·逐鹿坪",col={0,255,0,},[3]={},[4]={},aFocus={{dwMapID=-1,szDisplay="大旗·逐鹿坪",nMaxDistance=3,tRelation={bAll=true,bEnemy=false,bAlly=false,},tLife={bEnable=false,szOperator="&gt;",nValue=0,},},},},</v>
      </c>
    </row>
    <row r="366" spans="1:23" x14ac:dyDescent="0.15">
      <c r="C366">
        <v>1317</v>
      </c>
      <c r="D366">
        <v>47</v>
      </c>
      <c r="I366" t="s">
        <v>3913</v>
      </c>
      <c r="P366">
        <v>1</v>
      </c>
      <c r="U366" t="s">
        <v>3914</v>
      </c>
      <c r="V366" t="str">
        <f t="shared" si="5"/>
        <v>{dwID=1317,nFrame=47,szNote="左破天",[3]={bScreenHead=true,},[4]={},aFocus={{dwMapID=-1,szDisplay="左破天·阵营前置",nMaxDistance=0,tRelation={bAll=true,bEnemy=false,bAlly=false,},tLife={bEnable=false,szOperator="&gt;",nValue=0,},},},tCountdown={{nClass=12,nIcon=13,nFrame=4,szName="左破天·刷新剩余",nTime=10.1,},},},</v>
      </c>
      <c r="W366" t="s">
        <v>3915</v>
      </c>
    </row>
    <row r="367" spans="1:23" x14ac:dyDescent="0.15">
      <c r="C367">
        <v>1308</v>
      </c>
      <c r="D367">
        <v>47</v>
      </c>
      <c r="I367" t="s">
        <v>3916</v>
      </c>
      <c r="P367">
        <v>1</v>
      </c>
      <c r="U367" t="s">
        <v>3917</v>
      </c>
      <c r="V367" t="str">
        <f t="shared" si="5"/>
        <v>{dwID=1308,nFrame=47,szNote="郭海宾",[3]={bScreenHead=true,},[4]={},aFocus={{dwMapID=-1,szDisplay="郭海宾·阵营前置",nMaxDistance=0,tRelation={bAll=true,bEnemy=false,bAlly=false,},tLife={bEnable=false,szOperator="&gt;",nValue=0,},},},tCountdown={{nClass=12,nIcon=13,nFrame=4,szName="郭海宾·刷新剩余",nTime=10.1,},},},</v>
      </c>
      <c r="W367" t="s">
        <v>3918</v>
      </c>
    </row>
    <row r="368" spans="1:23" x14ac:dyDescent="0.15">
      <c r="C368">
        <v>6220</v>
      </c>
      <c r="D368">
        <v>47</v>
      </c>
      <c r="I368" t="s">
        <v>3919</v>
      </c>
      <c r="P368">
        <v>1</v>
      </c>
      <c r="U368" t="s">
        <v>3920</v>
      </c>
      <c r="V368" t="str">
        <f t="shared" si="5"/>
        <v>{dwID=6220,nFrame=47,szNote="赵新宇",[3]={bScreenHead=true,},[4]={},aFocus={{dwMapID=-1,szDisplay="赵新宇·阵营前置",nMaxDistance=0,tRelation={bAll=true,bEnemy=false,bAlly=false,},tLife={bEnable=false,szOperator="&gt;",nValue=0,},},},},</v>
      </c>
    </row>
    <row r="369" spans="1:22" x14ac:dyDescent="0.15">
      <c r="C369">
        <v>6219</v>
      </c>
      <c r="D369">
        <v>47</v>
      </c>
      <c r="I369" t="s">
        <v>3921</v>
      </c>
      <c r="P369">
        <v>1</v>
      </c>
      <c r="U369" t="s">
        <v>3922</v>
      </c>
      <c r="V369" t="str">
        <f t="shared" si="5"/>
        <v>{dwID=6219,nFrame=47,szNote="方超",[3]={bScreenHead=true,},[4]={},aFocus={{dwMapID=-1,szDisplay="方超··阵营前置",nMaxDistance=0,tRelation={bAll=true,bEnemy=false,bAlly=false,},tLife={bEnable=false,szOperator="&gt;",nValue=0,},},},},</v>
      </c>
    </row>
    <row r="370" spans="1:22" x14ac:dyDescent="0.15">
      <c r="C370">
        <v>7605</v>
      </c>
      <c r="D370">
        <v>47</v>
      </c>
      <c r="I370" t="s">
        <v>3923</v>
      </c>
      <c r="J370" t="s">
        <v>2718</v>
      </c>
      <c r="P370">
        <v>1</v>
      </c>
      <c r="U370" t="s">
        <v>3924</v>
      </c>
      <c r="V370" t="str">
        <f t="shared" si="5"/>
        <v>{dwID=7605,nFrame=47,szNote="何非笑·阵营前置",col={255,255,100,},[3]={bScreenHead=true,},[4]={},aFocus={{dwMapID=-1,szDisplay="何非笑·阵营前置",nMaxDistance=0,tRelation={bAll=false,bEnemy=false,bAlly=true,},tLife={bEnable=false,szOperator="&gt;",nValue=0,},},},},</v>
      </c>
    </row>
    <row r="371" spans="1:22" x14ac:dyDescent="0.15">
      <c r="C371">
        <v>7606</v>
      </c>
      <c r="D371">
        <v>47</v>
      </c>
      <c r="I371" t="s">
        <v>3925</v>
      </c>
      <c r="J371" t="s">
        <v>3614</v>
      </c>
      <c r="P371">
        <v>1</v>
      </c>
      <c r="U371" t="s">
        <v>3926</v>
      </c>
      <c r="V371" t="str">
        <f t="shared" si="5"/>
        <v>{dwID=7606,nFrame=47,szNote="王洵·阵营前置",col={100,255,255,},[3]={bScreenHead=true,},[4]={},aFocus={{dwMapID=-1,szDisplay="王洵·阵营前置",nMaxDistance=20,tRelation={bAll=false,bEnemy=false,bAlly=true,},tLife={bEnable=false,szOperator="&gt;",nValue=0,},},},},</v>
      </c>
    </row>
    <row r="372" spans="1:22" x14ac:dyDescent="0.15">
      <c r="A372" t="s">
        <v>712</v>
      </c>
      <c r="B372">
        <v>22</v>
      </c>
      <c r="V372" t="str">
        <f t="shared" si="5"/>
        <v>},[22]={</v>
      </c>
    </row>
    <row r="373" spans="1:22" x14ac:dyDescent="0.15">
      <c r="C373">
        <v>18581</v>
      </c>
      <c r="D373">
        <v>47</v>
      </c>
      <c r="I373">
        <v>18581</v>
      </c>
      <c r="J373" t="s">
        <v>2168</v>
      </c>
      <c r="O373">
        <v>1</v>
      </c>
      <c r="P373">
        <v>1</v>
      </c>
      <c r="T373">
        <v>1</v>
      </c>
      <c r="U373" t="s">
        <v>3623</v>
      </c>
      <c r="V373" t="str">
        <f t="shared" si="5"/>
        <v>{dwID=18581,nFrame=47,szNote="18581",col={0,255,0,},[3]={bCenterAlarm=true,bScreenHead=true,},[4]={bCenterAlarm=true,},aFocus={{dwMapID=-1,nMaxDistance=0,tRelation={bAll=true,bEnemy=false,bAlly=false,},tLife={bEnable=false,szOperator="&gt;",nValue=0,},},},},</v>
      </c>
    </row>
    <row r="374" spans="1:22" x14ac:dyDescent="0.15">
      <c r="C374">
        <v>18582</v>
      </c>
      <c r="D374">
        <v>47</v>
      </c>
      <c r="I374">
        <v>18582</v>
      </c>
      <c r="J374" t="s">
        <v>2168</v>
      </c>
      <c r="O374">
        <v>1</v>
      </c>
      <c r="P374">
        <v>1</v>
      </c>
      <c r="T374">
        <v>1</v>
      </c>
      <c r="U374" t="s">
        <v>3623</v>
      </c>
      <c r="V374" t="str">
        <f t="shared" si="5"/>
        <v>{dwID=18582,nFrame=47,szNote="18582",col={0,255,0,},[3]={bCenterAlarm=true,bScreenHead=true,},[4]={bCenterAlarm=true,},aFocus={{dwMapID=-1,nMaxDistance=0,tRelation={bAll=true,bEnemy=false,bAlly=false,},tLife={bEnable=false,szOperator="&gt;",nValue=0,},},},},</v>
      </c>
    </row>
    <row r="375" spans="1:22" x14ac:dyDescent="0.15">
      <c r="C375">
        <v>18579</v>
      </c>
      <c r="D375">
        <v>47</v>
      </c>
      <c r="I375">
        <v>18579</v>
      </c>
      <c r="J375" t="s">
        <v>2168</v>
      </c>
      <c r="O375">
        <v>1</v>
      </c>
      <c r="P375">
        <v>1</v>
      </c>
      <c r="T375">
        <v>1</v>
      </c>
      <c r="U375" t="s">
        <v>3623</v>
      </c>
      <c r="V375" t="str">
        <f t="shared" si="5"/>
        <v>{dwID=18579,nFrame=47,szNote="18579",col={0,255,0,},[3]={bCenterAlarm=true,bScreenHead=true,},[4]={bCenterAlarm=true,},aFocus={{dwMapID=-1,nMaxDistance=0,tRelation={bAll=true,bEnemy=false,bAlly=false,},tLife={bEnable=false,szOperator="&gt;",nValue=0,},},},},</v>
      </c>
    </row>
    <row r="376" spans="1:22" x14ac:dyDescent="0.15">
      <c r="C376">
        <v>18585</v>
      </c>
      <c r="D376">
        <v>47</v>
      </c>
      <c r="I376">
        <v>18585</v>
      </c>
      <c r="J376" t="s">
        <v>2168</v>
      </c>
      <c r="O376">
        <v>1</v>
      </c>
      <c r="P376">
        <v>1</v>
      </c>
      <c r="T376">
        <v>1</v>
      </c>
      <c r="U376" t="s">
        <v>3623</v>
      </c>
      <c r="V376" t="str">
        <f t="shared" si="5"/>
        <v>{dwID=18585,nFrame=47,szNote="18585",col={0,255,0,},[3]={bCenterAlarm=true,bScreenHead=true,},[4]={bCenterAlarm=true,},aFocus={{dwMapID=-1,nMaxDistance=0,tRelation={bAll=true,bEnemy=false,bAlly=false,},tLife={bEnable=false,szOperator="&gt;",nValue=0,},},},},</v>
      </c>
    </row>
    <row r="377" spans="1:22" x14ac:dyDescent="0.15">
      <c r="C377">
        <v>18577</v>
      </c>
      <c r="D377">
        <v>47</v>
      </c>
      <c r="I377">
        <v>18577</v>
      </c>
      <c r="J377" t="s">
        <v>2168</v>
      </c>
      <c r="O377">
        <v>1</v>
      </c>
      <c r="P377">
        <v>1</v>
      </c>
      <c r="T377">
        <v>1</v>
      </c>
      <c r="U377" t="s">
        <v>3623</v>
      </c>
      <c r="V377" t="str">
        <f t="shared" si="5"/>
        <v>{dwID=18577,nFrame=47,szNote="18577",col={0,255,0,},[3]={bCenterAlarm=true,bScreenHead=true,},[4]={bCenterAlarm=true,},aFocus={{dwMapID=-1,nMaxDistance=0,tRelation={bAll=true,bEnemy=false,bAlly=false,},tLife={bEnable=false,szOperator="&gt;",nValue=0,},},},},</v>
      </c>
    </row>
    <row r="378" spans="1:22" x14ac:dyDescent="0.15">
      <c r="C378">
        <v>18586</v>
      </c>
      <c r="D378">
        <v>47</v>
      </c>
      <c r="I378">
        <v>18586</v>
      </c>
      <c r="J378" t="s">
        <v>2168</v>
      </c>
      <c r="O378">
        <v>1</v>
      </c>
      <c r="P378">
        <v>1</v>
      </c>
      <c r="T378">
        <v>1</v>
      </c>
      <c r="U378" t="s">
        <v>3623</v>
      </c>
      <c r="V378" t="str">
        <f t="shared" si="5"/>
        <v>{dwID=18586,nFrame=47,szNote="18586",col={0,255,0,},[3]={bCenterAlarm=true,bScreenHead=true,},[4]={bCenterAlarm=true,},aFocus={{dwMapID=-1,nMaxDistance=0,tRelation={bAll=true,bEnemy=false,bAlly=false,},tLife={bEnable=false,szOperator="&gt;",nValue=0,},},},},</v>
      </c>
    </row>
    <row r="379" spans="1:22" x14ac:dyDescent="0.15">
      <c r="C379">
        <v>7605</v>
      </c>
      <c r="D379">
        <v>47</v>
      </c>
      <c r="I379" t="s">
        <v>3923</v>
      </c>
      <c r="J379" t="s">
        <v>2718</v>
      </c>
      <c r="P379">
        <v>1</v>
      </c>
      <c r="U379" t="s">
        <v>3924</v>
      </c>
      <c r="V379" t="str">
        <f t="shared" si="5"/>
        <v>{dwID=7605,nFrame=47,szNote="何非笑·阵营前置",col={255,255,100,},[3]={bScreenHead=true,},[4]={},aFocus={{dwMapID=-1,szDisplay="何非笑·阵营前置",nMaxDistance=0,tRelation={bAll=false,bEnemy=false,bAlly=true,},tLife={bEnable=false,szOperator="&gt;",nValue=0,},},},},</v>
      </c>
    </row>
    <row r="380" spans="1:22" x14ac:dyDescent="0.15">
      <c r="C380">
        <v>7606</v>
      </c>
      <c r="D380">
        <v>47</v>
      </c>
      <c r="I380" t="s">
        <v>3925</v>
      </c>
      <c r="J380" t="s">
        <v>3614</v>
      </c>
      <c r="P380">
        <v>1</v>
      </c>
      <c r="U380" t="s">
        <v>3926</v>
      </c>
      <c r="V380" t="str">
        <f t="shared" si="5"/>
        <v>{dwID=7606,nFrame=47,szNote="王洵·阵营前置",col={100,255,255,},[3]={bScreenHead=true,},[4]={},aFocus={{dwMapID=-1,szDisplay="王洵·阵营前置",nMaxDistance=20,tRelation={bAll=false,bEnemy=false,bAlly=true,},tLife={bEnable=false,szOperator="&gt;",nValue=0,},},},},</v>
      </c>
    </row>
    <row r="381" spans="1:22" x14ac:dyDescent="0.15">
      <c r="C381">
        <v>64733</v>
      </c>
      <c r="D381">
        <v>52</v>
      </c>
      <c r="I381" t="s">
        <v>3927</v>
      </c>
      <c r="P381">
        <v>1</v>
      </c>
      <c r="U381" t="s">
        <v>3928</v>
      </c>
      <c r="V381" t="str">
        <f t="shared" si="5"/>
        <v>{dwID=64733,nFrame=52,szNote="浩气牛车",[3]={bScreenHead=true,},[4]={},aFocus={{dwMapID=-1,szDisplay="浩气牛车·粮草先行",nMaxDistance=0,tRelation={bAll=true,bEnemy=false,bAlly=false,},tLife={bEnable=false,szOperator="&gt;",nValue=0,},},},},</v>
      </c>
    </row>
    <row r="382" spans="1:22" x14ac:dyDescent="0.15">
      <c r="C382">
        <v>64732</v>
      </c>
      <c r="D382">
        <v>52</v>
      </c>
      <c r="I382" t="s">
        <v>3929</v>
      </c>
      <c r="P382">
        <v>1</v>
      </c>
      <c r="U382" t="s">
        <v>3930</v>
      </c>
      <c r="V382" t="str">
        <f t="shared" si="5"/>
        <v>{dwID=64732,nFrame=52,szNote="恶人牛车",[3]={bScreenHead=true,},[4]={},aFocus={{dwMapID=-1,szDisplay="恶人牛车·粮草先行",nMaxDistance=0,tRelation={bAll=true,bEnemy=false,bAlly=false,},tLife={bEnable=false,szOperator="&gt;",nValue=0,},},},},</v>
      </c>
    </row>
    <row r="383" spans="1:22" x14ac:dyDescent="0.15">
      <c r="C383">
        <v>64731</v>
      </c>
      <c r="D383">
        <v>47</v>
      </c>
      <c r="I383" t="s">
        <v>3931</v>
      </c>
      <c r="P383">
        <v>1</v>
      </c>
      <c r="U383" t="s">
        <v>3932</v>
      </c>
      <c r="V383" t="str">
        <f t="shared" si="5"/>
        <v>{dwID=64731,nFrame=47,szNote="管良沧·粮草先行",[3]={bScreenHead=true,},[4]={},aFocus={{dwMapID=-1,szDisplay="管良沧·粮草先行",nMaxDistance=60,tRelation={bAll=false,bEnemy=false,bAlly=true,},tLife={bEnable=false,szOperator="&gt;",nValue=0,},},},},</v>
      </c>
    </row>
    <row r="384" spans="1:22" x14ac:dyDescent="0.15">
      <c r="C384">
        <v>64730</v>
      </c>
      <c r="D384">
        <v>47</v>
      </c>
      <c r="I384" t="s">
        <v>3933</v>
      </c>
      <c r="P384">
        <v>1</v>
      </c>
      <c r="U384" t="s">
        <v>3934</v>
      </c>
      <c r="V384" t="str">
        <f t="shared" si="5"/>
        <v>{dwID=64730,nFrame=47,szNote="苏才寥·粮草先行",[3]={bScreenHead=true,},[4]={},aFocus={{dwMapID=-1,szDisplay="苏才寥·粮草先行",nMaxDistance=60,tRelation={bAll=false,bEnemy=false,bAlly=true,},tLife={bEnable=false,szOperator="&gt;",nValue=0,},},},},</v>
      </c>
    </row>
    <row r="385" spans="1:23" x14ac:dyDescent="0.15">
      <c r="C385">
        <v>1317</v>
      </c>
      <c r="D385">
        <v>47</v>
      </c>
      <c r="I385" t="s">
        <v>3913</v>
      </c>
      <c r="P385">
        <v>1</v>
      </c>
      <c r="U385" t="s">
        <v>3914</v>
      </c>
      <c r="V385" t="str">
        <f t="shared" si="5"/>
        <v>{dwID=1317,nFrame=47,szNote="左破天",[3]={bScreenHead=true,},[4]={},aFocus={{dwMapID=-1,szDisplay="左破天·阵营前置",nMaxDistance=0,tRelation={bAll=true,bEnemy=false,bAlly=false,},tLife={bEnable=false,szOperator="&gt;",nValue=0,},},},tCountdown={{nClass=12,nIcon=13,nFrame=4,szName="左破天·刷新剩余",nTime=10.1,},},},</v>
      </c>
      <c r="W385" t="s">
        <v>3915</v>
      </c>
    </row>
    <row r="386" spans="1:23" x14ac:dyDescent="0.15">
      <c r="C386">
        <v>1308</v>
      </c>
      <c r="D386">
        <v>47</v>
      </c>
      <c r="I386" t="s">
        <v>3916</v>
      </c>
      <c r="P386">
        <v>1</v>
      </c>
      <c r="U386" t="s">
        <v>3917</v>
      </c>
      <c r="V386" t="str">
        <f t="shared" ref="V386:V449" si="6">IF(ISBLANK(B386)=FALSE,IF(ISBLANK(B385),"},["&amp;B386&amp;"]={","["&amp;B386&amp;"]={"),IF(AND(ISBLANK(B386),ISBLANK(D386),ISBLANK(C386),OR(ISBLANK(B385)=FALSE,ISBLANK(D385)=FALSE,ISBLANK(C385)=FALSE)),"},},}",IF(ISBLANK(C386),"","{dwID="&amp;C386&amp;","&amp;"nFrame="&amp;D386&amp;","&amp;IF(E386&gt;0,"nCount="&amp;E386&amp;",","")&amp;IF(F386&gt;0,"bAllLeave=true,","")&amp;IF(G386&lt;&gt;"","szName="""&amp;G386&amp;""",","")&amp;IF(H386&lt;&gt;"","tKungFu={"&amp;H386&amp;"},","")&amp;IF(I386&lt;&gt;"","szNote="""&amp;I386&amp;""",","")&amp;IF(J386&lt;&gt;"","col={"&amp;J386&amp;"},","")&amp;"[3]={"&amp;IF(K386&lt;&gt;"","tMark={"&amp;K386&amp;"},","")&amp;IF(L386&lt;&gt;"","szVoice="""&amp;L386&amp;""",","")&amp;IF(M386&gt;0,"bTeamChannel=true,","")&amp;IF(N386&gt;0,"bWhisperChannel=true,","")&amp;IF(O386&gt;0,"bCenterAlarm=true,","")&amp;IF(P386&gt;0,"bScreenHead=true,","")&amp;"},"&amp;"[4]={"&amp;IF(Q386&lt;&gt;"","szVoice="""&amp;Q386&amp;""",","")&amp;IF(R386&gt;0,"bTeamChannel=true,","")&amp;IF(S386&gt;0,"bWhisperChannel=true,","")&amp;IF(T386&gt;0,"bCenterAlarm=true,","")&amp;"},"&amp;IF(U386&lt;&gt;"","aFocus={"&amp;U386&amp;"},","")&amp;IF(W386&lt;&gt;"","tCountdown={"&amp;_xlfn.TEXTJOIN("",TRUE,W386:ZZ386)&amp;"},","")&amp;"},")))</f>
        <v>{dwID=1308,nFrame=47,szNote="郭海宾",[3]={bScreenHead=true,},[4]={},aFocus={{dwMapID=-1,szDisplay="郭海宾·阵营前置",nMaxDistance=0,tRelation={bAll=true,bEnemy=false,bAlly=false,},tLife={bEnable=false,szOperator="&gt;",nValue=0,},},},tCountdown={{nClass=12,nIcon=13,nFrame=4,szName="郭海宾·刷新剩余",nTime=10.1,},},},</v>
      </c>
      <c r="W386" t="s">
        <v>3918</v>
      </c>
    </row>
    <row r="387" spans="1:23" x14ac:dyDescent="0.15">
      <c r="C387">
        <v>6220</v>
      </c>
      <c r="D387">
        <v>47</v>
      </c>
      <c r="I387" t="s">
        <v>3935</v>
      </c>
      <c r="P387">
        <v>1</v>
      </c>
      <c r="U387" t="s">
        <v>3920</v>
      </c>
      <c r="V387" t="str">
        <f t="shared" si="6"/>
        <v>{dwID=6220,nFrame=47,szNote="赵新宇·阵营前置",[3]={bScreenHead=true,},[4]={},aFocus={{dwMapID=-1,szDisplay="赵新宇·阵营前置",nMaxDistance=0,tRelation={bAll=true,bEnemy=false,bAlly=false,},tLife={bEnable=false,szOperator="&gt;",nValue=0,},},},},</v>
      </c>
    </row>
    <row r="388" spans="1:23" x14ac:dyDescent="0.15">
      <c r="C388">
        <v>6219</v>
      </c>
      <c r="D388">
        <v>47</v>
      </c>
      <c r="I388" t="s">
        <v>3936</v>
      </c>
      <c r="P388">
        <v>1</v>
      </c>
      <c r="U388" t="s">
        <v>3937</v>
      </c>
      <c r="V388" t="str">
        <f t="shared" si="6"/>
        <v>{dwID=6219,nFrame=47,szNote="方超·阵营前置",[3]={bScreenHead=true,},[4]={},aFocus={{dwMapID=-1,szDisplay="方超·阵营前置",nMaxDistance=0,tRelation={bAll=true,bEnemy=false,bAlly=false,},tLife={bEnable=false,szOperator="&gt;",nValue=0,},},},},</v>
      </c>
    </row>
    <row r="389" spans="1:23" x14ac:dyDescent="0.15">
      <c r="C389">
        <v>36413</v>
      </c>
      <c r="D389">
        <v>52</v>
      </c>
      <c r="I389" t="s">
        <v>3938</v>
      </c>
      <c r="J389" t="s">
        <v>2168</v>
      </c>
      <c r="U389" t="s">
        <v>3939</v>
      </c>
      <c r="V389" t="str">
        <f t="shared" si="6"/>
        <v>{dwID=36413,nFrame=52,szNote="大旗·武王城",col={0,255,0,},[3]={},[4]={},aFocus={{dwMapID=-1,szDisplay="大旗·武王城",nMaxDistance=3,tRelation={bAll=true,bEnemy=false,bAlly=false,},tLife={bEnable=false,szOperator="&gt;",nValue=0,},},},},</v>
      </c>
    </row>
    <row r="390" spans="1:23" x14ac:dyDescent="0.15">
      <c r="A390" t="s">
        <v>234</v>
      </c>
      <c r="B390">
        <v>23</v>
      </c>
      <c r="V390" t="str">
        <f t="shared" si="6"/>
        <v>},[23]={</v>
      </c>
    </row>
    <row r="391" spans="1:23" x14ac:dyDescent="0.15">
      <c r="C391">
        <v>21065</v>
      </c>
      <c r="D391">
        <v>47</v>
      </c>
      <c r="J391" t="s">
        <v>2143</v>
      </c>
      <c r="U391" t="s">
        <v>3940</v>
      </c>
      <c r="V391" t="str">
        <f t="shared" si="6"/>
        <v>{dwID=21065,nFrame=47,col={255,255,0,},[3]={},[4]={},aFocus={{dwMapID=-1,szDisplay="飞石·锁定焦点",nMaxDistance=60,tRelation={bAll=true,bEnemy=false,bAlly=false,},tLife={bEnable=false,szOperator="&gt;",nValue=0,},},},tCountdown={{nClass=3,nIcon=17135,nFrame=5,szName="可右键锁定飞石焦点踩踏",nTime=10,nRefresh=7200,key="龙门飞剑·飞石",},},},</v>
      </c>
      <c r="W391" t="s">
        <v>3941</v>
      </c>
    </row>
    <row r="392" spans="1:23" x14ac:dyDescent="0.15">
      <c r="C392">
        <v>18575</v>
      </c>
      <c r="D392">
        <v>47</v>
      </c>
      <c r="J392" t="s">
        <v>3858</v>
      </c>
      <c r="O392">
        <v>1</v>
      </c>
      <c r="P392">
        <v>1</v>
      </c>
      <c r="T392">
        <v>1</v>
      </c>
      <c r="U392" t="s">
        <v>3623</v>
      </c>
      <c r="V392" t="str">
        <f t="shared" si="6"/>
        <v>{dwID=18575,nFrame=47,col={2,255,0,},[3]={bCenterAlarm=true,bScreenHead=true,},[4]={bCenterAlarm=true,},aFocus={{dwMapID=-1,nMaxDistance=0,tRelation={bAll=true,bEnemy=false,bAlly=false,},tLife={bEnable=false,szOperator="&gt;",nValue=0,},},},},</v>
      </c>
    </row>
    <row r="393" spans="1:23" x14ac:dyDescent="0.15">
      <c r="C393">
        <v>18573</v>
      </c>
      <c r="D393">
        <v>47</v>
      </c>
      <c r="J393" t="s">
        <v>2168</v>
      </c>
      <c r="O393">
        <v>1</v>
      </c>
      <c r="P393">
        <v>1</v>
      </c>
      <c r="T393">
        <v>1</v>
      </c>
      <c r="U393" t="s">
        <v>3623</v>
      </c>
      <c r="V393" t="str">
        <f t="shared" si="6"/>
        <v>{dwID=18573,nFrame=47,col={0,255,0,},[3]={bCenterAlarm=true,bScreenHead=true,},[4]={bCenterAlarm=true,},aFocus={{dwMapID=-1,nMaxDistance=0,tRelation={bAll=true,bEnemy=false,bAlly=false,},tLife={bEnable=false,szOperator="&gt;",nValue=0,},},},},</v>
      </c>
    </row>
    <row r="394" spans="1:23" x14ac:dyDescent="0.15">
      <c r="C394">
        <v>57929</v>
      </c>
      <c r="D394">
        <v>47</v>
      </c>
      <c r="I394" t="s">
        <v>3942</v>
      </c>
      <c r="J394" t="s">
        <v>2152</v>
      </c>
      <c r="P394">
        <v>1</v>
      </c>
      <c r="U394" t="s">
        <v>3943</v>
      </c>
      <c r="V394" t="str">
        <f t="shared" si="6"/>
        <v>{dwID=57929,nFrame=47,szNote="锋芒展·田语夕",col={0,255,255,},[3]={bScreenHead=true,},[4]={},aFocus={{dwMapID=-1,szDisplay="田语夕·锋芒展",nMaxDistance=30,tRelation={bAll=true,bEnemy=false,bAlly=false,},tLife={bEnable=false,szOperator="&gt;",nValue=0,},},},},</v>
      </c>
    </row>
    <row r="395" spans="1:23" x14ac:dyDescent="0.15">
      <c r="C395">
        <v>4178</v>
      </c>
      <c r="D395">
        <v>47</v>
      </c>
      <c r="I395" t="s">
        <v>3944</v>
      </c>
      <c r="U395" t="s">
        <v>3945</v>
      </c>
      <c r="V395" t="str">
        <f t="shared" si="6"/>
        <v>{dwID=4178,nFrame=47,szNote="锋芒展·金香玉",[3]={},[4]={},aFocus={{dwMapID=-1,szDisplay="金香玉·锋芒展",nMaxDistance=10,tRelation={bAll=true,bEnemy=false,bAlly=false,},tLife={bEnable=false,szOperator="&gt;",nValue=0,},},},},</v>
      </c>
    </row>
    <row r="396" spans="1:23" x14ac:dyDescent="0.15">
      <c r="C396">
        <v>57976</v>
      </c>
      <c r="D396">
        <v>47</v>
      </c>
      <c r="I396" t="s">
        <v>3946</v>
      </c>
      <c r="U396" t="s">
        <v>3947</v>
      </c>
      <c r="V396" t="str">
        <f t="shared" si="6"/>
        <v>{dwID=57976,nFrame=47,szNote="锋芒展·张壮壮",[3]={},[4]={},aFocus={{dwMapID=-1,szDisplay="张壮壮·锋芒展",nMaxDistance=60,tRelation={bAll=true,bEnemy=false,bAlly=false,},tLife={bEnable=false,szOperator="&gt;",nValue=0,},},},},</v>
      </c>
    </row>
    <row r="397" spans="1:23" x14ac:dyDescent="0.15">
      <c r="C397">
        <v>58018</v>
      </c>
      <c r="D397">
        <v>47</v>
      </c>
      <c r="I397" t="s">
        <v>3948</v>
      </c>
      <c r="U397" t="s">
        <v>3949</v>
      </c>
      <c r="V397" t="str">
        <f t="shared" si="6"/>
        <v>{dwID=58018,nFrame=47,szNote="锋芒展·阿布拉",[3]={},[4]={},aFocus={{dwMapID=-1,szDisplay="阿布拉·锋芒展",nMaxDistance=90,tRelation={bAll=true,bEnemy=false,bAlly=false,},tLife={bEnable=false,szOperator="&gt;",nValue=0,},},},},</v>
      </c>
    </row>
    <row r="398" spans="1:23" x14ac:dyDescent="0.15">
      <c r="C398">
        <v>58025</v>
      </c>
      <c r="D398">
        <v>47</v>
      </c>
      <c r="I398" t="s">
        <v>3950</v>
      </c>
      <c r="U398" t="s">
        <v>3951</v>
      </c>
      <c r="V398" t="str">
        <f t="shared" si="6"/>
        <v>{dwID=58025,nFrame=47,szNote="锋芒展·田启晔",[3]={},[4]={},aFocus={{dwMapID=-1,szDisplay="田启晔·锋芒展",nMaxDistance=90,tRelation={bAll=true,bEnemy=false,bAlly=false,},tLife={bEnable=false,szOperator="&gt;",nValue=0,},},},},</v>
      </c>
    </row>
    <row r="399" spans="1:23" x14ac:dyDescent="0.15">
      <c r="C399">
        <v>58107</v>
      </c>
      <c r="D399">
        <v>57</v>
      </c>
      <c r="I399" t="s">
        <v>3952</v>
      </c>
      <c r="U399" t="s">
        <v>3953</v>
      </c>
      <c r="V399" t="str">
        <f t="shared" si="6"/>
        <v>{dwID=58107,nFrame=57,szNote="锋芒展·查瑞",[3]={},[4]={},aFocus={{dwMapID=-1,szDisplay="查瑞·锋芒展",nMaxDistance=60,tRelation={bAll=true,bEnemy=false,bAlly=false,},tLife={bEnable=false,szOperator="&gt;",nValue=0,},},},},</v>
      </c>
    </row>
    <row r="400" spans="1:23" x14ac:dyDescent="0.15">
      <c r="C400">
        <v>36414</v>
      </c>
      <c r="D400">
        <v>52</v>
      </c>
      <c r="I400" t="s">
        <v>3954</v>
      </c>
      <c r="J400" t="s">
        <v>2168</v>
      </c>
      <c r="P400">
        <v>1</v>
      </c>
      <c r="U400" t="s">
        <v>3955</v>
      </c>
      <c r="V400" t="str">
        <f t="shared" si="6"/>
        <v>{dwID=36414,nFrame=52,szNote="大旗·龙门镇",col={0,255,0,},[3]={bScreenHead=true,},[4]={},aFocus={{dwMapID=-1,szDisplay="大旗·龙门镇",nMaxDistance=3,tRelation={bAll=true,bEnemy=false,bAlly=false,},tLife={bEnable=false,szOperator="&gt;",nValue=0,},},},},</v>
      </c>
    </row>
    <row r="401" spans="1:23" x14ac:dyDescent="0.15">
      <c r="C401">
        <v>36415</v>
      </c>
      <c r="D401">
        <v>52</v>
      </c>
      <c r="I401" t="s">
        <v>3956</v>
      </c>
      <c r="J401" t="s">
        <v>2168</v>
      </c>
      <c r="P401">
        <v>1</v>
      </c>
      <c r="U401" t="s">
        <v>3957</v>
      </c>
      <c r="V401" t="str">
        <f t="shared" si="6"/>
        <v>{dwID=36415,nFrame=52,szNote="大旗·飞沙关",col={0,255,0,},[3]={bScreenHead=true,},[4]={},aFocus={{dwMapID=-1,szDisplay="大旗·飞沙关",nMaxDistance=3,tRelation={bAll=true,bEnemy=false,bAlly=false,},tLife={bEnable=false,szOperator="&gt;",nValue=0,},},},},</v>
      </c>
    </row>
    <row r="402" spans="1:23" x14ac:dyDescent="0.15">
      <c r="C402">
        <v>7604</v>
      </c>
      <c r="D402">
        <v>47</v>
      </c>
      <c r="I402" t="s">
        <v>3923</v>
      </c>
      <c r="J402" t="s">
        <v>2718</v>
      </c>
      <c r="P402">
        <v>1</v>
      </c>
      <c r="U402" t="s">
        <v>3924</v>
      </c>
      <c r="V402" t="str">
        <f t="shared" si="6"/>
        <v>{dwID=7604,nFrame=47,szNote="何非笑·阵营前置",col={255,255,100,},[3]={bScreenHead=true,},[4]={},aFocus={{dwMapID=-1,szDisplay="何非笑·阵营前置",nMaxDistance=0,tRelation={bAll=false,bEnemy=false,bAlly=true,},tLife={bEnable=false,szOperator="&gt;",nValue=0,},},},},</v>
      </c>
    </row>
    <row r="403" spans="1:23" x14ac:dyDescent="0.15">
      <c r="C403">
        <v>7607</v>
      </c>
      <c r="D403">
        <v>47</v>
      </c>
      <c r="I403" t="s">
        <v>3925</v>
      </c>
      <c r="J403" t="s">
        <v>3614</v>
      </c>
      <c r="P403">
        <v>1</v>
      </c>
      <c r="U403" t="s">
        <v>3926</v>
      </c>
      <c r="V403" t="str">
        <f t="shared" si="6"/>
        <v>{dwID=7607,nFrame=47,szNote="王洵·阵营前置",col={100,255,255,},[3]={bScreenHead=true,},[4]={},aFocus={{dwMapID=-1,szDisplay="王洵·阵营前置",nMaxDistance=20,tRelation={bAll=false,bEnemy=false,bAlly=true,},tLife={bEnable=false,szOperator="&gt;",nValue=0,},},},},</v>
      </c>
    </row>
    <row r="404" spans="1:23" x14ac:dyDescent="0.15">
      <c r="C404">
        <v>1215</v>
      </c>
      <c r="D404">
        <v>47</v>
      </c>
      <c r="I404" t="s">
        <v>3958</v>
      </c>
      <c r="P404">
        <v>1</v>
      </c>
      <c r="U404" t="s">
        <v>3644</v>
      </c>
      <c r="V404" t="str">
        <f t="shared" si="6"/>
        <v>{dwID=1215,nFrame=47,szNote="于成仇",[3]={bScreenHead=true,},[4]={},aFocus={{dwMapID=-1,nMaxDistance=0,tRelation={bAll=false,bEnemy=true,bAlly=false,},tLife={bEnable=false,szOperator="&gt;",nValue=0,},},},tCountdown={{nClass=12,nIcon=13,nFrame=4,szName="于成仇·刷新剩余",nTime=10.1,},},},</v>
      </c>
      <c r="W404" t="s">
        <v>3959</v>
      </c>
    </row>
    <row r="405" spans="1:23" x14ac:dyDescent="0.15">
      <c r="C405">
        <v>1217</v>
      </c>
      <c r="D405">
        <v>47</v>
      </c>
      <c r="I405" t="s">
        <v>3960</v>
      </c>
      <c r="P405">
        <v>1</v>
      </c>
      <c r="U405" t="s">
        <v>3644</v>
      </c>
      <c r="V405" t="str">
        <f t="shared" si="6"/>
        <v>{dwID=1217,nFrame=47,szNote="阎世通",[3]={bScreenHead=true,},[4]={},aFocus={{dwMapID=-1,nMaxDistance=0,tRelation={bAll=false,bEnemy=true,bAlly=false,},tLife={bEnable=false,szOperator="&gt;",nValue=0,},},},tCountdown={{nClass=12,nIcon=13,nFrame=4,szName="阎世通·刷新剩余",nTime=10.1,},},},</v>
      </c>
      <c r="W405" t="s">
        <v>3961</v>
      </c>
    </row>
    <row r="406" spans="1:23" x14ac:dyDescent="0.15">
      <c r="C406">
        <v>6222</v>
      </c>
      <c r="D406">
        <v>47</v>
      </c>
      <c r="I406" t="s">
        <v>3962</v>
      </c>
      <c r="P406">
        <v>1</v>
      </c>
      <c r="U406" t="s">
        <v>3963</v>
      </c>
      <c r="V406" t="str">
        <f t="shared" si="6"/>
        <v>{dwID=6222,nFrame=47,szNote="霸图·阵营前置",[3]={bScreenHead=true,},[4]={},aFocus={{dwMapID=-1,szDisplay="霸图·阵营前置",nMaxDistance=0,tRelation={bAll=true,bEnemy=false,bAlly=false,},tLife={bEnable=false,szOperator="&gt;",nValue=0,},},},},</v>
      </c>
    </row>
    <row r="407" spans="1:23" x14ac:dyDescent="0.15">
      <c r="C407">
        <v>6221</v>
      </c>
      <c r="D407">
        <v>47</v>
      </c>
      <c r="I407" t="s">
        <v>3964</v>
      </c>
      <c r="P407">
        <v>1</v>
      </c>
      <c r="U407" t="s">
        <v>3965</v>
      </c>
      <c r="V407" t="str">
        <f t="shared" si="6"/>
        <v>{dwID=6221,nFrame=47,szNote="孙永恒·阵营前置",[3]={bScreenHead=true,},[4]={},aFocus={{dwMapID=-1,szDisplay="孙永恒·阵营前置",nMaxDistance=0,tRelation={bAll=true,bEnemy=false,bAlly=false,},tLife={bEnable=false,szOperator="&gt;",nValue=0,},},},},</v>
      </c>
    </row>
    <row r="408" spans="1:23" x14ac:dyDescent="0.15">
      <c r="C408">
        <v>56418</v>
      </c>
      <c r="D408">
        <v>47</v>
      </c>
      <c r="I408" t="s">
        <v>3966</v>
      </c>
      <c r="J408" t="s">
        <v>2168</v>
      </c>
      <c r="P408">
        <v>1</v>
      </c>
      <c r="U408" t="s">
        <v>3967</v>
      </c>
      <c r="V408" t="str">
        <f t="shared" si="6"/>
        <v>{dwID=56418,nFrame=47,szNote="休憩的商人",col={0,255,0,},[3]={bScreenHead=true,},[4]={},aFocus={{dwMapID=-1,nMaxDistance=10,tRelation={bAll=false,bEnemy=false,bAlly=true,},tLife={bEnable=true,szOperator="==",nValue=100,},},},},</v>
      </c>
    </row>
    <row r="409" spans="1:23" x14ac:dyDescent="0.15">
      <c r="C409">
        <v>1193</v>
      </c>
      <c r="D409">
        <v>47</v>
      </c>
      <c r="I409" t="s">
        <v>3968</v>
      </c>
      <c r="J409" t="s">
        <v>2168</v>
      </c>
      <c r="P409">
        <v>1</v>
      </c>
      <c r="U409" t="s">
        <v>3969</v>
      </c>
      <c r="V409" t="str">
        <f t="shared" si="6"/>
        <v>{dwID=1193,nFrame=47,szNote="被虏的江湖人士",col={0,255,0,},[3]={bScreenHead=true,},[4]={},aFocus={{dwMapID=-1,nMaxDistance=3,tRelation={bAll=false,bEnemy=false,bAlly=true,},tLife={bEnable=false,szOperator="&gt;",nValue=0,},},},},</v>
      </c>
    </row>
    <row r="410" spans="1:23" x14ac:dyDescent="0.15">
      <c r="C410">
        <v>16540</v>
      </c>
      <c r="D410">
        <v>47</v>
      </c>
      <c r="I410" t="s">
        <v>3970</v>
      </c>
      <c r="J410" t="s">
        <v>2168</v>
      </c>
      <c r="P410">
        <v>1</v>
      </c>
      <c r="U410" t="s">
        <v>3731</v>
      </c>
      <c r="V410" t="str">
        <f t="shared" si="6"/>
        <v>{dwID=16540,nFrame=47,szNote="凌燕丘",col={0,255,0,},[3]={bScreenHead=true,},[4]={},aFocus={{dwMapID=-1,nMaxDistance=3,tRelation={bAll=true,bEnemy=false,bAlly=false,},tLife={bEnable=false,szOperator="&gt;",nValue=0,},},},},</v>
      </c>
    </row>
    <row r="411" spans="1:23" x14ac:dyDescent="0.15">
      <c r="A411" t="s">
        <v>240</v>
      </c>
      <c r="B411">
        <v>25</v>
      </c>
      <c r="V411" t="str">
        <f t="shared" si="6"/>
        <v>},[25]={</v>
      </c>
    </row>
    <row r="412" spans="1:23" x14ac:dyDescent="0.15">
      <c r="C412">
        <v>5724</v>
      </c>
      <c r="D412">
        <v>47</v>
      </c>
      <c r="I412" t="s">
        <v>3971</v>
      </c>
      <c r="J412" t="s">
        <v>2330</v>
      </c>
      <c r="P412">
        <v>1</v>
      </c>
      <c r="U412" t="s">
        <v>3972</v>
      </c>
      <c r="V412" t="str">
        <f t="shared" si="6"/>
        <v>{dwID=5724,nFrame=47,szNote="铁铸刚",col={31,255,255,},[3]={bScreenHead=true,},[4]={},aFocus={{dwMapID=-1,nMaxDistance=60,tRelation={bAll=true,bEnemy=false,bAlly=false,},tLife={bEnable=true,szOperator="&gt;",nValue=98,},},},},</v>
      </c>
    </row>
    <row r="413" spans="1:23" x14ac:dyDescent="0.15">
      <c r="C413">
        <v>6230</v>
      </c>
      <c r="D413">
        <v>47</v>
      </c>
      <c r="J413" t="s">
        <v>2305</v>
      </c>
      <c r="P413">
        <v>1</v>
      </c>
      <c r="U413" t="s">
        <v>3973</v>
      </c>
      <c r="V413" t="str">
        <f t="shared" si="6"/>
        <v>{dwID=6230,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14" spans="1:23" x14ac:dyDescent="0.15">
      <c r="C414">
        <v>7766</v>
      </c>
      <c r="D414">
        <v>47</v>
      </c>
      <c r="J414" t="s">
        <v>2305</v>
      </c>
      <c r="P414">
        <v>1</v>
      </c>
      <c r="U414" t="s">
        <v>3973</v>
      </c>
      <c r="V414" t="str">
        <f t="shared" si="6"/>
        <v>{dwID=7766,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15" spans="1:23" x14ac:dyDescent="0.15">
      <c r="C415">
        <v>7767</v>
      </c>
      <c r="D415">
        <v>47</v>
      </c>
      <c r="J415" t="s">
        <v>2305</v>
      </c>
      <c r="P415">
        <v>1</v>
      </c>
      <c r="U415" t="s">
        <v>3973</v>
      </c>
      <c r="V415" t="str">
        <f t="shared" si="6"/>
        <v>{dwID=7767,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16" spans="1:23" x14ac:dyDescent="0.15">
      <c r="C416">
        <v>7770</v>
      </c>
      <c r="D416">
        <v>47</v>
      </c>
      <c r="J416" t="s">
        <v>2305</v>
      </c>
      <c r="P416">
        <v>1</v>
      </c>
      <c r="U416" t="s">
        <v>3973</v>
      </c>
      <c r="V416" t="str">
        <f t="shared" si="6"/>
        <v>{dwID=7770,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17" spans="3:22" x14ac:dyDescent="0.15">
      <c r="C417">
        <v>7775</v>
      </c>
      <c r="D417">
        <v>47</v>
      </c>
      <c r="J417" t="s">
        <v>2305</v>
      </c>
      <c r="P417">
        <v>1</v>
      </c>
      <c r="U417" t="s">
        <v>3973</v>
      </c>
      <c r="V417" t="str">
        <f t="shared" si="6"/>
        <v>{dwID=7775,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18" spans="3:22" x14ac:dyDescent="0.15">
      <c r="C418">
        <v>7776</v>
      </c>
      <c r="D418">
        <v>47</v>
      </c>
      <c r="J418" t="s">
        <v>2305</v>
      </c>
      <c r="P418">
        <v>1</v>
      </c>
      <c r="U418" t="s">
        <v>3973</v>
      </c>
      <c r="V418" t="str">
        <f t="shared" si="6"/>
        <v>{dwID=7776,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19" spans="3:22" x14ac:dyDescent="0.15">
      <c r="C419">
        <v>7777</v>
      </c>
      <c r="D419">
        <v>47</v>
      </c>
      <c r="J419" t="s">
        <v>2305</v>
      </c>
      <c r="P419">
        <v>1</v>
      </c>
      <c r="U419" t="s">
        <v>3973</v>
      </c>
      <c r="V419" t="str">
        <f t="shared" si="6"/>
        <v>{dwID=7777,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20" spans="3:22" x14ac:dyDescent="0.15">
      <c r="C420">
        <v>7779</v>
      </c>
      <c r="D420">
        <v>47</v>
      </c>
      <c r="J420" t="s">
        <v>2305</v>
      </c>
      <c r="P420">
        <v>1</v>
      </c>
      <c r="U420" t="s">
        <v>3973</v>
      </c>
      <c r="V420" t="str">
        <f t="shared" si="6"/>
        <v>{dwID=7779,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21" spans="3:22" x14ac:dyDescent="0.15">
      <c r="C421">
        <v>7783</v>
      </c>
      <c r="D421">
        <v>47</v>
      </c>
      <c r="J421" t="s">
        <v>2305</v>
      </c>
      <c r="P421">
        <v>1</v>
      </c>
      <c r="U421" t="s">
        <v>3973</v>
      </c>
      <c r="V421" t="str">
        <f t="shared" si="6"/>
        <v>{dwID=7783,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22" spans="3:22" x14ac:dyDescent="0.15">
      <c r="C422">
        <v>8952</v>
      </c>
      <c r="D422">
        <v>47</v>
      </c>
      <c r="J422" t="s">
        <v>2305</v>
      </c>
      <c r="P422">
        <v>1</v>
      </c>
      <c r="U422" t="s">
        <v>3973</v>
      </c>
      <c r="V422" t="str">
        <f t="shared" si="6"/>
        <v>{dwID=8952,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23" spans="3:22" x14ac:dyDescent="0.15">
      <c r="C423">
        <v>8953</v>
      </c>
      <c r="D423">
        <v>47</v>
      </c>
      <c r="J423" t="s">
        <v>2305</v>
      </c>
      <c r="P423">
        <v>1</v>
      </c>
      <c r="U423" t="s">
        <v>3973</v>
      </c>
      <c r="V423" t="str">
        <f t="shared" si="6"/>
        <v>{dwID=8953,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24" spans="3:22" x14ac:dyDescent="0.15">
      <c r="C424">
        <v>8954</v>
      </c>
      <c r="D424">
        <v>47</v>
      </c>
      <c r="J424" t="s">
        <v>2305</v>
      </c>
      <c r="P424">
        <v>1</v>
      </c>
      <c r="U424" t="s">
        <v>3973</v>
      </c>
      <c r="V424" t="str">
        <f t="shared" si="6"/>
        <v>{dwID=8954,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25" spans="3:22" x14ac:dyDescent="0.15">
      <c r="C425">
        <v>16893</v>
      </c>
      <c r="D425">
        <v>47</v>
      </c>
      <c r="J425" t="s">
        <v>2305</v>
      </c>
      <c r="P425">
        <v>1</v>
      </c>
      <c r="U425" t="s">
        <v>3973</v>
      </c>
      <c r="V425" t="str">
        <f t="shared" si="6"/>
        <v>{dwID=16893,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26" spans="3:22" x14ac:dyDescent="0.15">
      <c r="C426">
        <v>16894</v>
      </c>
      <c r="D426">
        <v>47</v>
      </c>
      <c r="J426" t="s">
        <v>2305</v>
      </c>
      <c r="P426">
        <v>1</v>
      </c>
      <c r="U426" t="s">
        <v>3973</v>
      </c>
      <c r="V426" t="str">
        <f t="shared" si="6"/>
        <v>{dwID=16894,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27" spans="3:22" x14ac:dyDescent="0.15">
      <c r="C427">
        <v>16896</v>
      </c>
      <c r="D427">
        <v>47</v>
      </c>
      <c r="J427" t="s">
        <v>2305</v>
      </c>
      <c r="P427">
        <v>1</v>
      </c>
      <c r="U427" t="s">
        <v>3973</v>
      </c>
      <c r="V427" t="str">
        <f t="shared" si="6"/>
        <v>{dwID=16896,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28" spans="3:22" x14ac:dyDescent="0.15">
      <c r="C428">
        <v>16899</v>
      </c>
      <c r="D428">
        <v>47</v>
      </c>
      <c r="J428" t="s">
        <v>2305</v>
      </c>
      <c r="P428">
        <v>1</v>
      </c>
      <c r="U428" t="s">
        <v>3973</v>
      </c>
      <c r="V428" t="str">
        <f t="shared" si="6"/>
        <v>{dwID=16899,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29" spans="3:22" x14ac:dyDescent="0.15">
      <c r="C429">
        <v>16900</v>
      </c>
      <c r="D429">
        <v>47</v>
      </c>
      <c r="J429" t="s">
        <v>2305</v>
      </c>
      <c r="P429">
        <v>1</v>
      </c>
      <c r="U429" t="s">
        <v>3973</v>
      </c>
      <c r="V429" t="str">
        <f t="shared" si="6"/>
        <v>{dwID=16900,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30" spans="3:22" x14ac:dyDescent="0.15">
      <c r="C430">
        <v>16902</v>
      </c>
      <c r="D430">
        <v>47</v>
      </c>
      <c r="J430" t="s">
        <v>2305</v>
      </c>
      <c r="P430">
        <v>1</v>
      </c>
      <c r="U430" t="s">
        <v>3973</v>
      </c>
      <c r="V430" t="str">
        <f t="shared" si="6"/>
        <v>{dwID=16902,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31" spans="3:22" x14ac:dyDescent="0.15">
      <c r="C431">
        <v>16903</v>
      </c>
      <c r="D431">
        <v>47</v>
      </c>
      <c r="J431" t="s">
        <v>2305</v>
      </c>
      <c r="P431">
        <v>1</v>
      </c>
      <c r="U431" t="s">
        <v>3973</v>
      </c>
      <c r="V431" t="str">
        <f t="shared" si="6"/>
        <v>{dwID=16903,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32" spans="3:22" x14ac:dyDescent="0.15">
      <c r="C432">
        <v>16905</v>
      </c>
      <c r="D432">
        <v>47</v>
      </c>
      <c r="J432" t="s">
        <v>2305</v>
      </c>
      <c r="P432">
        <v>1</v>
      </c>
      <c r="U432" t="s">
        <v>3973</v>
      </c>
      <c r="V432" t="str">
        <f t="shared" si="6"/>
        <v>{dwID=16905,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33" spans="3:22" x14ac:dyDescent="0.15">
      <c r="C433">
        <v>17237</v>
      </c>
      <c r="D433">
        <v>47</v>
      </c>
      <c r="J433" t="s">
        <v>2305</v>
      </c>
      <c r="P433">
        <v>1</v>
      </c>
      <c r="U433" t="s">
        <v>3973</v>
      </c>
      <c r="V433" t="str">
        <f t="shared" si="6"/>
        <v>{dwID=17237,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34" spans="3:22" x14ac:dyDescent="0.15">
      <c r="C434">
        <v>17238</v>
      </c>
      <c r="D434">
        <v>47</v>
      </c>
      <c r="J434" t="s">
        <v>2305</v>
      </c>
      <c r="P434">
        <v>1</v>
      </c>
      <c r="U434" t="s">
        <v>3973</v>
      </c>
      <c r="V434" t="str">
        <f t="shared" si="6"/>
        <v>{dwID=17238,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35" spans="3:22" x14ac:dyDescent="0.15">
      <c r="C435">
        <v>17239</v>
      </c>
      <c r="D435">
        <v>47</v>
      </c>
      <c r="J435" t="s">
        <v>2305</v>
      </c>
      <c r="P435">
        <v>1</v>
      </c>
      <c r="U435" t="s">
        <v>3973</v>
      </c>
      <c r="V435" t="str">
        <f t="shared" si="6"/>
        <v>{dwID=17239,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36" spans="3:22" x14ac:dyDescent="0.15">
      <c r="C436">
        <v>17240</v>
      </c>
      <c r="D436">
        <v>47</v>
      </c>
      <c r="J436" t="s">
        <v>2305</v>
      </c>
      <c r="P436">
        <v>1</v>
      </c>
      <c r="U436" t="s">
        <v>3973</v>
      </c>
      <c r="V436" t="str">
        <f t="shared" si="6"/>
        <v>{dwID=17240,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37" spans="3:22" x14ac:dyDescent="0.15">
      <c r="C437">
        <v>105585</v>
      </c>
      <c r="D437">
        <v>47</v>
      </c>
      <c r="J437" t="s">
        <v>2305</v>
      </c>
      <c r="P437">
        <v>1</v>
      </c>
      <c r="U437" t="s">
        <v>3973</v>
      </c>
      <c r="V437" t="str">
        <f t="shared" si="6"/>
        <v>{dwID=105585,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38" spans="3:22" x14ac:dyDescent="0.15">
      <c r="C438">
        <v>105586</v>
      </c>
      <c r="D438">
        <v>47</v>
      </c>
      <c r="J438" t="s">
        <v>2305</v>
      </c>
      <c r="P438">
        <v>1</v>
      </c>
      <c r="U438" t="s">
        <v>3973</v>
      </c>
      <c r="V438" t="str">
        <f t="shared" si="6"/>
        <v>{dwID=105586,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39" spans="3:22" x14ac:dyDescent="0.15">
      <c r="C439">
        <v>105627</v>
      </c>
      <c r="D439">
        <v>47</v>
      </c>
      <c r="J439" t="s">
        <v>2305</v>
      </c>
      <c r="P439">
        <v>1</v>
      </c>
      <c r="U439" t="s">
        <v>3973</v>
      </c>
      <c r="V439" t="str">
        <f t="shared" si="6"/>
        <v>{dwID=105627,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40" spans="3:22" x14ac:dyDescent="0.15">
      <c r="C440">
        <v>105673</v>
      </c>
      <c r="D440">
        <v>47</v>
      </c>
      <c r="J440" t="s">
        <v>2305</v>
      </c>
      <c r="P440">
        <v>1</v>
      </c>
      <c r="U440" t="s">
        <v>3973</v>
      </c>
      <c r="V440" t="str">
        <f t="shared" si="6"/>
        <v>{dwID=105673,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41" spans="3:22" x14ac:dyDescent="0.15">
      <c r="C441">
        <v>105700</v>
      </c>
      <c r="D441">
        <v>47</v>
      </c>
      <c r="J441" t="s">
        <v>2305</v>
      </c>
      <c r="P441">
        <v>1</v>
      </c>
      <c r="U441" t="s">
        <v>3973</v>
      </c>
      <c r="V441" t="str">
        <f t="shared" si="6"/>
        <v>{dwID=105700,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42" spans="3:22" x14ac:dyDescent="0.15">
      <c r="C442">
        <v>105701</v>
      </c>
      <c r="D442">
        <v>47</v>
      </c>
      <c r="J442" t="s">
        <v>2305</v>
      </c>
      <c r="P442">
        <v>1</v>
      </c>
      <c r="U442" t="s">
        <v>3973</v>
      </c>
      <c r="V442" t="str">
        <f t="shared" si="6"/>
        <v>{dwID=105701,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43" spans="3:22" x14ac:dyDescent="0.15">
      <c r="C443">
        <v>105770</v>
      </c>
      <c r="D443">
        <v>47</v>
      </c>
      <c r="J443" t="s">
        <v>2305</v>
      </c>
      <c r="P443">
        <v>1</v>
      </c>
      <c r="U443" t="s">
        <v>3973</v>
      </c>
      <c r="V443" t="str">
        <f t="shared" si="6"/>
        <v>{dwID=105770,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44" spans="3:22" x14ac:dyDescent="0.15">
      <c r="C444">
        <v>105789</v>
      </c>
      <c r="D444">
        <v>47</v>
      </c>
      <c r="J444" t="s">
        <v>2305</v>
      </c>
      <c r="P444">
        <v>1</v>
      </c>
      <c r="U444" t="s">
        <v>3973</v>
      </c>
      <c r="V444" t="str">
        <f t="shared" si="6"/>
        <v>{dwID=105789,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45" spans="3:22" x14ac:dyDescent="0.15">
      <c r="C445">
        <v>105790</v>
      </c>
      <c r="D445">
        <v>47</v>
      </c>
      <c r="J445" t="s">
        <v>2305</v>
      </c>
      <c r="P445">
        <v>1</v>
      </c>
      <c r="U445" t="s">
        <v>3973</v>
      </c>
      <c r="V445" t="str">
        <f t="shared" si="6"/>
        <v>{dwID=105790,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46" spans="3:22" x14ac:dyDescent="0.15">
      <c r="C446">
        <v>105791</v>
      </c>
      <c r="D446">
        <v>47</v>
      </c>
      <c r="J446" t="s">
        <v>2305</v>
      </c>
      <c r="P446">
        <v>1</v>
      </c>
      <c r="U446" t="s">
        <v>3973</v>
      </c>
      <c r="V446" t="str">
        <f t="shared" si="6"/>
        <v>{dwID=105791,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47" spans="3:22" x14ac:dyDescent="0.15">
      <c r="C447">
        <v>105800</v>
      </c>
      <c r="D447">
        <v>47</v>
      </c>
      <c r="J447" t="s">
        <v>2305</v>
      </c>
      <c r="P447">
        <v>1</v>
      </c>
      <c r="U447" t="s">
        <v>3973</v>
      </c>
      <c r="V447" t="str">
        <f t="shared" si="6"/>
        <v>{dwID=105800,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48" spans="3:22" x14ac:dyDescent="0.15">
      <c r="C448">
        <v>105801</v>
      </c>
      <c r="D448">
        <v>47</v>
      </c>
      <c r="J448" t="s">
        <v>2305</v>
      </c>
      <c r="P448">
        <v>1</v>
      </c>
      <c r="U448" t="s">
        <v>3973</v>
      </c>
      <c r="V448" t="str">
        <f t="shared" si="6"/>
        <v>{dwID=105801,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49" spans="1:22" x14ac:dyDescent="0.15">
      <c r="C449">
        <v>105802</v>
      </c>
      <c r="D449">
        <v>47</v>
      </c>
      <c r="J449" t="s">
        <v>2305</v>
      </c>
      <c r="P449">
        <v>1</v>
      </c>
      <c r="U449" t="s">
        <v>3973</v>
      </c>
      <c r="V449" t="str">
        <f t="shared" si="6"/>
        <v>{dwID=105802,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50" spans="1:22" x14ac:dyDescent="0.15">
      <c r="C450">
        <v>105828</v>
      </c>
      <c r="D450">
        <v>47</v>
      </c>
      <c r="J450" t="s">
        <v>2305</v>
      </c>
      <c r="P450">
        <v>1</v>
      </c>
      <c r="U450" t="s">
        <v>3973</v>
      </c>
      <c r="V450" t="str">
        <f t="shared" ref="V450:V513" si="7">IF(ISBLANK(B450)=FALSE,IF(ISBLANK(B449),"},["&amp;B450&amp;"]={","["&amp;B450&amp;"]={"),IF(AND(ISBLANK(B450),ISBLANK(D450),ISBLANK(C450),OR(ISBLANK(B449)=FALSE,ISBLANK(D449)=FALSE,ISBLANK(C449)=FALSE)),"},},}",IF(ISBLANK(C450),"","{dwID="&amp;C450&amp;","&amp;"nFrame="&amp;D450&amp;","&amp;IF(E450&gt;0,"nCount="&amp;E450&amp;",","")&amp;IF(F450&gt;0,"bAllLeave=true,","")&amp;IF(G450&lt;&gt;"","szName="""&amp;G450&amp;""",","")&amp;IF(H450&lt;&gt;"","tKungFu={"&amp;H450&amp;"},","")&amp;IF(I450&lt;&gt;"","szNote="""&amp;I450&amp;""",","")&amp;IF(J450&lt;&gt;"","col={"&amp;J450&amp;"},","")&amp;"[3]={"&amp;IF(K450&lt;&gt;"","tMark={"&amp;K450&amp;"},","")&amp;IF(L450&lt;&gt;"","szVoice="""&amp;L450&amp;""",","")&amp;IF(M450&gt;0,"bTeamChannel=true,","")&amp;IF(N450&gt;0,"bWhisperChannel=true,","")&amp;IF(O450&gt;0,"bCenterAlarm=true,","")&amp;IF(P450&gt;0,"bScreenHead=true,","")&amp;"},"&amp;"[4]={"&amp;IF(Q450&lt;&gt;"","szVoice="""&amp;Q450&amp;""",","")&amp;IF(R450&gt;0,"bTeamChannel=true,","")&amp;IF(S450&gt;0,"bWhisperChannel=true,","")&amp;IF(T450&gt;0,"bCenterAlarm=true,","")&amp;"},"&amp;IF(U450&lt;&gt;"","aFocus={"&amp;U450&amp;"},","")&amp;IF(W450&lt;&gt;"","tCountdown={"&amp;_xlfn.TEXTJOIN("",TRUE,W450:ZZ450)&amp;"},","")&amp;"},")))</f>
        <v>{dwID=105828,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51" spans="1:22" x14ac:dyDescent="0.15">
      <c r="C451">
        <v>106924</v>
      </c>
      <c r="D451">
        <v>47</v>
      </c>
      <c r="J451" t="s">
        <v>2305</v>
      </c>
      <c r="P451">
        <v>1</v>
      </c>
      <c r="U451" t="s">
        <v>3973</v>
      </c>
      <c r="V451" t="str">
        <f t="shared" si="7"/>
        <v>{dwID=106924,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52" spans="1:22" x14ac:dyDescent="0.15">
      <c r="C452">
        <v>7607</v>
      </c>
      <c r="D452">
        <v>47</v>
      </c>
      <c r="I452" t="s">
        <v>3974</v>
      </c>
      <c r="J452" t="s">
        <v>3614</v>
      </c>
      <c r="P452">
        <v>1</v>
      </c>
      <c r="U452" t="s">
        <v>3975</v>
      </c>
      <c r="V452" t="str">
        <f t="shared" si="7"/>
        <v>{dwID=7607,nFrame=47,szNote="王洵",col={100,255,255,},[3]={bScreenHead=true,},[4]={},aFocus={{dwMapID=-1,szDisplay="王洵·阵营前置",nMaxDistance=10,tRelation={bAll=false,bEnemy=false,bAlly=true,},tLife={bEnable=false,szOperator="&gt;",nValue=0,},},},},</v>
      </c>
    </row>
    <row r="453" spans="1:22" x14ac:dyDescent="0.15">
      <c r="C453">
        <v>7606</v>
      </c>
      <c r="D453">
        <v>47</v>
      </c>
      <c r="I453" t="s">
        <v>3974</v>
      </c>
      <c r="J453" t="s">
        <v>3614</v>
      </c>
      <c r="P453">
        <v>1</v>
      </c>
      <c r="U453" t="s">
        <v>3975</v>
      </c>
      <c r="V453" t="str">
        <f t="shared" si="7"/>
        <v>{dwID=7606,nFrame=47,szNote="王洵",col={100,255,255,},[3]={bScreenHead=true,},[4]={},aFocus={{dwMapID=-1,szDisplay="王洵·阵营前置",nMaxDistance=10,tRelation={bAll=false,bEnemy=false,bAlly=true,},tLife={bEnable=false,szOperator="&gt;",nValue=0,},},},},</v>
      </c>
    </row>
    <row r="454" spans="1:22" x14ac:dyDescent="0.15">
      <c r="A454" t="s">
        <v>241</v>
      </c>
      <c r="B454">
        <v>27</v>
      </c>
      <c r="V454" t="str">
        <f t="shared" si="7"/>
        <v>},[27]={</v>
      </c>
    </row>
    <row r="455" spans="1:22" x14ac:dyDescent="0.15">
      <c r="C455">
        <v>6233</v>
      </c>
      <c r="D455">
        <v>47</v>
      </c>
      <c r="I455" t="s">
        <v>3976</v>
      </c>
      <c r="J455" t="s">
        <v>2305</v>
      </c>
      <c r="P455">
        <v>1</v>
      </c>
      <c r="U455" t="s">
        <v>3973</v>
      </c>
      <c r="V455" t="str">
        <f t="shared" si="7"/>
        <v>{dwID=6233,nFrame=47,szNote="顾延恶",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56" spans="1:22" x14ac:dyDescent="0.15">
      <c r="C456">
        <v>7766</v>
      </c>
      <c r="D456">
        <v>47</v>
      </c>
      <c r="J456" t="s">
        <v>2305</v>
      </c>
      <c r="P456">
        <v>1</v>
      </c>
      <c r="U456" t="s">
        <v>3973</v>
      </c>
      <c r="V456" t="str">
        <f t="shared" si="7"/>
        <v>{dwID=7766,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57" spans="1:22" x14ac:dyDescent="0.15">
      <c r="C457">
        <v>7767</v>
      </c>
      <c r="D457">
        <v>47</v>
      </c>
      <c r="J457" t="s">
        <v>2305</v>
      </c>
      <c r="P457">
        <v>1</v>
      </c>
      <c r="U457" t="s">
        <v>3973</v>
      </c>
      <c r="V457" t="str">
        <f t="shared" si="7"/>
        <v>{dwID=7767,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58" spans="1:22" x14ac:dyDescent="0.15">
      <c r="C458">
        <v>7770</v>
      </c>
      <c r="D458">
        <v>47</v>
      </c>
      <c r="J458" t="s">
        <v>2305</v>
      </c>
      <c r="P458">
        <v>1</v>
      </c>
      <c r="U458" t="s">
        <v>3973</v>
      </c>
      <c r="V458" t="str">
        <f t="shared" si="7"/>
        <v>{dwID=7770,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59" spans="1:22" x14ac:dyDescent="0.15">
      <c r="C459">
        <v>7777</v>
      </c>
      <c r="D459">
        <v>47</v>
      </c>
      <c r="J459" t="s">
        <v>2305</v>
      </c>
      <c r="P459">
        <v>1</v>
      </c>
      <c r="U459" t="s">
        <v>3973</v>
      </c>
      <c r="V459" t="str">
        <f t="shared" si="7"/>
        <v>{dwID=7777,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60" spans="1:22" x14ac:dyDescent="0.15">
      <c r="C460">
        <v>7779</v>
      </c>
      <c r="D460">
        <v>47</v>
      </c>
      <c r="J460" t="s">
        <v>2305</v>
      </c>
      <c r="P460">
        <v>1</v>
      </c>
      <c r="U460" t="s">
        <v>3973</v>
      </c>
      <c r="V460" t="str">
        <f t="shared" si="7"/>
        <v>{dwID=7779,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61" spans="1:22" x14ac:dyDescent="0.15">
      <c r="C461">
        <v>7783</v>
      </c>
      <c r="D461">
        <v>47</v>
      </c>
      <c r="J461" t="s">
        <v>2305</v>
      </c>
      <c r="P461">
        <v>1</v>
      </c>
      <c r="U461" t="s">
        <v>3973</v>
      </c>
      <c r="V461" t="str">
        <f t="shared" si="7"/>
        <v>{dwID=7783,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62" spans="1:22" x14ac:dyDescent="0.15">
      <c r="C462">
        <v>7784</v>
      </c>
      <c r="D462">
        <v>47</v>
      </c>
      <c r="I462" t="s">
        <v>3977</v>
      </c>
      <c r="J462" t="s">
        <v>2305</v>
      </c>
      <c r="P462">
        <v>1</v>
      </c>
      <c r="U462" t="s">
        <v>3973</v>
      </c>
      <c r="V462" t="str">
        <f t="shared" si="7"/>
        <v>{dwID=7784,nFrame=47,szNote="烟",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63" spans="1:22" x14ac:dyDescent="0.15">
      <c r="C463">
        <v>7786</v>
      </c>
      <c r="D463">
        <v>47</v>
      </c>
      <c r="I463" t="s">
        <v>3978</v>
      </c>
      <c r="J463" t="s">
        <v>2305</v>
      </c>
      <c r="P463">
        <v>1</v>
      </c>
      <c r="U463" t="s">
        <v>3973</v>
      </c>
      <c r="V463" t="str">
        <f t="shared" si="7"/>
        <v>{dwID=7786,nFrame=47,szNote="王遗风",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64" spans="1:22" x14ac:dyDescent="0.15">
      <c r="C464">
        <v>8955</v>
      </c>
      <c r="D464">
        <v>47</v>
      </c>
      <c r="J464" t="s">
        <v>2305</v>
      </c>
      <c r="P464">
        <v>1</v>
      </c>
      <c r="U464" t="s">
        <v>3973</v>
      </c>
      <c r="V464" t="str">
        <f t="shared" si="7"/>
        <v>{dwID=8955,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65" spans="3:22" x14ac:dyDescent="0.15">
      <c r="C465">
        <v>8956</v>
      </c>
      <c r="D465">
        <v>47</v>
      </c>
      <c r="J465" t="s">
        <v>2305</v>
      </c>
      <c r="P465">
        <v>1</v>
      </c>
      <c r="U465" t="s">
        <v>3973</v>
      </c>
      <c r="V465" t="str">
        <f t="shared" si="7"/>
        <v>{dwID=8956,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66" spans="3:22" x14ac:dyDescent="0.15">
      <c r="C466">
        <v>8957</v>
      </c>
      <c r="D466">
        <v>47</v>
      </c>
      <c r="J466" t="s">
        <v>2305</v>
      </c>
      <c r="P466">
        <v>1</v>
      </c>
      <c r="U466" t="s">
        <v>3973</v>
      </c>
      <c r="V466" t="str">
        <f t="shared" si="7"/>
        <v>{dwID=8957,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67" spans="3:22" x14ac:dyDescent="0.15">
      <c r="C467">
        <v>16893</v>
      </c>
      <c r="D467">
        <v>47</v>
      </c>
      <c r="J467" t="s">
        <v>2305</v>
      </c>
      <c r="P467">
        <v>1</v>
      </c>
      <c r="U467" t="s">
        <v>3973</v>
      </c>
      <c r="V467" t="str">
        <f t="shared" si="7"/>
        <v>{dwID=16893,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68" spans="3:22" x14ac:dyDescent="0.15">
      <c r="C468">
        <v>16894</v>
      </c>
      <c r="D468">
        <v>47</v>
      </c>
      <c r="J468" t="s">
        <v>2305</v>
      </c>
      <c r="P468">
        <v>1</v>
      </c>
      <c r="U468" t="s">
        <v>3973</v>
      </c>
      <c r="V468" t="str">
        <f t="shared" si="7"/>
        <v>{dwID=16894,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69" spans="3:22" x14ac:dyDescent="0.15">
      <c r="C469">
        <v>16896</v>
      </c>
      <c r="D469">
        <v>47</v>
      </c>
      <c r="J469" t="s">
        <v>2305</v>
      </c>
      <c r="P469">
        <v>1</v>
      </c>
      <c r="U469" t="s">
        <v>3973</v>
      </c>
      <c r="V469" t="str">
        <f t="shared" si="7"/>
        <v>{dwID=16896,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70" spans="3:22" x14ac:dyDescent="0.15">
      <c r="C470">
        <v>16897</v>
      </c>
      <c r="D470">
        <v>47</v>
      </c>
      <c r="J470" t="s">
        <v>2305</v>
      </c>
      <c r="P470">
        <v>1</v>
      </c>
      <c r="U470" t="s">
        <v>3973</v>
      </c>
      <c r="V470" t="str">
        <f t="shared" si="7"/>
        <v>{dwID=16897,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71" spans="3:22" x14ac:dyDescent="0.15">
      <c r="C471">
        <v>16898</v>
      </c>
      <c r="D471">
        <v>47</v>
      </c>
      <c r="J471" t="s">
        <v>2305</v>
      </c>
      <c r="P471">
        <v>1</v>
      </c>
      <c r="U471" t="s">
        <v>3973</v>
      </c>
      <c r="V471" t="str">
        <f t="shared" si="7"/>
        <v>{dwID=16898,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72" spans="3:22" x14ac:dyDescent="0.15">
      <c r="C472">
        <v>16899</v>
      </c>
      <c r="D472">
        <v>47</v>
      </c>
      <c r="J472" t="s">
        <v>2305</v>
      </c>
      <c r="P472">
        <v>1</v>
      </c>
      <c r="U472" t="s">
        <v>3973</v>
      </c>
      <c r="V472" t="str">
        <f t="shared" si="7"/>
        <v>{dwID=16899,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73" spans="3:22" x14ac:dyDescent="0.15">
      <c r="C473">
        <v>16900</v>
      </c>
      <c r="D473">
        <v>47</v>
      </c>
      <c r="J473" t="s">
        <v>2305</v>
      </c>
      <c r="P473">
        <v>1</v>
      </c>
      <c r="U473" t="s">
        <v>3973</v>
      </c>
      <c r="V473" t="str">
        <f t="shared" si="7"/>
        <v>{dwID=16900,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74" spans="3:22" x14ac:dyDescent="0.15">
      <c r="C474">
        <v>16902</v>
      </c>
      <c r="D474">
        <v>47</v>
      </c>
      <c r="J474" t="s">
        <v>2305</v>
      </c>
      <c r="P474">
        <v>1</v>
      </c>
      <c r="U474" t="s">
        <v>3973</v>
      </c>
      <c r="V474" t="str">
        <f t="shared" si="7"/>
        <v>{dwID=16902,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75" spans="3:22" x14ac:dyDescent="0.15">
      <c r="C475">
        <v>17233</v>
      </c>
      <c r="D475">
        <v>47</v>
      </c>
      <c r="J475" t="s">
        <v>2305</v>
      </c>
      <c r="P475">
        <v>1</v>
      </c>
      <c r="U475" t="s">
        <v>3973</v>
      </c>
      <c r="V475" t="str">
        <f t="shared" si="7"/>
        <v>{dwID=17233,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76" spans="3:22" x14ac:dyDescent="0.15">
      <c r="C476">
        <v>17235</v>
      </c>
      <c r="D476">
        <v>47</v>
      </c>
      <c r="J476" t="s">
        <v>2305</v>
      </c>
      <c r="P476">
        <v>1</v>
      </c>
      <c r="U476" t="s">
        <v>3973</v>
      </c>
      <c r="V476" t="str">
        <f t="shared" si="7"/>
        <v>{dwID=17235,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77" spans="3:22" x14ac:dyDescent="0.15">
      <c r="C477">
        <v>17236</v>
      </c>
      <c r="D477">
        <v>47</v>
      </c>
      <c r="J477" t="s">
        <v>2305</v>
      </c>
      <c r="P477">
        <v>1</v>
      </c>
      <c r="U477" t="s">
        <v>3973</v>
      </c>
      <c r="V477" t="str">
        <f t="shared" si="7"/>
        <v>{dwID=17236,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78" spans="3:22" x14ac:dyDescent="0.15">
      <c r="C478">
        <v>17234</v>
      </c>
      <c r="D478">
        <v>47</v>
      </c>
      <c r="J478" t="s">
        <v>2305</v>
      </c>
      <c r="P478">
        <v>1</v>
      </c>
      <c r="U478" t="s">
        <v>3973</v>
      </c>
      <c r="V478" t="str">
        <f t="shared" si="7"/>
        <v>{dwID=17234,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79" spans="3:22" x14ac:dyDescent="0.15">
      <c r="C479">
        <v>105585</v>
      </c>
      <c r="D479">
        <v>47</v>
      </c>
      <c r="I479" t="s">
        <v>3979</v>
      </c>
      <c r="J479" t="s">
        <v>2305</v>
      </c>
      <c r="P479">
        <v>1</v>
      </c>
      <c r="U479" t="s">
        <v>3973</v>
      </c>
      <c r="V479" t="str">
        <f t="shared" si="7"/>
        <v>{dwID=105585,nFrame=47,szNote="小七",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80" spans="3:22" x14ac:dyDescent="0.15">
      <c r="C480">
        <v>105586</v>
      </c>
      <c r="D480">
        <v>47</v>
      </c>
      <c r="J480" t="s">
        <v>2305</v>
      </c>
      <c r="P480">
        <v>1</v>
      </c>
      <c r="U480" t="s">
        <v>3973</v>
      </c>
      <c r="V480" t="str">
        <f t="shared" si="7"/>
        <v>{dwID=105586,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81" spans="1:22" x14ac:dyDescent="0.15">
      <c r="C481">
        <v>105627</v>
      </c>
      <c r="D481">
        <v>47</v>
      </c>
      <c r="J481" t="s">
        <v>2305</v>
      </c>
      <c r="P481">
        <v>1</v>
      </c>
      <c r="U481" t="s">
        <v>3973</v>
      </c>
      <c r="V481" t="str">
        <f t="shared" si="7"/>
        <v>{dwID=105627,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82" spans="1:22" x14ac:dyDescent="0.15">
      <c r="C482">
        <v>105673</v>
      </c>
      <c r="D482">
        <v>47</v>
      </c>
      <c r="J482" t="s">
        <v>2305</v>
      </c>
      <c r="P482">
        <v>1</v>
      </c>
      <c r="U482" t="s">
        <v>3973</v>
      </c>
      <c r="V482" t="str">
        <f t="shared" si="7"/>
        <v>{dwID=105673,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83" spans="1:22" x14ac:dyDescent="0.15">
      <c r="C483">
        <v>105700</v>
      </c>
      <c r="D483">
        <v>47</v>
      </c>
      <c r="J483" t="s">
        <v>2305</v>
      </c>
      <c r="P483">
        <v>1</v>
      </c>
      <c r="U483" t="s">
        <v>3973</v>
      </c>
      <c r="V483" t="str">
        <f t="shared" si="7"/>
        <v>{dwID=105700,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84" spans="1:22" x14ac:dyDescent="0.15">
      <c r="C484">
        <v>105701</v>
      </c>
      <c r="D484">
        <v>47</v>
      </c>
      <c r="J484" t="s">
        <v>2305</v>
      </c>
      <c r="P484">
        <v>1</v>
      </c>
      <c r="U484" t="s">
        <v>3973</v>
      </c>
      <c r="V484" t="str">
        <f t="shared" si="7"/>
        <v>{dwID=105701,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85" spans="1:22" x14ac:dyDescent="0.15">
      <c r="C485">
        <v>105770</v>
      </c>
      <c r="D485">
        <v>47</v>
      </c>
      <c r="J485" t="s">
        <v>2305</v>
      </c>
      <c r="P485">
        <v>1</v>
      </c>
      <c r="U485" t="s">
        <v>3973</v>
      </c>
      <c r="V485" t="str">
        <f t="shared" si="7"/>
        <v>{dwID=105770,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86" spans="1:22" x14ac:dyDescent="0.15">
      <c r="C486">
        <v>105789</v>
      </c>
      <c r="D486">
        <v>47</v>
      </c>
      <c r="J486" t="s">
        <v>2305</v>
      </c>
      <c r="P486">
        <v>1</v>
      </c>
      <c r="U486" t="s">
        <v>3973</v>
      </c>
      <c r="V486" t="str">
        <f t="shared" si="7"/>
        <v>{dwID=105789,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87" spans="1:22" x14ac:dyDescent="0.15">
      <c r="C487">
        <v>105790</v>
      </c>
      <c r="D487">
        <v>47</v>
      </c>
      <c r="J487" t="s">
        <v>2305</v>
      </c>
      <c r="P487">
        <v>1</v>
      </c>
      <c r="U487" t="s">
        <v>3973</v>
      </c>
      <c r="V487" t="str">
        <f t="shared" si="7"/>
        <v>{dwID=105790,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88" spans="1:22" x14ac:dyDescent="0.15">
      <c r="C488">
        <v>105791</v>
      </c>
      <c r="D488">
        <v>47</v>
      </c>
      <c r="J488" t="s">
        <v>2305</v>
      </c>
      <c r="P488">
        <v>1</v>
      </c>
      <c r="U488" t="s">
        <v>3973</v>
      </c>
      <c r="V488" t="str">
        <f t="shared" si="7"/>
        <v>{dwID=105791,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89" spans="1:22" x14ac:dyDescent="0.15">
      <c r="C489">
        <v>105800</v>
      </c>
      <c r="D489">
        <v>47</v>
      </c>
      <c r="J489" t="s">
        <v>2305</v>
      </c>
      <c r="P489">
        <v>1</v>
      </c>
      <c r="U489" t="s">
        <v>3973</v>
      </c>
      <c r="V489" t="str">
        <f t="shared" si="7"/>
        <v>{dwID=105800,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90" spans="1:22" x14ac:dyDescent="0.15">
      <c r="C490">
        <v>105801</v>
      </c>
      <c r="D490">
        <v>47</v>
      </c>
      <c r="J490" t="s">
        <v>2305</v>
      </c>
      <c r="P490">
        <v>1</v>
      </c>
      <c r="U490" t="s">
        <v>3973</v>
      </c>
      <c r="V490" t="str">
        <f t="shared" si="7"/>
        <v>{dwID=105801,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91" spans="1:22" x14ac:dyDescent="0.15">
      <c r="C491">
        <v>105802</v>
      </c>
      <c r="D491">
        <v>47</v>
      </c>
      <c r="J491" t="s">
        <v>2305</v>
      </c>
      <c r="P491">
        <v>1</v>
      </c>
      <c r="U491" t="s">
        <v>3973</v>
      </c>
      <c r="V491" t="str">
        <f t="shared" si="7"/>
        <v>{dwID=105802,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92" spans="1:22" x14ac:dyDescent="0.15">
      <c r="C492">
        <v>105828</v>
      </c>
      <c r="D492">
        <v>47</v>
      </c>
      <c r="J492" t="s">
        <v>2305</v>
      </c>
      <c r="P492">
        <v>1</v>
      </c>
      <c r="U492" t="s">
        <v>3973</v>
      </c>
      <c r="V492" t="str">
        <f t="shared" si="7"/>
        <v>{dwID=105828,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93" spans="1:22" x14ac:dyDescent="0.15">
      <c r="C493">
        <v>106924</v>
      </c>
      <c r="D493">
        <v>47</v>
      </c>
      <c r="J493" t="s">
        <v>2305</v>
      </c>
      <c r="P493">
        <v>1</v>
      </c>
      <c r="U493" t="s">
        <v>3973</v>
      </c>
      <c r="V493" t="str">
        <f t="shared" si="7"/>
        <v>{dwID=106924,nFrame=47,col={255,255,255,},[3]={bScreenHead=true,},[4]={},aFocus={{dwMapID=-1,nMaxDistance=120,tRelation={bAll=false,bEnemy=true,bAlly=false,},tLife={bEnable=true,szOperator="&lt;",nValue=99,},},{dwMapID=-1,nMaxDistance=30,tRelation={bAll=false,bEnemy=false,bAlly=true,},tLife={bEnable=true,szOperator="&lt;",nValue=99,},},{dwMapID=-1,nMaxDistance=10,tRelation={bAll=true,bEnemy=true,bAlly=true,},tLife={bEnable=true,szOperator="&gt;=",nValue=99,},},},},</v>
      </c>
    </row>
    <row r="494" spans="1:22" x14ac:dyDescent="0.15">
      <c r="C494">
        <v>7604</v>
      </c>
      <c r="D494">
        <v>47</v>
      </c>
      <c r="I494" t="s">
        <v>3980</v>
      </c>
      <c r="J494" t="s">
        <v>2718</v>
      </c>
      <c r="P494">
        <v>1</v>
      </c>
      <c r="U494" t="s">
        <v>3981</v>
      </c>
      <c r="V494" t="str">
        <f t="shared" si="7"/>
        <v>{dwID=7604,nFrame=47,szNote="何非笑周日7604",col={255,255,100,},[3]={bScreenHead=true,},[4]={},aFocus={{dwMapID=-1,szDisplay="何非笑·阵营前置",nMaxDistance=10,tRelation={bAll=false,bEnemy=false,bAlly=true,},tLife={bEnable=false,szOperator="&gt;",nValue=0,},},},},</v>
      </c>
    </row>
    <row r="495" spans="1:22" x14ac:dyDescent="0.15">
      <c r="C495">
        <v>7605</v>
      </c>
      <c r="D495">
        <v>47</v>
      </c>
      <c r="I495" t="s">
        <v>3982</v>
      </c>
      <c r="J495" t="s">
        <v>2718</v>
      </c>
      <c r="P495">
        <v>1</v>
      </c>
      <c r="U495" t="s">
        <v>3981</v>
      </c>
      <c r="V495" t="str">
        <f t="shared" si="7"/>
        <v>{dwID=7605,nFrame=47,szNote="何非笑",col={255,255,100,},[3]={bScreenHead=true,},[4]={},aFocus={{dwMapID=-1,szDisplay="何非笑·阵营前置",nMaxDistance=10,tRelation={bAll=false,bEnemy=false,bAlly=true,},tLife={bEnable=false,szOperator="&gt;",nValue=0,},},},},</v>
      </c>
    </row>
    <row r="496" spans="1:22" x14ac:dyDescent="0.15">
      <c r="A496" t="s">
        <v>716</v>
      </c>
      <c r="B496">
        <v>30</v>
      </c>
      <c r="V496" t="str">
        <f t="shared" si="7"/>
        <v>},[30]={</v>
      </c>
    </row>
    <row r="497" spans="3:23" x14ac:dyDescent="0.15">
      <c r="C497">
        <v>18581</v>
      </c>
      <c r="D497">
        <v>47</v>
      </c>
      <c r="I497">
        <v>18581</v>
      </c>
      <c r="J497" t="s">
        <v>2168</v>
      </c>
      <c r="O497">
        <v>1</v>
      </c>
      <c r="P497">
        <v>1</v>
      </c>
      <c r="T497">
        <v>1</v>
      </c>
      <c r="U497" t="s">
        <v>3623</v>
      </c>
      <c r="V497" t="str">
        <f t="shared" si="7"/>
        <v>{dwID=18581,nFrame=47,szNote="18581",col={0,255,0,},[3]={bCenterAlarm=true,bScreenHead=true,},[4]={bCenterAlarm=true,},aFocus={{dwMapID=-1,nMaxDistance=0,tRelation={bAll=true,bEnemy=false,bAlly=false,},tLife={bEnable=false,szOperator="&gt;",nValue=0,},},},},</v>
      </c>
    </row>
    <row r="498" spans="3:23" x14ac:dyDescent="0.15">
      <c r="C498">
        <v>18582</v>
      </c>
      <c r="D498">
        <v>47</v>
      </c>
      <c r="I498">
        <v>18582</v>
      </c>
      <c r="J498" t="s">
        <v>2168</v>
      </c>
      <c r="O498">
        <v>1</v>
      </c>
      <c r="P498">
        <v>1</v>
      </c>
      <c r="T498">
        <v>1</v>
      </c>
      <c r="U498" t="s">
        <v>3623</v>
      </c>
      <c r="V498" t="str">
        <f t="shared" si="7"/>
        <v>{dwID=18582,nFrame=47,szNote="18582",col={0,255,0,},[3]={bCenterAlarm=true,bScreenHead=true,},[4]={bCenterAlarm=true,},aFocus={{dwMapID=-1,nMaxDistance=0,tRelation={bAll=true,bEnemy=false,bAlly=false,},tLife={bEnable=false,szOperator="&gt;",nValue=0,},},},},</v>
      </c>
    </row>
    <row r="499" spans="3:23" x14ac:dyDescent="0.15">
      <c r="C499">
        <v>18579</v>
      </c>
      <c r="D499">
        <v>47</v>
      </c>
      <c r="I499">
        <v>18579</v>
      </c>
      <c r="J499" t="s">
        <v>2168</v>
      </c>
      <c r="O499">
        <v>1</v>
      </c>
      <c r="P499">
        <v>1</v>
      </c>
      <c r="T499">
        <v>1</v>
      </c>
      <c r="U499" t="s">
        <v>3623</v>
      </c>
      <c r="V499" t="str">
        <f t="shared" si="7"/>
        <v>{dwID=18579,nFrame=47,szNote="18579",col={0,255,0,},[3]={bCenterAlarm=true,bScreenHead=true,},[4]={bCenterAlarm=true,},aFocus={{dwMapID=-1,nMaxDistance=0,tRelation={bAll=true,bEnemy=false,bAlly=false,},tLife={bEnable=false,szOperator="&gt;",nValue=0,},},},},</v>
      </c>
    </row>
    <row r="500" spans="3:23" x14ac:dyDescent="0.15">
      <c r="C500">
        <v>18585</v>
      </c>
      <c r="D500">
        <v>47</v>
      </c>
      <c r="I500">
        <v>18585</v>
      </c>
      <c r="J500" t="s">
        <v>2168</v>
      </c>
      <c r="O500">
        <v>1</v>
      </c>
      <c r="P500">
        <v>1</v>
      </c>
      <c r="T500">
        <v>1</v>
      </c>
      <c r="U500" t="s">
        <v>3623</v>
      </c>
      <c r="V500" t="str">
        <f t="shared" si="7"/>
        <v>{dwID=18585,nFrame=47,szNote="18585",col={0,255,0,},[3]={bCenterAlarm=true,bScreenHead=true,},[4]={bCenterAlarm=true,},aFocus={{dwMapID=-1,nMaxDistance=0,tRelation={bAll=true,bEnemy=false,bAlly=false,},tLife={bEnable=false,szOperator="&gt;",nValue=0,},},},},</v>
      </c>
    </row>
    <row r="501" spans="3:23" x14ac:dyDescent="0.15">
      <c r="C501">
        <v>18577</v>
      </c>
      <c r="D501">
        <v>47</v>
      </c>
      <c r="I501">
        <v>18577</v>
      </c>
      <c r="J501" t="s">
        <v>2168</v>
      </c>
      <c r="O501">
        <v>1</v>
      </c>
      <c r="P501">
        <v>1</v>
      </c>
      <c r="T501">
        <v>1</v>
      </c>
      <c r="U501" t="s">
        <v>3623</v>
      </c>
      <c r="V501" t="str">
        <f t="shared" si="7"/>
        <v>{dwID=18577,nFrame=47,szNote="18577",col={0,255,0,},[3]={bCenterAlarm=true,bScreenHead=true,},[4]={bCenterAlarm=true,},aFocus={{dwMapID=-1,nMaxDistance=0,tRelation={bAll=true,bEnemy=false,bAlly=false,},tLife={bEnable=false,szOperator="&gt;",nValue=0,},},},},</v>
      </c>
    </row>
    <row r="502" spans="3:23" x14ac:dyDescent="0.15">
      <c r="C502">
        <v>18586</v>
      </c>
      <c r="D502">
        <v>47</v>
      </c>
      <c r="I502">
        <v>18586</v>
      </c>
      <c r="J502" t="s">
        <v>2168</v>
      </c>
      <c r="O502">
        <v>1</v>
      </c>
      <c r="P502">
        <v>1</v>
      </c>
      <c r="T502">
        <v>1</v>
      </c>
      <c r="U502" t="s">
        <v>3623</v>
      </c>
      <c r="V502" t="str">
        <f t="shared" si="7"/>
        <v>{dwID=18586,nFrame=47,szNote="18586",col={0,255,0,},[3]={bCenterAlarm=true,bScreenHead=true,},[4]={bCenterAlarm=true,},aFocus={{dwMapID=-1,nMaxDistance=0,tRelation={bAll=true,bEnemy=false,bAlly=false,},tLife={bEnable=false,szOperator="&gt;",nValue=0,},},},},</v>
      </c>
    </row>
    <row r="503" spans="3:23" x14ac:dyDescent="0.15">
      <c r="C503">
        <v>60182</v>
      </c>
      <c r="D503">
        <v>47</v>
      </c>
      <c r="I503" t="s">
        <v>3760</v>
      </c>
      <c r="J503" t="s">
        <v>2168</v>
      </c>
      <c r="P503">
        <v>1</v>
      </c>
      <c r="U503" t="s">
        <v>3761</v>
      </c>
      <c r="V503" t="str">
        <f t="shared" si="7"/>
        <v>{dwID=60182,nFrame=47,szNote="雪雪·旅行",col={0,255,0,},[3]={bScreenHead=true,},[4]={},aFocus={{dwMapID=-1,nMaxDistance=240,tRelation={bAll=true,bEnemy=false,bAlly=false,},tLife={bEnable=false,szOperator="&gt;",nValue=0,},},},},</v>
      </c>
    </row>
    <row r="504" spans="3:23" x14ac:dyDescent="0.15">
      <c r="C504">
        <v>6591</v>
      </c>
      <c r="D504">
        <v>50</v>
      </c>
      <c r="U504" t="s">
        <v>3622</v>
      </c>
      <c r="V504" t="str">
        <f t="shared" si="7"/>
        <v>{dwID=6591,nFrame=50,[3]={},[4]={},aFocus={{dwMapID=-1,nMaxDistance=30,tRelation={bAll=true,bEnemy=false,bAlly=false,},tLife={bEnable=false,szOperator="&gt;",nValue=0,},},},},</v>
      </c>
    </row>
    <row r="505" spans="3:23" x14ac:dyDescent="0.15">
      <c r="C505">
        <v>7604</v>
      </c>
      <c r="D505">
        <v>47</v>
      </c>
      <c r="I505" t="s">
        <v>3923</v>
      </c>
      <c r="J505" t="s">
        <v>2718</v>
      </c>
      <c r="P505">
        <v>1</v>
      </c>
      <c r="U505" t="s">
        <v>3983</v>
      </c>
      <c r="V505" t="str">
        <f t="shared" si="7"/>
        <v>{dwID=7604,nFrame=47,szNote="何非笑·阵营前置",col={255,255,100,},[3]={bScreenHead=true,},[4]={},aFocus={{dwMapID=-1,szDisplay="何非笑·阵营前置",nMaxDistance=60,tRelation={bAll=false,bEnemy=false,bAlly=true,},tLife={bEnable=false,szOperator="&gt;",nValue=0,},},},},</v>
      </c>
    </row>
    <row r="506" spans="3:23" x14ac:dyDescent="0.15">
      <c r="C506">
        <v>7607</v>
      </c>
      <c r="D506">
        <v>47</v>
      </c>
      <c r="I506" t="s">
        <v>3925</v>
      </c>
      <c r="J506" t="s">
        <v>3614</v>
      </c>
      <c r="P506">
        <v>1</v>
      </c>
      <c r="U506" t="s">
        <v>3984</v>
      </c>
      <c r="V506" t="str">
        <f t="shared" si="7"/>
        <v>{dwID=7607,nFrame=47,szNote="王洵·阵营前置",col={100,255,255,},[3]={bScreenHead=true,},[4]={},aFocus={{dwMapID=-1,szDisplay="王洵·阵营前置",nMaxDistance=60,tRelation={bAll=false,bEnemy=false,bAlly=true,},tLife={bEnable=false,szOperator="&gt;",nValue=0,},},},},</v>
      </c>
    </row>
    <row r="507" spans="3:23" x14ac:dyDescent="0.15">
      <c r="C507">
        <v>64733</v>
      </c>
      <c r="D507">
        <v>52</v>
      </c>
      <c r="I507" t="s">
        <v>3927</v>
      </c>
      <c r="U507" t="s">
        <v>3928</v>
      </c>
      <c r="V507" t="str">
        <f t="shared" si="7"/>
        <v>{dwID=64733,nFrame=52,szNote="浩气牛车",[3]={},[4]={},aFocus={{dwMapID=-1,szDisplay="浩气牛车·粮草先行",nMaxDistance=0,tRelation={bAll=true,bEnemy=false,bAlly=false,},tLife={bEnable=false,szOperator="&gt;",nValue=0,},},},},</v>
      </c>
    </row>
    <row r="508" spans="3:23" x14ac:dyDescent="0.15">
      <c r="C508">
        <v>64732</v>
      </c>
      <c r="D508">
        <v>52</v>
      </c>
      <c r="I508" t="s">
        <v>3929</v>
      </c>
      <c r="P508">
        <v>1</v>
      </c>
      <c r="U508" t="s">
        <v>3930</v>
      </c>
      <c r="V508" t="str">
        <f t="shared" si="7"/>
        <v>{dwID=64732,nFrame=52,szNote="恶人牛车",[3]={bScreenHead=true,},[4]={},aFocus={{dwMapID=-1,szDisplay="恶人牛车·粮草先行",nMaxDistance=0,tRelation={bAll=true,bEnemy=false,bAlly=false,},tLife={bEnable=false,szOperator="&gt;",nValue=0,},},},},</v>
      </c>
    </row>
    <row r="509" spans="3:23" x14ac:dyDescent="0.15">
      <c r="C509">
        <v>64731</v>
      </c>
      <c r="D509">
        <v>47</v>
      </c>
      <c r="I509" t="s">
        <v>3931</v>
      </c>
      <c r="P509">
        <v>1</v>
      </c>
      <c r="U509" t="s">
        <v>3932</v>
      </c>
      <c r="V509" t="str">
        <f t="shared" si="7"/>
        <v>{dwID=64731,nFrame=47,szNote="管良沧·粮草先行",[3]={bScreenHead=true,},[4]={},aFocus={{dwMapID=-1,szDisplay="管良沧·粮草先行",nMaxDistance=60,tRelation={bAll=false,bEnemy=false,bAlly=true,},tLife={bEnable=false,szOperator="&gt;",nValue=0,},},},},</v>
      </c>
    </row>
    <row r="510" spans="3:23" x14ac:dyDescent="0.15">
      <c r="C510">
        <v>64730</v>
      </c>
      <c r="D510">
        <v>47</v>
      </c>
      <c r="I510" t="s">
        <v>3933</v>
      </c>
      <c r="P510">
        <v>1</v>
      </c>
      <c r="U510" t="s">
        <v>3934</v>
      </c>
      <c r="V510" t="str">
        <f t="shared" si="7"/>
        <v>{dwID=64730,nFrame=47,szNote="苏才寥·粮草先行",[3]={bScreenHead=true,},[4]={},aFocus={{dwMapID=-1,szDisplay="苏才寥·粮草先行",nMaxDistance=60,tRelation={bAll=false,bEnemy=false,bAlly=true,},tLife={bEnable=false,szOperator="&gt;",nValue=0,},},},},</v>
      </c>
    </row>
    <row r="511" spans="3:23" x14ac:dyDescent="0.15">
      <c r="C511">
        <v>1215</v>
      </c>
      <c r="D511">
        <v>47</v>
      </c>
      <c r="I511" t="s">
        <v>3958</v>
      </c>
      <c r="P511">
        <v>1</v>
      </c>
      <c r="U511" t="s">
        <v>3644</v>
      </c>
      <c r="V511" t="str">
        <f t="shared" si="7"/>
        <v>{dwID=1215,nFrame=47,szNote="于成仇",[3]={bScreenHead=true,},[4]={},aFocus={{dwMapID=-1,nMaxDistance=0,tRelation={bAll=false,bEnemy=true,bAlly=false,},tLife={bEnable=false,szOperator="&gt;",nValue=0,},},},tCountdown={{nClass=12,nIcon=13,nFrame=4,szName="于成仇·刷新剩余",nTime=10.1,},},},</v>
      </c>
      <c r="W511" t="s">
        <v>3959</v>
      </c>
    </row>
    <row r="512" spans="3:23" x14ac:dyDescent="0.15">
      <c r="C512">
        <v>1217</v>
      </c>
      <c r="D512">
        <v>47</v>
      </c>
      <c r="I512" t="s">
        <v>3960</v>
      </c>
      <c r="P512">
        <v>1</v>
      </c>
      <c r="U512" t="s">
        <v>3644</v>
      </c>
      <c r="V512" t="str">
        <f t="shared" si="7"/>
        <v>{dwID=1217,nFrame=47,szNote="阎世通",[3]={bScreenHead=true,},[4]={},aFocus={{dwMapID=-1,nMaxDistance=0,tRelation={bAll=false,bEnemy=true,bAlly=false,},tLife={bEnable=false,szOperator="&gt;",nValue=0,},},},tCountdown={{nClass=12,nIcon=13,nFrame=4,szName="阎世通·刷新剩余",nTime=10.1,},},},</v>
      </c>
      <c r="W512" t="s">
        <v>3961</v>
      </c>
    </row>
    <row r="513" spans="1:22" x14ac:dyDescent="0.15">
      <c r="C513">
        <v>6222</v>
      </c>
      <c r="D513">
        <v>47</v>
      </c>
      <c r="I513" t="s">
        <v>3962</v>
      </c>
      <c r="P513">
        <v>1</v>
      </c>
      <c r="U513" t="s">
        <v>3963</v>
      </c>
      <c r="V513" t="str">
        <f t="shared" si="7"/>
        <v>{dwID=6222,nFrame=47,szNote="霸图·阵营前置",[3]={bScreenHead=true,},[4]={},aFocus={{dwMapID=-1,szDisplay="霸图·阵营前置",nMaxDistance=0,tRelation={bAll=true,bEnemy=false,bAlly=false,},tLife={bEnable=false,szOperator="&gt;",nValue=0,},},},},</v>
      </c>
    </row>
    <row r="514" spans="1:22" x14ac:dyDescent="0.15">
      <c r="C514">
        <v>6221</v>
      </c>
      <c r="D514">
        <v>47</v>
      </c>
      <c r="I514" t="s">
        <v>3964</v>
      </c>
      <c r="P514">
        <v>1</v>
      </c>
      <c r="U514" t="s">
        <v>3965</v>
      </c>
      <c r="V514" t="str">
        <f t="shared" ref="V514:V577" si="8">IF(ISBLANK(B514)=FALSE,IF(ISBLANK(B513),"},["&amp;B514&amp;"]={","["&amp;B514&amp;"]={"),IF(AND(ISBLANK(B514),ISBLANK(D514),ISBLANK(C514),OR(ISBLANK(B513)=FALSE,ISBLANK(D513)=FALSE,ISBLANK(C513)=FALSE)),"},},}",IF(ISBLANK(C514),"","{dwID="&amp;C514&amp;","&amp;"nFrame="&amp;D514&amp;","&amp;IF(E514&gt;0,"nCount="&amp;E514&amp;",","")&amp;IF(F514&gt;0,"bAllLeave=true,","")&amp;IF(G514&lt;&gt;"","szName="""&amp;G514&amp;""",","")&amp;IF(H514&lt;&gt;"","tKungFu={"&amp;H514&amp;"},","")&amp;IF(I514&lt;&gt;"","szNote="""&amp;I514&amp;""",","")&amp;IF(J514&lt;&gt;"","col={"&amp;J514&amp;"},","")&amp;"[3]={"&amp;IF(K514&lt;&gt;"","tMark={"&amp;K514&amp;"},","")&amp;IF(L514&lt;&gt;"","szVoice="""&amp;L514&amp;""",","")&amp;IF(M514&gt;0,"bTeamChannel=true,","")&amp;IF(N514&gt;0,"bWhisperChannel=true,","")&amp;IF(O514&gt;0,"bCenterAlarm=true,","")&amp;IF(P514&gt;0,"bScreenHead=true,","")&amp;"},"&amp;"[4]={"&amp;IF(Q514&lt;&gt;"","szVoice="""&amp;Q514&amp;""",","")&amp;IF(R514&gt;0,"bTeamChannel=true,","")&amp;IF(S514&gt;0,"bWhisperChannel=true,","")&amp;IF(T514&gt;0,"bCenterAlarm=true,","")&amp;"},"&amp;IF(U514&lt;&gt;"","aFocus={"&amp;U514&amp;"},","")&amp;IF(W514&lt;&gt;"","tCountdown={"&amp;_xlfn.TEXTJOIN("",TRUE,W514:ZZ514)&amp;"},","")&amp;"},")))</f>
        <v>{dwID=6221,nFrame=47,szNote="孙永恒·阵营前置",[3]={bScreenHead=true,},[4]={},aFocus={{dwMapID=-1,szDisplay="孙永恒·阵营前置",nMaxDistance=0,tRelation={bAll=true,bEnemy=false,bAlly=false,},tLife={bEnable=false,szOperator="&gt;",nValue=0,},},},},</v>
      </c>
    </row>
    <row r="515" spans="1:22" x14ac:dyDescent="0.15">
      <c r="C515">
        <v>5656</v>
      </c>
      <c r="D515">
        <v>47</v>
      </c>
      <c r="I515" t="s">
        <v>3985</v>
      </c>
      <c r="J515" t="s">
        <v>2168</v>
      </c>
      <c r="P515">
        <v>1</v>
      </c>
      <c r="U515" t="s">
        <v>3986</v>
      </c>
      <c r="V515" t="str">
        <f t="shared" si="8"/>
        <v>{dwID=5656,nFrame=47,szNote="长乐坊村民",col={0,255,0,},[3]={bScreenHead=true,},[4]={},aFocus={{dwMapID=-1,nMaxDistance=35,tRelation={bAll=false,bEnemy=false,bAlly=true,},tLife={bEnable=true,szOperator="==",nValue=100,},},},},</v>
      </c>
    </row>
    <row r="516" spans="1:22" x14ac:dyDescent="0.15">
      <c r="C516">
        <v>1193</v>
      </c>
      <c r="D516">
        <v>47</v>
      </c>
      <c r="I516" t="s">
        <v>3968</v>
      </c>
      <c r="J516" t="s">
        <v>2168</v>
      </c>
      <c r="P516">
        <v>1</v>
      </c>
      <c r="U516" t="s">
        <v>3969</v>
      </c>
      <c r="V516" t="str">
        <f t="shared" si="8"/>
        <v>{dwID=1193,nFrame=47,szNote="被虏的江湖人士",col={0,255,0,},[3]={bScreenHead=true,},[4]={},aFocus={{dwMapID=-1,nMaxDistance=3,tRelation={bAll=false,bEnemy=false,bAlly=true,},tLife={bEnable=false,szOperator="&gt;",nValue=0,},},},},</v>
      </c>
    </row>
    <row r="517" spans="1:22" x14ac:dyDescent="0.15">
      <c r="C517">
        <v>36412</v>
      </c>
      <c r="D517">
        <v>52</v>
      </c>
      <c r="I517" t="s">
        <v>3987</v>
      </c>
      <c r="J517" t="s">
        <v>2168</v>
      </c>
      <c r="P517">
        <v>1</v>
      </c>
      <c r="U517" t="s">
        <v>3988</v>
      </c>
      <c r="V517" t="str">
        <f t="shared" si="8"/>
        <v>{dwID=36412,nFrame=52,szNote="大旗·凛风堡",col={0,255,0,},[3]={bScreenHead=true,},[4]={},aFocus={{dwMapID=-1,szDisplay="大旗·凛风堡",nMaxDistance=3,tRelation={bAll=true,bEnemy=false,bAlly=false,},tLife={bEnable=false,szOperator="&gt;",nValue=0,},},},},</v>
      </c>
    </row>
    <row r="518" spans="1:22" x14ac:dyDescent="0.15">
      <c r="A518" t="s">
        <v>242</v>
      </c>
      <c r="B518">
        <v>35</v>
      </c>
      <c r="V518" t="str">
        <f t="shared" si="8"/>
        <v>},[35]={</v>
      </c>
    </row>
    <row r="519" spans="1:22" x14ac:dyDescent="0.15">
      <c r="C519">
        <v>6464</v>
      </c>
      <c r="D519">
        <v>57</v>
      </c>
      <c r="I519" t="s">
        <v>3989</v>
      </c>
      <c r="P519">
        <v>1</v>
      </c>
      <c r="U519" t="s">
        <v>3990</v>
      </c>
      <c r="V519" t="str">
        <f t="shared" si="8"/>
        <v>{dwID=6464,nFrame=57,szNote="叛军头目藏异宝",[3]={bScreenHead=true,},[4]={},aFocus={{dwMapID=-1,szDisplay="苍深·金丝马球",nMaxDistance=90,tRelation={bAll=true,bEnemy=false,bAlly=false,},tLife={bEnable=false,szOperator="&gt;",nValue=0,},},},},</v>
      </c>
    </row>
    <row r="520" spans="1:22" x14ac:dyDescent="0.15">
      <c r="C520">
        <v>17207</v>
      </c>
      <c r="D520">
        <v>47</v>
      </c>
      <c r="J520" t="s">
        <v>2168</v>
      </c>
      <c r="P520">
        <v>1</v>
      </c>
      <c r="U520" t="s">
        <v>3991</v>
      </c>
      <c r="V520" t="str">
        <f t="shared" si="8"/>
        <v>{dwID=17207,nFrame=47,col={0,255,0,},[3]={bScreenHead=true,},[4]={},aFocus={{dwMapID=-1,szDisplay="冷馨兰·采仙草",nMaxDistance=60,tRelation={bAll=true,bEnemy=false,bAlly=false,},tLife={bEnable=false,szOperator="&gt;",nValue=0,},},},},</v>
      </c>
    </row>
    <row r="521" spans="1:22" x14ac:dyDescent="0.15">
      <c r="C521">
        <v>27535</v>
      </c>
      <c r="D521">
        <v>47</v>
      </c>
      <c r="U521" t="s">
        <v>3992</v>
      </c>
      <c r="V521" t="str">
        <f t="shared" si="8"/>
        <v>{dwID=27535,nFrame=47,[3]={},[4]={},aFocus={{dwMapID=-1,szDisplay="花灯·采仙草",nMaxDistance=30,tRelation={bAll=true,bEnemy=false,bAlly=false,},tLife={bEnable=false,szOperator="&gt;",nValue=0,},},},},</v>
      </c>
    </row>
    <row r="522" spans="1:22" x14ac:dyDescent="0.15">
      <c r="C522">
        <v>43188</v>
      </c>
      <c r="D522">
        <v>47</v>
      </c>
      <c r="J522" t="s">
        <v>2168</v>
      </c>
      <c r="P522">
        <v>1</v>
      </c>
      <c r="U522" t="s">
        <v>3993</v>
      </c>
      <c r="V522" t="str">
        <f t="shared" si="8"/>
        <v>{dwID=43188,nFrame=47,col={0,255,0,},[3]={bScreenHead=true,},[4]={},aFocus={{dwMapID=-1,szDisplay="水灵珠·寻龙勘脉",nMaxDistance=0,tRelation={bAll=true,bEnemy=false,bAlly=false,},tLife={bEnable=false,szOperator="&gt;",nValue=0,},},},},</v>
      </c>
    </row>
    <row r="523" spans="1:22" x14ac:dyDescent="0.15">
      <c r="C523">
        <v>43061</v>
      </c>
      <c r="D523">
        <v>57</v>
      </c>
      <c r="P523">
        <v>1</v>
      </c>
      <c r="U523" t="s">
        <v>3994</v>
      </c>
      <c r="V523" t="str">
        <f t="shared" si="8"/>
        <v>{dwID=43061,nFrame=57,[3]={bScreenHead=true,},[4]={},aFocus={{dwMapID=-1,szDisplay="食业朱猿·寻龙勘脉",nMaxDistance=40,tRelation={bAll=true,bEnemy=false,bAlly=false,},tLife={bEnable=false,szOperator="&gt;",nValue=0,},},},},</v>
      </c>
    </row>
    <row r="524" spans="1:22" x14ac:dyDescent="0.15">
      <c r="C524">
        <v>15724</v>
      </c>
      <c r="D524">
        <v>47</v>
      </c>
      <c r="J524" t="s">
        <v>2168</v>
      </c>
      <c r="P524">
        <v>1</v>
      </c>
      <c r="U524" t="s">
        <v>3995</v>
      </c>
      <c r="V524" t="str">
        <f t="shared" si="8"/>
        <v>{dwID=15724,nFrame=47,col={0,255,0,},[3]={bScreenHead=true,},[4]={},aFocus={{dwMapID=-1,szDisplay="丁老三·美人图",nMaxDistance=30,tRelation={bAll=true,bEnemy=false,bAlly=false,},tLife={bEnable=false,szOperator="&gt;",nValue=0,},},},},</v>
      </c>
    </row>
    <row r="525" spans="1:22" x14ac:dyDescent="0.15">
      <c r="C525">
        <v>15721</v>
      </c>
      <c r="D525">
        <v>47</v>
      </c>
      <c r="P525">
        <v>1</v>
      </c>
      <c r="U525" t="s">
        <v>3996</v>
      </c>
      <c r="V525" t="str">
        <f t="shared" si="8"/>
        <v>{dwID=15721,nFrame=47,[3]={bScreenHead=true,},[4]={},aFocus={{dwMapID=-1,szDisplay="孟庄元·美人图",nMaxDistance=10,tRelation={bAll=true,bEnemy=false,bAlly=false,},tLife={bEnable=false,szOperator="&gt;",nValue=0,},},},},</v>
      </c>
    </row>
    <row r="526" spans="1:22" x14ac:dyDescent="0.15">
      <c r="C526">
        <v>15725</v>
      </c>
      <c r="D526">
        <v>47</v>
      </c>
      <c r="P526">
        <v>1</v>
      </c>
      <c r="U526" t="s">
        <v>3997</v>
      </c>
      <c r="V526" t="str">
        <f t="shared" si="8"/>
        <v>{dwID=15725,nFrame=47,[3]={bScreenHead=true,},[4]={},aFocus={{dwMapID=-1,szDisplay="小二哥·美人图",nMaxDistance=30,tRelation={bAll=true,bEnemy=false,bAlly=false,},tLife={bEnable=false,szOperator="&gt;",nValue=0,},},},},</v>
      </c>
    </row>
    <row r="527" spans="1:22" x14ac:dyDescent="0.15">
      <c r="C527">
        <v>15719</v>
      </c>
      <c r="D527">
        <v>57</v>
      </c>
      <c r="P527">
        <v>1</v>
      </c>
      <c r="U527" t="s">
        <v>3998</v>
      </c>
      <c r="V527" t="str">
        <f t="shared" si="8"/>
        <v>{dwID=15719,nFrame=57,[3]={bScreenHead=true,},[4]={},aFocus={{dwMapID=-1,szDisplay="贾一陀·美人图",nMaxDistance=30,tRelation={bAll=true,bEnemy=false,bAlly=false,},tLife={bEnable=false,szOperator="&gt;",nValue=0,},},},},</v>
      </c>
    </row>
    <row r="528" spans="1:22" x14ac:dyDescent="0.15">
      <c r="C528">
        <v>15718</v>
      </c>
      <c r="D528">
        <v>47</v>
      </c>
      <c r="P528">
        <v>1</v>
      </c>
      <c r="U528" t="s">
        <v>3999</v>
      </c>
      <c r="V528" t="str">
        <f t="shared" si="8"/>
        <v>{dwID=15718,nFrame=47,[3]={bScreenHead=true,},[4]={},aFocus={{dwMapID=-1,szDisplay="裘大嘴·美人图",nMaxDistance=30,tRelation={bAll=true,bEnemy=false,bAlly=false,},tLife={bEnable=false,szOperator="&gt;",nValue=0,},},},},</v>
      </c>
    </row>
    <row r="529" spans="1:22" x14ac:dyDescent="0.15">
      <c r="C529">
        <v>15713</v>
      </c>
      <c r="D529">
        <v>57</v>
      </c>
      <c r="P529">
        <v>1</v>
      </c>
      <c r="U529" t="s">
        <v>4000</v>
      </c>
      <c r="V529" t="str">
        <f t="shared" si="8"/>
        <v>{dwID=15713,nFrame=57,[3]={bScreenHead=true,},[4]={},aFocus={{dwMapID=-1,szDisplay="宫威·美人图",nMaxDistance=30,tRelation={bAll=true,bEnemy=false,bAlly=false,},tLife={bEnable=false,szOperator="&gt;",nValue=0,},},},},</v>
      </c>
    </row>
    <row r="530" spans="1:22" x14ac:dyDescent="0.15">
      <c r="C530">
        <v>16080</v>
      </c>
      <c r="D530">
        <v>47</v>
      </c>
      <c r="P530">
        <v>1</v>
      </c>
      <c r="U530" t="s">
        <v>4001</v>
      </c>
      <c r="V530" t="str">
        <f t="shared" si="8"/>
        <v>{dwID=16080,nFrame=47,[3]={bScreenHead=true,},[4]={},aFocus={{dwMapID=-1,szDisplay="小梦子·美人图",nMaxDistance=30,tRelation={bAll=true,bEnemy=false,bAlly=false,},tLife={bEnable=false,szOperator="&gt;",nValue=0,},},},},</v>
      </c>
    </row>
    <row r="531" spans="1:22" x14ac:dyDescent="0.15">
      <c r="C531">
        <v>16077</v>
      </c>
      <c r="D531">
        <v>47</v>
      </c>
      <c r="P531">
        <v>1</v>
      </c>
      <c r="U531" t="s">
        <v>4002</v>
      </c>
      <c r="V531" t="str">
        <f t="shared" si="8"/>
        <v>{dwID=16077,nFrame=47,[3]={bScreenHead=true,},[4]={},aFocus={{dwMapID=-1,szDisplay="孟家爷爷·美人图",nMaxDistance=30,tRelation={bAll=true,bEnemy=false,bAlly=false,},tLife={bEnable=false,szOperator="&gt;",nValue=0,},},},},</v>
      </c>
    </row>
    <row r="532" spans="1:22" x14ac:dyDescent="0.15">
      <c r="C532">
        <v>15930</v>
      </c>
      <c r="D532">
        <v>47</v>
      </c>
      <c r="P532">
        <v>1</v>
      </c>
      <c r="U532" t="s">
        <v>4003</v>
      </c>
      <c r="V532" t="str">
        <f t="shared" si="8"/>
        <v>{dwID=15930,nFrame=47,[3]={bScreenHead=true,},[4]={},aFocus={{dwMapID=-1,szDisplay="宫大肥·美人图",nMaxDistance=30,tRelation={bAll=true,bEnemy=false,bAlly=false,},tLife={bEnable=false,szOperator="&gt;",nValue=0,},},},},</v>
      </c>
    </row>
    <row r="533" spans="1:22" x14ac:dyDescent="0.15">
      <c r="C533">
        <v>15996</v>
      </c>
      <c r="D533">
        <v>57</v>
      </c>
      <c r="P533">
        <v>1</v>
      </c>
      <c r="U533" t="s">
        <v>4004</v>
      </c>
      <c r="V533" t="str">
        <f t="shared" si="8"/>
        <v>{dwID=15996,nFrame=57,[3]={bScreenHead=true,},[4]={},aFocus={{dwMapID=-1,szDisplay="张山石·美人图",nMaxDistance=30,tRelation={bAll=true,bEnemy=false,bAlly=false,},tLife={bEnable=false,szOperator="&gt;",nValue=0,},},},},</v>
      </c>
    </row>
    <row r="534" spans="1:22" x14ac:dyDescent="0.15">
      <c r="C534">
        <v>15729</v>
      </c>
      <c r="D534">
        <v>47</v>
      </c>
      <c r="U534" t="s">
        <v>4005</v>
      </c>
      <c r="V534" t="str">
        <f t="shared" si="8"/>
        <v>{dwID=15729,nFrame=47,[3]={},[4]={},aFocus={{dwMapID=-1,szDisplay="宫晴·美人图",nMaxDistance=20,tRelation={bAll=true,bEnemy=false,bAlly=false,},tLife={bEnable=false,szOperator="&gt;",nValue=0,},},},},</v>
      </c>
    </row>
    <row r="535" spans="1:22" x14ac:dyDescent="0.15">
      <c r="C535">
        <v>43063</v>
      </c>
      <c r="D535">
        <v>57</v>
      </c>
      <c r="P535">
        <v>1</v>
      </c>
      <c r="U535" t="s">
        <v>4006</v>
      </c>
      <c r="V535" t="str">
        <f t="shared" si="8"/>
        <v>{dwID=43063,nFrame=57,[3]={bScreenHead=true,},[4]={},aFocus={{dwMapID=-1,szDisplay="宇文画·毒手催画",nMaxDistance=0,tRelation={bAll=true,bEnemy=false,bAlly=false,},tLife={bEnable=false,szOperator="&gt;",nValue=0,},},},},</v>
      </c>
    </row>
    <row r="536" spans="1:22" x14ac:dyDescent="0.15">
      <c r="C536">
        <v>2440</v>
      </c>
      <c r="D536">
        <v>50</v>
      </c>
      <c r="P536">
        <v>1</v>
      </c>
      <c r="U536" t="s">
        <v>3623</v>
      </c>
      <c r="V536" t="str">
        <f t="shared" si="8"/>
        <v>{dwID=2440,nFrame=50,[3]={bScreenHead=true,},[4]={},aFocus={{dwMapID=-1,nMaxDistance=0,tRelation={bAll=true,bEnemy=false,bAlly=false,},tLife={bEnable=false,szOperator="&gt;",nValue=0,},},},},</v>
      </c>
    </row>
    <row r="537" spans="1:22" x14ac:dyDescent="0.15">
      <c r="C537">
        <v>3089</v>
      </c>
      <c r="D537">
        <v>47</v>
      </c>
      <c r="P537">
        <v>1</v>
      </c>
      <c r="U537" t="s">
        <v>4007</v>
      </c>
      <c r="V537" t="str">
        <f t="shared" si="8"/>
        <v>{dwID=3089,nFrame=47,[3]={bScreenHead=true,},[4]={},aFocus={{dwMapID=-1,szDisplay="牛车·美人图",nMaxDistance=60,tRelation={bAll=false,bEnemy=true,bAlly=false,},tLife={bEnable=false,szOperator="&gt;",nValue=0,},},},},</v>
      </c>
    </row>
    <row r="538" spans="1:22" x14ac:dyDescent="0.15">
      <c r="C538">
        <v>5486</v>
      </c>
      <c r="D538">
        <v>47</v>
      </c>
      <c r="U538" t="s">
        <v>3868</v>
      </c>
      <c r="V538" t="str">
        <f t="shared" si="8"/>
        <v>{dwID=5486,nFrame=47,[3]={},[4]={},aFocus={{dwMapID=-1,nMaxDistance=20,tRelation={bAll=false,bEnemy=false,bAlly=true,},tLife={bEnable=false,szOperator="&gt;",nValue=0,},},},},</v>
      </c>
    </row>
    <row r="539" spans="1:22" x14ac:dyDescent="0.15">
      <c r="C539">
        <v>36425</v>
      </c>
      <c r="D539">
        <v>52</v>
      </c>
      <c r="I539" t="s">
        <v>4008</v>
      </c>
      <c r="J539" t="s">
        <v>2168</v>
      </c>
      <c r="U539" t="s">
        <v>4009</v>
      </c>
      <c r="V539" t="str">
        <f t="shared" si="8"/>
        <v>{dwID=36425,nFrame=52,szNote="大旗·激流坞",col={0,255,0,},[3]={},[4]={},aFocus={{dwMapID=-1,szDisplay="大旗·激流坞",nMaxDistance=3,tRelation={bAll=true,bEnemy=false,bAlly=false,},tLife={bEnable=false,szOperator="&gt;",nValue=0,},},},},</v>
      </c>
    </row>
    <row r="540" spans="1:22" x14ac:dyDescent="0.15">
      <c r="C540">
        <v>36424</v>
      </c>
      <c r="D540">
        <v>52</v>
      </c>
      <c r="I540" t="s">
        <v>4010</v>
      </c>
      <c r="J540" t="s">
        <v>2168</v>
      </c>
      <c r="U540" t="s">
        <v>4011</v>
      </c>
      <c r="V540" t="str">
        <f t="shared" si="8"/>
        <v>{dwID=36424,nFrame=52,szNote="大旗·不空关",col={0,255,0,},[3]={},[4]={},aFocus={{dwMapID=-1,szDisplay="大旗·不空关",nMaxDistance=3,tRelation={bAll=true,bEnemy=false,bAlly=false,},tLife={bEnable=false,szOperator="&gt;",nValue=0,},},},},</v>
      </c>
    </row>
    <row r="541" spans="1:22" x14ac:dyDescent="0.15">
      <c r="A541" t="s">
        <v>723</v>
      </c>
      <c r="B541">
        <v>38</v>
      </c>
      <c r="V541" t="str">
        <f t="shared" si="8"/>
        <v>},[38]={</v>
      </c>
    </row>
    <row r="542" spans="1:22" x14ac:dyDescent="0.15">
      <c r="C542">
        <v>55832</v>
      </c>
      <c r="D542">
        <v>47</v>
      </c>
      <c r="J542" t="s">
        <v>4012</v>
      </c>
      <c r="K542" t="s">
        <v>4013</v>
      </c>
      <c r="O542">
        <v>1</v>
      </c>
      <c r="P542">
        <v>1</v>
      </c>
      <c r="U542" t="s">
        <v>3623</v>
      </c>
      <c r="V542" t="str">
        <f t="shared" si="8"/>
        <v>{dwID=55832,nFrame=47,col={0,128,255,},[3]={tMark={false,false,false,false,false,false,false,false,false,true,},bCenterAlarm=true,bScreenHead=true,},[4]={},aFocus={{dwMapID=-1,nMaxDistance=0,tRelation={bAll=true,bEnemy=false,bAlly=false,},tLife={bEnable=false,szOperator="&gt;",nValue=0,},},},},</v>
      </c>
    </row>
    <row r="543" spans="1:22" x14ac:dyDescent="0.15">
      <c r="C543">
        <v>55831</v>
      </c>
      <c r="D543">
        <v>47</v>
      </c>
      <c r="J543" t="s">
        <v>2676</v>
      </c>
      <c r="K543" t="s">
        <v>4013</v>
      </c>
      <c r="O543">
        <v>1</v>
      </c>
      <c r="P543">
        <v>1</v>
      </c>
      <c r="U543" t="s">
        <v>3623</v>
      </c>
      <c r="V543" t="str">
        <f t="shared" si="8"/>
        <v>{dwID=55831,nFrame=47,col={255,50,50,},[3]={tMark={false,false,false,false,false,false,false,false,false,true,},bCenterAlarm=true,bScreenHead=true,},[4]={},aFocus={{dwMapID=-1,nMaxDistance=0,tRelation={bAll=true,bEnemy=false,bAlly=false,},tLife={bEnable=false,szOperator="&gt;",nValue=0,},},},},</v>
      </c>
    </row>
    <row r="544" spans="1:22" x14ac:dyDescent="0.15">
      <c r="A544" t="s">
        <v>732</v>
      </c>
      <c r="B544">
        <v>47</v>
      </c>
      <c r="V544" t="str">
        <f t="shared" si="8"/>
        <v>},[47]={</v>
      </c>
    </row>
    <row r="545" spans="1:24" x14ac:dyDescent="0.15">
      <c r="C545">
        <v>6335</v>
      </c>
      <c r="D545">
        <v>47</v>
      </c>
      <c r="U545" t="s">
        <v>4014</v>
      </c>
      <c r="V545" t="str">
        <f t="shared" si="8"/>
        <v>{dwID=6335,nFrame=47,[3]={},[4]={},aFocus={{dwMapID=-1,szDisplay="剧情",nMaxDistance=10,tRelation={bAll=false,bEnemy=false,bAlly=true,},tLife={bEnable=false,szOperator="&gt;",nValue=0,},},},tCountdown={{nClass=3,nIcon=13,nFrame=6,szName="对话·李复·选项3·开启快速",nTime=30,key="剧情·提示1",},{nClass=4,nIcon=13,nFrame=5,szName="剧情·提示1",nTime=0,key="剧情·提示1",},},},</v>
      </c>
      <c r="W545" t="s">
        <v>4015</v>
      </c>
      <c r="X545" t="s">
        <v>4016</v>
      </c>
    </row>
    <row r="546" spans="1:24" x14ac:dyDescent="0.15">
      <c r="C546">
        <v>7670</v>
      </c>
      <c r="D546">
        <v>57</v>
      </c>
      <c r="U546" t="s">
        <v>3733</v>
      </c>
      <c r="V546" t="str">
        <f t="shared" si="8"/>
        <v>{dwID=7670,nFrame=57,[3]={},[4]={},aFocus={{dwMapID=-1,nMaxDistance=60,tRelation={bAll=true,bEnemy=false,bAlly=false,},tLife={bEnable=false,szOperator="&gt;",nValue=0,},},},},</v>
      </c>
    </row>
    <row r="547" spans="1:24" x14ac:dyDescent="0.15">
      <c r="A547" t="s">
        <v>733</v>
      </c>
      <c r="B547">
        <v>48</v>
      </c>
      <c r="V547" t="str">
        <f t="shared" si="8"/>
        <v>},[48]={</v>
      </c>
    </row>
    <row r="548" spans="1:24" x14ac:dyDescent="0.15">
      <c r="C548">
        <v>6620</v>
      </c>
      <c r="D548">
        <v>47</v>
      </c>
      <c r="J548" t="s">
        <v>2168</v>
      </c>
      <c r="O548">
        <v>1</v>
      </c>
      <c r="P548">
        <v>1</v>
      </c>
      <c r="U548" t="s">
        <v>3623</v>
      </c>
      <c r="V548" t="str">
        <f t="shared" si="8"/>
        <v>{dwID=6620,nFrame=47,col={0,255,0,},[3]={bCenterAlarm=true,bScreenHead=true,},[4]={},aFocus={{dwMapID=-1,nMaxDistance=0,tRelation={bAll=true,bEnemy=false,bAlly=false,},tLife={bEnable=false,szOperator="&gt;",nValue=0,},},},},</v>
      </c>
    </row>
    <row r="549" spans="1:24" x14ac:dyDescent="0.15">
      <c r="A549" t="s">
        <v>734</v>
      </c>
      <c r="B549">
        <v>49</v>
      </c>
      <c r="V549" t="str">
        <f t="shared" si="8"/>
        <v>},[49]={</v>
      </c>
    </row>
    <row r="550" spans="1:24" x14ac:dyDescent="0.15">
      <c r="C550">
        <v>50300</v>
      </c>
      <c r="D550">
        <v>47</v>
      </c>
      <c r="J550" t="s">
        <v>2168</v>
      </c>
      <c r="P550">
        <v>1</v>
      </c>
      <c r="U550" t="s">
        <v>4017</v>
      </c>
      <c r="V550" t="str">
        <f t="shared" si="8"/>
        <v>{dwID=50300,nFrame=47,col={0,255,0,},[3]={bScreenHead=true,},[4]={},aFocus={{dwMapID=-1,nMaxDistance=6,tRelation={bAll=false,bEnemy=false,bAlly=true,},tLife={bEnable=false,szOperator="&gt;",nValue=0,},},},},</v>
      </c>
    </row>
    <row r="551" spans="1:24" x14ac:dyDescent="0.15">
      <c r="C551">
        <v>50283</v>
      </c>
      <c r="D551">
        <v>57</v>
      </c>
      <c r="J551" t="s">
        <v>2676</v>
      </c>
      <c r="P551">
        <v>1</v>
      </c>
      <c r="U551" t="s">
        <v>3644</v>
      </c>
      <c r="V551" t="str">
        <f t="shared" si="8"/>
        <v>{dwID=50283,nFrame=57,col={255,50,50,},[3]={bScreenHead=true,},[4]={},aFocus={{dwMapID=-1,nMaxDistance=0,tRelation={bAll=false,bEnemy=true,bAlly=false,},tLife={bEnable=false,szOperator="&gt;",nValue=0,},},},},</v>
      </c>
    </row>
    <row r="552" spans="1:24" x14ac:dyDescent="0.15">
      <c r="C552">
        <v>50284</v>
      </c>
      <c r="D552">
        <v>57</v>
      </c>
      <c r="J552" t="s">
        <v>2676</v>
      </c>
      <c r="P552">
        <v>1</v>
      </c>
      <c r="U552" t="s">
        <v>3644</v>
      </c>
      <c r="V552" t="str">
        <f t="shared" si="8"/>
        <v>{dwID=50284,nFrame=57,col={255,50,50,},[3]={bScreenHead=true,},[4]={},aFocus={{dwMapID=-1,nMaxDistance=0,tRelation={bAll=false,bEnemy=true,bAlly=false,},tLife={bEnable=false,szOperator="&gt;",nValue=0,},},},},</v>
      </c>
    </row>
    <row r="553" spans="1:24" x14ac:dyDescent="0.15">
      <c r="C553">
        <v>59354</v>
      </c>
      <c r="D553">
        <v>47</v>
      </c>
      <c r="I553" t="s">
        <v>4018</v>
      </c>
      <c r="U553" t="s">
        <v>4019</v>
      </c>
      <c r="V553" t="str">
        <f t="shared" si="8"/>
        <v>{dwID=59354,nFrame=47,szNote="烟花戏·卿重",[3]={},[4]={},aFocus={{dwMapID=-1,szDisplay="卿重·烟花戏",nMaxDistance=40,tRelation={bAll=true,bEnemy=false,bAlly=false,},tLife={bEnable=false,szOperator="&gt;",nValue=0,},},},},</v>
      </c>
    </row>
    <row r="554" spans="1:24" x14ac:dyDescent="0.15">
      <c r="A554" t="s">
        <v>742</v>
      </c>
      <c r="B554">
        <v>60</v>
      </c>
      <c r="V554" t="str">
        <f t="shared" si="8"/>
        <v>},[60]={</v>
      </c>
    </row>
    <row r="555" spans="1:24" x14ac:dyDescent="0.15">
      <c r="C555">
        <v>7312</v>
      </c>
      <c r="D555">
        <v>47</v>
      </c>
      <c r="J555" t="s">
        <v>2168</v>
      </c>
      <c r="P555">
        <v>1</v>
      </c>
      <c r="U555" t="s">
        <v>4020</v>
      </c>
      <c r="V555" t="str">
        <f t="shared" si="8"/>
        <v>{dwID=7312,nFrame=47,col={0,255,0,},[3]={bScreenHead=true,},[4]={},aFocus={{dwMapID=-1,szDisplay="道海·剧情",nMaxDistance=10,tRelation={bAll=false,bEnemy=false,bAlly=true,},tLife={bEnable=false,szOperator="&gt;",nValue=0,},},},},</v>
      </c>
    </row>
    <row r="556" spans="1:24" x14ac:dyDescent="0.15">
      <c r="A556" t="s">
        <v>756</v>
      </c>
      <c r="B556">
        <v>74</v>
      </c>
      <c r="V556" t="str">
        <f t="shared" si="8"/>
        <v>},[74]={</v>
      </c>
    </row>
    <row r="557" spans="1:24" x14ac:dyDescent="0.15">
      <c r="C557">
        <v>15177</v>
      </c>
      <c r="D557">
        <v>47</v>
      </c>
      <c r="J557" t="s">
        <v>2152</v>
      </c>
      <c r="P557">
        <v>1</v>
      </c>
      <c r="U557" t="s">
        <v>4021</v>
      </c>
      <c r="V557" t="str">
        <f t="shared" si="8"/>
        <v>{dwID=15177,nFrame=47,col={0,255,255,},[3]={bScreenHead=true,},[4]={},aFocus={{dwMapID=-1,nMaxDistance=90,tRelation={bAll=true,bEnemy=false,bAlly=false,},tLife={bEnable=false,szOperator="&gt;",nValue=0,},},},},</v>
      </c>
    </row>
    <row r="558" spans="1:24" x14ac:dyDescent="0.15">
      <c r="C558">
        <v>10909</v>
      </c>
      <c r="D558">
        <v>47</v>
      </c>
      <c r="O558">
        <v>1</v>
      </c>
      <c r="P558">
        <v>1</v>
      </c>
      <c r="U558" t="s">
        <v>4022</v>
      </c>
      <c r="V558" t="str">
        <f t="shared" si="8"/>
        <v>{dwID=10909,nFrame=47,[3]={bCenterAlarm=true,bScreenHead=true,},[4]={},aFocus={{dwMapID=-1,szDisplay="猪九戒·菜园保卫战",nMaxDistance=0,tRelation={bAll=true,bEnemy=false,bAlly=false,},tLife={bEnable=false,szOperator="&gt;",nValue=0,},},},},</v>
      </c>
    </row>
    <row r="559" spans="1:24" x14ac:dyDescent="0.15">
      <c r="A559" t="s">
        <v>758</v>
      </c>
      <c r="B559">
        <v>100</v>
      </c>
      <c r="V559" t="str">
        <f t="shared" si="8"/>
        <v>},[100]={</v>
      </c>
    </row>
    <row r="560" spans="1:24" x14ac:dyDescent="0.15">
      <c r="C560">
        <v>36427</v>
      </c>
      <c r="D560">
        <v>52</v>
      </c>
      <c r="I560" t="s">
        <v>4023</v>
      </c>
      <c r="J560" t="s">
        <v>2168</v>
      </c>
      <c r="U560" t="s">
        <v>4024</v>
      </c>
      <c r="V560" t="str">
        <f t="shared" si="8"/>
        <v>{dwID=36427,nFrame=52,szNote="大旗·日月崖",col={0,255,0,},[3]={},[4]={},aFocus={{dwMapID=-1,szDisplay="大旗·日月崖",nMaxDistance=3,tRelation={bAll=true,bEnemy=false,bAlly=false,},tLife={bEnable=false,szOperator="&gt;",nValue=0,},},},},</v>
      </c>
    </row>
    <row r="561" spans="1:22" x14ac:dyDescent="0.15">
      <c r="C561">
        <v>36426</v>
      </c>
      <c r="D561">
        <v>52</v>
      </c>
      <c r="I561" t="s">
        <v>4025</v>
      </c>
      <c r="J561" t="s">
        <v>2168</v>
      </c>
      <c r="U561" t="s">
        <v>4026</v>
      </c>
      <c r="V561" t="str">
        <f t="shared" si="8"/>
        <v>{dwID=36426,nFrame=52,szNote="大旗·卧龙坡",col={0,255,0,},[3]={},[4]={},aFocus={{dwMapID=-1,szDisplay="大旗·卧龙坡",nMaxDistance=3,tRelation={bAll=true,bEnemy=false,bAlly=false,},tLife={bEnable=false,szOperator="&gt;",nValue=0,},},},},</v>
      </c>
    </row>
    <row r="562" spans="1:22" x14ac:dyDescent="0.15">
      <c r="A562" t="s">
        <v>759</v>
      </c>
      <c r="B562">
        <v>101</v>
      </c>
      <c r="V562" t="str">
        <f t="shared" si="8"/>
        <v>},[101]={</v>
      </c>
    </row>
    <row r="563" spans="1:22" x14ac:dyDescent="0.15">
      <c r="C563">
        <v>18581</v>
      </c>
      <c r="D563">
        <v>47</v>
      </c>
      <c r="I563">
        <v>18581</v>
      </c>
      <c r="J563" t="s">
        <v>2168</v>
      </c>
      <c r="O563">
        <v>1</v>
      </c>
      <c r="P563">
        <v>1</v>
      </c>
      <c r="T563">
        <v>1</v>
      </c>
      <c r="U563" t="s">
        <v>3623</v>
      </c>
      <c r="V563" t="str">
        <f t="shared" si="8"/>
        <v>{dwID=18581,nFrame=47,szNote="18581",col={0,255,0,},[3]={bCenterAlarm=true,bScreenHead=true,},[4]={bCenterAlarm=true,},aFocus={{dwMapID=-1,nMaxDistance=0,tRelation={bAll=true,bEnemy=false,bAlly=false,},tLife={bEnable=false,szOperator="&gt;",nValue=0,},},},},</v>
      </c>
    </row>
    <row r="564" spans="1:22" x14ac:dyDescent="0.15">
      <c r="C564">
        <v>18582</v>
      </c>
      <c r="D564">
        <v>47</v>
      </c>
      <c r="I564">
        <v>18582</v>
      </c>
      <c r="J564" t="s">
        <v>2168</v>
      </c>
      <c r="O564">
        <v>1</v>
      </c>
      <c r="P564">
        <v>1</v>
      </c>
      <c r="T564">
        <v>1</v>
      </c>
      <c r="U564" t="s">
        <v>3623</v>
      </c>
      <c r="V564" t="str">
        <f t="shared" si="8"/>
        <v>{dwID=18582,nFrame=47,szNote="18582",col={0,255,0,},[3]={bCenterAlarm=true,bScreenHead=true,},[4]={bCenterAlarm=true,},aFocus={{dwMapID=-1,nMaxDistance=0,tRelation={bAll=true,bEnemy=false,bAlly=false,},tLife={bEnable=false,szOperator="&gt;",nValue=0,},},},},</v>
      </c>
    </row>
    <row r="565" spans="1:22" x14ac:dyDescent="0.15">
      <c r="C565">
        <v>18579</v>
      </c>
      <c r="D565">
        <v>47</v>
      </c>
      <c r="I565">
        <v>18579</v>
      </c>
      <c r="J565" t="s">
        <v>2168</v>
      </c>
      <c r="O565">
        <v>1</v>
      </c>
      <c r="P565">
        <v>1</v>
      </c>
      <c r="T565">
        <v>1</v>
      </c>
      <c r="U565" t="s">
        <v>3623</v>
      </c>
      <c r="V565" t="str">
        <f t="shared" si="8"/>
        <v>{dwID=18579,nFrame=47,szNote="18579",col={0,255,0,},[3]={bCenterAlarm=true,bScreenHead=true,},[4]={bCenterAlarm=true,},aFocus={{dwMapID=-1,nMaxDistance=0,tRelation={bAll=true,bEnemy=false,bAlly=false,},tLife={bEnable=false,szOperator="&gt;",nValue=0,},},},},</v>
      </c>
    </row>
    <row r="566" spans="1:22" x14ac:dyDescent="0.15">
      <c r="C566">
        <v>18585</v>
      </c>
      <c r="D566">
        <v>47</v>
      </c>
      <c r="I566">
        <v>18585</v>
      </c>
      <c r="J566" t="s">
        <v>2168</v>
      </c>
      <c r="O566">
        <v>1</v>
      </c>
      <c r="P566">
        <v>1</v>
      </c>
      <c r="T566">
        <v>1</v>
      </c>
      <c r="U566" t="s">
        <v>3623</v>
      </c>
      <c r="V566" t="str">
        <f t="shared" si="8"/>
        <v>{dwID=18585,nFrame=47,szNote="18585",col={0,255,0,},[3]={bCenterAlarm=true,bScreenHead=true,},[4]={bCenterAlarm=true,},aFocus={{dwMapID=-1,nMaxDistance=0,tRelation={bAll=true,bEnemy=false,bAlly=false,},tLife={bEnable=false,szOperator="&gt;",nValue=0,},},},},</v>
      </c>
    </row>
    <row r="567" spans="1:22" x14ac:dyDescent="0.15">
      <c r="C567">
        <v>18577</v>
      </c>
      <c r="D567">
        <v>47</v>
      </c>
      <c r="I567">
        <v>18577</v>
      </c>
      <c r="J567" t="s">
        <v>2168</v>
      </c>
      <c r="O567">
        <v>1</v>
      </c>
      <c r="P567">
        <v>1</v>
      </c>
      <c r="T567">
        <v>1</v>
      </c>
      <c r="U567" t="s">
        <v>3623</v>
      </c>
      <c r="V567" t="str">
        <f t="shared" si="8"/>
        <v>{dwID=18577,nFrame=47,szNote="18577",col={0,255,0,},[3]={bCenterAlarm=true,bScreenHead=true,},[4]={bCenterAlarm=true,},aFocus={{dwMapID=-1,nMaxDistance=0,tRelation={bAll=true,bEnemy=false,bAlly=false,},tLife={bEnable=false,szOperator="&gt;",nValue=0,},},},},</v>
      </c>
    </row>
    <row r="568" spans="1:22" x14ac:dyDescent="0.15">
      <c r="C568">
        <v>18586</v>
      </c>
      <c r="D568">
        <v>47</v>
      </c>
      <c r="I568">
        <v>18586</v>
      </c>
      <c r="J568" t="s">
        <v>2168</v>
      </c>
      <c r="O568">
        <v>1</v>
      </c>
      <c r="P568">
        <v>1</v>
      </c>
      <c r="T568">
        <v>1</v>
      </c>
      <c r="U568" t="s">
        <v>3623</v>
      </c>
      <c r="V568" t="str">
        <f t="shared" si="8"/>
        <v>{dwID=18586,nFrame=47,szNote="18586",col={0,255,0,},[3]={bCenterAlarm=true,bScreenHead=true,},[4]={bCenterAlarm=true,},aFocus={{dwMapID=-1,nMaxDistance=0,tRelation={bAll=true,bEnemy=false,bAlly=false,},tLife={bEnable=false,szOperator="&gt;",nValue=0,},},},},</v>
      </c>
    </row>
    <row r="569" spans="1:22" x14ac:dyDescent="0.15">
      <c r="C569">
        <v>19124</v>
      </c>
      <c r="D569">
        <v>47</v>
      </c>
      <c r="V569" t="str">
        <f t="shared" si="8"/>
        <v>{dwID=19124,nFrame=47,[3]={},[4]={},},</v>
      </c>
    </row>
    <row r="570" spans="1:22" x14ac:dyDescent="0.15">
      <c r="C570">
        <v>10030</v>
      </c>
      <c r="D570">
        <v>50</v>
      </c>
      <c r="J570" t="s">
        <v>2152</v>
      </c>
      <c r="P570">
        <v>1</v>
      </c>
      <c r="U570" t="s">
        <v>4027</v>
      </c>
      <c r="V570" t="str">
        <f t="shared" si="8"/>
        <v>{dwID=10030,nFrame=50,col={0,255,255,},[3]={bScreenHead=true,},[4]={},aFocus={{dwMapID=-1,szDisplay="螃蟹·青蟹",nMaxDistance=10,tRelation={bAll=false,bEnemy=true,bAlly=false,},tLife={bEnable=false,szOperator="&gt;",nValue=0,},},},},</v>
      </c>
    </row>
    <row r="571" spans="1:22" x14ac:dyDescent="0.15">
      <c r="C571">
        <v>14077</v>
      </c>
      <c r="D571">
        <v>57</v>
      </c>
      <c r="U571" t="s">
        <v>4028</v>
      </c>
      <c r="V571" t="str">
        <f t="shared" si="8"/>
        <v>{dwID=14077,nFrame=57,[3]={},[4]={},aFocus={{dwMapID=-1,nMaxDistance=20,tRelation={bAll=true,bEnemy=false,bAlly=false,},tLife={bEnable=false,szOperator="&gt;",nValue=0,},},},},</v>
      </c>
    </row>
    <row r="572" spans="1:22" x14ac:dyDescent="0.15">
      <c r="C572">
        <v>14078</v>
      </c>
      <c r="D572">
        <v>57</v>
      </c>
      <c r="P572">
        <v>1</v>
      </c>
      <c r="U572" t="s">
        <v>4028</v>
      </c>
      <c r="V572" t="str">
        <f t="shared" si="8"/>
        <v>{dwID=14078,nFrame=57,[3]={bScreenHead=true,},[4]={},aFocus={{dwMapID=-1,nMaxDistance=20,tRelation={bAll=true,bEnemy=false,bAlly=false,},tLife={bEnable=false,szOperator="&gt;",nValue=0,},},},},</v>
      </c>
    </row>
    <row r="573" spans="1:22" x14ac:dyDescent="0.15">
      <c r="C573">
        <v>14076</v>
      </c>
      <c r="D573">
        <v>52</v>
      </c>
      <c r="P573">
        <v>1</v>
      </c>
      <c r="U573" t="s">
        <v>3622</v>
      </c>
      <c r="V573" t="str">
        <f t="shared" si="8"/>
        <v>{dwID=14076,nFrame=52,[3]={bScreenHead=true,},[4]={},aFocus={{dwMapID=-1,nMaxDistance=30,tRelation={bAll=true,bEnemy=false,bAlly=false,},tLife={bEnable=false,szOperator="&gt;",nValue=0,},},},},</v>
      </c>
    </row>
    <row r="574" spans="1:22" x14ac:dyDescent="0.15">
      <c r="C574">
        <v>14252</v>
      </c>
      <c r="D574">
        <v>47</v>
      </c>
      <c r="I574" t="s">
        <v>4029</v>
      </c>
      <c r="U574" t="s">
        <v>4030</v>
      </c>
      <c r="V574" t="str">
        <f t="shared" si="8"/>
        <v>{dwID=14252,nFrame=47,szNote="竹儿",[3]={},[4]={},aFocus={{dwMapID=-1,szDisplay="竹儿·孔雀湖",nMaxDistance=6,tRelation={bAll=true,bEnemy=false,bAlly=false,},tLife={bEnable=false,szOperator="&gt;",nValue=0,},},},},</v>
      </c>
    </row>
    <row r="575" spans="1:22" x14ac:dyDescent="0.15">
      <c r="C575">
        <v>12137</v>
      </c>
      <c r="D575">
        <v>60</v>
      </c>
      <c r="I575" t="s">
        <v>4031</v>
      </c>
      <c r="U575" t="s">
        <v>4032</v>
      </c>
      <c r="V575" t="str">
        <f t="shared" si="8"/>
        <v>{dwID=12137,nFrame=60,szNote="孔雀",[3]={},[4]={},aFocus={{dwMapID=-1,szDisplay="孔雀·乌蒙后山",nMaxDistance=50,tRelation={bAll=true,bEnemy=false,bAlly=false,},tLife={bEnable=false,szOperator="&gt;",nValue=0,},},},},</v>
      </c>
    </row>
    <row r="576" spans="1:22" x14ac:dyDescent="0.15">
      <c r="C576">
        <v>14015</v>
      </c>
      <c r="D576">
        <v>47</v>
      </c>
      <c r="I576" t="s">
        <v>4033</v>
      </c>
      <c r="U576" t="s">
        <v>4034</v>
      </c>
      <c r="V576" t="str">
        <f t="shared" si="8"/>
        <v>{dwID=14015,nFrame=47,szNote="花月马·赛马比赛",[3]={},[4]={},aFocus={{dwMapID=-1,szDisplay="花月马·赛马比赛",nMaxDistance=20,tRelation={bAll=true,bEnemy=false,bAlly=false,},tLife={bEnable=false,szOperator="&gt;",nValue=0,},},},},</v>
      </c>
    </row>
    <row r="577" spans="1:22" x14ac:dyDescent="0.15">
      <c r="C577">
        <v>51936</v>
      </c>
      <c r="D577">
        <v>47</v>
      </c>
      <c r="I577" t="s">
        <v>4035</v>
      </c>
      <c r="J577" t="s">
        <v>2152</v>
      </c>
      <c r="P577">
        <v>1</v>
      </c>
      <c r="U577" t="s">
        <v>4036</v>
      </c>
      <c r="V577" t="str">
        <f t="shared" si="8"/>
        <v>{dwID=51936,nFrame=47,szNote="竹马情·沈笑颜",col={0,255,255,},[3]={bScreenHead=true,},[4]={},aFocus={{dwMapID=-1,szDisplay="沈笑颜·竹马情",nMaxDistance=60,tRelation={bAll=true,bEnemy=false,bAlly=false,},tLife={bEnable=false,szOperator="&gt;",nValue=0,},},},},</v>
      </c>
    </row>
    <row r="578" spans="1:22" x14ac:dyDescent="0.15">
      <c r="C578">
        <v>7911</v>
      </c>
      <c r="D578">
        <v>47</v>
      </c>
      <c r="I578" t="s">
        <v>4037</v>
      </c>
      <c r="U578" t="s">
        <v>4038</v>
      </c>
      <c r="V578" t="str">
        <f t="shared" ref="V578:V641" si="9">IF(ISBLANK(B578)=FALSE,IF(ISBLANK(B577),"},["&amp;B578&amp;"]={","["&amp;B578&amp;"]={"),IF(AND(ISBLANK(B578),ISBLANK(D578),ISBLANK(C578),OR(ISBLANK(B577)=FALSE,ISBLANK(D577)=FALSE,ISBLANK(C577)=FALSE)),"},},}",IF(ISBLANK(C578),"","{dwID="&amp;C578&amp;","&amp;"nFrame="&amp;D578&amp;","&amp;IF(E578&gt;0,"nCount="&amp;E578&amp;",","")&amp;IF(F578&gt;0,"bAllLeave=true,","")&amp;IF(G578&lt;&gt;"","szName="""&amp;G578&amp;""",","")&amp;IF(H578&lt;&gt;"","tKungFu={"&amp;H578&amp;"},","")&amp;IF(I578&lt;&gt;"","szNote="""&amp;I578&amp;""",","")&amp;IF(J578&lt;&gt;"","col={"&amp;J578&amp;"},","")&amp;"[3]={"&amp;IF(K578&lt;&gt;"","tMark={"&amp;K578&amp;"},","")&amp;IF(L578&lt;&gt;"","szVoice="""&amp;L578&amp;""",","")&amp;IF(M578&gt;0,"bTeamChannel=true,","")&amp;IF(N578&gt;0,"bWhisperChannel=true,","")&amp;IF(O578&gt;0,"bCenterAlarm=true,","")&amp;IF(P578&gt;0,"bScreenHead=true,","")&amp;"},"&amp;"[4]={"&amp;IF(Q578&lt;&gt;"","szVoice="""&amp;Q578&amp;""",","")&amp;IF(R578&gt;0,"bTeamChannel=true,","")&amp;IF(S578&gt;0,"bWhisperChannel=true,","")&amp;IF(T578&gt;0,"bCenterAlarm=true,","")&amp;"},"&amp;IF(U578&lt;&gt;"","aFocus={"&amp;U578&amp;"},","")&amp;IF(W578&lt;&gt;"","tCountdown={"&amp;_xlfn.TEXTJOIN("",TRUE,W578:ZZ578)&amp;"},","")&amp;"},")))</f>
        <v>{dwID=7911,nFrame=47,szNote="竹马情·万福",[3]={},[4]={},aFocus={{dwMapID=-1,szDisplay="万福·竹马情",nMaxDistance=60,tRelation={bAll=true,bEnemy=false,bAlly=false,},tLife={bEnable=false,szOperator="&gt;",nValue=0,},},},},</v>
      </c>
    </row>
    <row r="579" spans="1:22" x14ac:dyDescent="0.15">
      <c r="C579">
        <v>51939</v>
      </c>
      <c r="D579">
        <v>47</v>
      </c>
      <c r="I579" t="s">
        <v>4039</v>
      </c>
      <c r="U579" t="s">
        <v>4040</v>
      </c>
      <c r="V579" t="str">
        <f t="shared" si="9"/>
        <v>{dwID=51939,nFrame=47,szNote="竹马情·向万景",[3]={},[4]={},aFocus={{dwMapID=-1,szDisplay="向万景·竹马情",nMaxDistance=120,tRelation={bAll=true,bEnemy=false,bAlly=false,},tLife={bEnable=false,szOperator="&gt;",nValue=0,},},},},</v>
      </c>
    </row>
    <row r="580" spans="1:22" x14ac:dyDescent="0.15">
      <c r="C580">
        <v>51944</v>
      </c>
      <c r="D580">
        <v>47</v>
      </c>
      <c r="I580" t="s">
        <v>4039</v>
      </c>
      <c r="U580" t="s">
        <v>4041</v>
      </c>
      <c r="V580" t="str">
        <f t="shared" si="9"/>
        <v>{dwID=51944,nFrame=47,szNote="竹马情·向万景",[3]={},[4]={},aFocus={{dwMapID=-1,szDisplay="向万景·竹马情",nMaxDistance=90,tRelation={bAll=true,bEnemy=false,bAlly=false,},tLife={bEnable=false,szOperator="&gt;",nValue=0,},},},},</v>
      </c>
    </row>
    <row r="581" spans="1:22" x14ac:dyDescent="0.15">
      <c r="C581">
        <v>51945</v>
      </c>
      <c r="D581">
        <v>47</v>
      </c>
      <c r="U581" t="s">
        <v>3622</v>
      </c>
      <c r="V581" t="str">
        <f t="shared" si="9"/>
        <v>{dwID=51945,nFrame=47,[3]={},[4]={},aFocus={{dwMapID=-1,nMaxDistance=30,tRelation={bAll=true,bEnemy=false,bAlly=false,},tLife={bEnable=false,szOperator="&gt;",nValue=0,},},},},</v>
      </c>
    </row>
    <row r="582" spans="1:22" x14ac:dyDescent="0.15">
      <c r="C582">
        <v>36428</v>
      </c>
      <c r="D582">
        <v>52</v>
      </c>
      <c r="I582" t="s">
        <v>4042</v>
      </c>
      <c r="J582" t="s">
        <v>2168</v>
      </c>
      <c r="U582" t="s">
        <v>4043</v>
      </c>
      <c r="V582" t="str">
        <f t="shared" si="9"/>
        <v>{dwID=36428,nFrame=52,szNote="大旗·霜戈堡",col={0,255,0,},[3]={},[4]={},aFocus={{dwMapID=-1,szDisplay="大旗·霜戈堡",nMaxDistance=3,tRelation={bAll=true,bEnemy=false,bAlly=false,},tLife={bEnable=false,szOperator="&gt;",nValue=0,},},},},</v>
      </c>
    </row>
    <row r="583" spans="1:22" x14ac:dyDescent="0.15">
      <c r="C583">
        <v>36429</v>
      </c>
      <c r="D583">
        <v>52</v>
      </c>
      <c r="I583" t="s">
        <v>4044</v>
      </c>
      <c r="J583" t="s">
        <v>2168</v>
      </c>
      <c r="U583" t="s">
        <v>4045</v>
      </c>
      <c r="V583" t="str">
        <f t="shared" si="9"/>
        <v>{dwID=36429,nFrame=52,szNote="大旗·澜沧城",col={0,255,0,},[3]={},[4]={},aFocus={{dwMapID=-1,szDisplay="大旗·澜沧城",nMaxDistance=3,tRelation={bAll=true,bEnemy=false,bAlly=false,},tLife={bEnable=false,szOperator="&gt;",nValue=0,},},},},</v>
      </c>
    </row>
    <row r="584" spans="1:22" x14ac:dyDescent="0.15">
      <c r="A584" t="s">
        <v>760</v>
      </c>
      <c r="B584">
        <v>102</v>
      </c>
      <c r="V584" t="str">
        <f t="shared" si="9"/>
        <v>},[102]={</v>
      </c>
    </row>
    <row r="585" spans="1:22" x14ac:dyDescent="0.15">
      <c r="C585">
        <v>52726</v>
      </c>
      <c r="D585">
        <v>67</v>
      </c>
      <c r="U585" t="s">
        <v>3759</v>
      </c>
      <c r="V585" t="str">
        <f t="shared" si="9"/>
        <v>{dwID=52726,nFrame=67,[3]={},[4]={},aFocus={{dwMapID=-1,nMaxDistance=30,tRelation={bAll=false,bEnemy=true,bAlly=false,},tLife={bEnable=false,szOperator="&gt;",nValue=0,},},},},</v>
      </c>
    </row>
    <row r="586" spans="1:22" x14ac:dyDescent="0.15">
      <c r="C586">
        <v>53052</v>
      </c>
      <c r="D586">
        <v>67</v>
      </c>
      <c r="U586" t="s">
        <v>3623</v>
      </c>
      <c r="V586" t="str">
        <f t="shared" si="9"/>
        <v>{dwID=53052,nFrame=67,[3]={},[4]={},aFocus={{dwMapID=-1,nMaxDistance=0,tRelation={bAll=true,bEnemy=false,bAlly=false,},tLife={bEnable=false,szOperator="&gt;",nValue=0,},},},},</v>
      </c>
    </row>
    <row r="587" spans="1:22" x14ac:dyDescent="0.15">
      <c r="C587">
        <v>55304</v>
      </c>
      <c r="D587">
        <v>67</v>
      </c>
      <c r="U587" t="s">
        <v>3623</v>
      </c>
      <c r="V587" t="str">
        <f t="shared" si="9"/>
        <v>{dwID=55304,nFrame=67,[3]={},[4]={},aFocus={{dwMapID=-1,nMaxDistance=0,tRelation={bAll=true,bEnemy=false,bAlly=false,},tLife={bEnable=false,szOperator="&gt;",nValue=0,},},},},</v>
      </c>
    </row>
    <row r="588" spans="1:22" x14ac:dyDescent="0.15">
      <c r="C588">
        <v>55305</v>
      </c>
      <c r="D588">
        <v>67</v>
      </c>
      <c r="U588" t="s">
        <v>3623</v>
      </c>
      <c r="V588" t="str">
        <f t="shared" si="9"/>
        <v>{dwID=55305,nFrame=67,[3]={},[4]={},aFocus={{dwMapID=-1,nMaxDistance=0,tRelation={bAll=true,bEnemy=false,bAlly=false,},tLife={bEnable=false,szOperator="&gt;",nValue=0,},},},},</v>
      </c>
    </row>
    <row r="589" spans="1:22" x14ac:dyDescent="0.15">
      <c r="C589">
        <v>55306</v>
      </c>
      <c r="D589">
        <v>67</v>
      </c>
      <c r="U589" t="s">
        <v>3623</v>
      </c>
      <c r="V589" t="str">
        <f t="shared" si="9"/>
        <v>{dwID=55306,nFrame=67,[3]={},[4]={},aFocus={{dwMapID=-1,nMaxDistance=0,tRelation={bAll=true,bEnemy=false,bAlly=false,},tLife={bEnable=false,szOperator="&gt;",nValue=0,},},},},</v>
      </c>
    </row>
    <row r="590" spans="1:22" x14ac:dyDescent="0.15">
      <c r="C590">
        <v>55307</v>
      </c>
      <c r="D590">
        <v>67</v>
      </c>
      <c r="U590" t="s">
        <v>3623</v>
      </c>
      <c r="V590" t="str">
        <f t="shared" si="9"/>
        <v>{dwID=55307,nFrame=67,[3]={},[4]={},aFocus={{dwMapID=-1,nMaxDistance=0,tRelation={bAll=true,bEnemy=false,bAlly=false,},tLife={bEnable=false,szOperator="&gt;",nValue=0,},},},},</v>
      </c>
    </row>
    <row r="591" spans="1:22" x14ac:dyDescent="0.15">
      <c r="C591">
        <v>60518</v>
      </c>
      <c r="D591">
        <v>47</v>
      </c>
      <c r="I591" t="s">
        <v>3818</v>
      </c>
      <c r="J591" t="s">
        <v>2168</v>
      </c>
      <c r="P591">
        <v>1</v>
      </c>
      <c r="U591" t="s">
        <v>3819</v>
      </c>
      <c r="V591" t="str">
        <f t="shared" si="9"/>
        <v>{dwID=60518,nFrame=47,szNote="雪雪·剧情",col={0,255,0,},[3]={bScreenHead=true,},[4]={},aFocus={{dwMapID=-1,szDisplay="雪雪·剧情",nMaxDistance=0,tRelation={bAll=true,bEnemy=false,bAlly=false,},tLife={bEnable=false,szOperator="&gt;",nValue=0,},},},},</v>
      </c>
    </row>
    <row r="592" spans="1:22" x14ac:dyDescent="0.15">
      <c r="C592">
        <v>60287</v>
      </c>
      <c r="D592">
        <v>47</v>
      </c>
      <c r="I592" t="s">
        <v>3818</v>
      </c>
      <c r="J592" t="s">
        <v>2168</v>
      </c>
      <c r="P592">
        <v>1</v>
      </c>
      <c r="U592" t="s">
        <v>3819</v>
      </c>
      <c r="V592" t="str">
        <f t="shared" si="9"/>
        <v>{dwID=60287,nFrame=47,szNote="雪雪·剧情",col={0,255,0,},[3]={bScreenHead=true,},[4]={},aFocus={{dwMapID=-1,szDisplay="雪雪·剧情",nMaxDistance=0,tRelation={bAll=true,bEnemy=false,bAlly=false,},tLife={bEnable=false,szOperator="&gt;",nValue=0,},},},},</v>
      </c>
    </row>
    <row r="593" spans="1:22" x14ac:dyDescent="0.15">
      <c r="C593">
        <v>50670</v>
      </c>
      <c r="D593">
        <v>47</v>
      </c>
      <c r="I593" t="s">
        <v>2503</v>
      </c>
      <c r="J593" t="s">
        <v>2168</v>
      </c>
      <c r="P593">
        <v>1</v>
      </c>
      <c r="U593" t="s">
        <v>4046</v>
      </c>
      <c r="V593" t="str">
        <f t="shared" si="9"/>
        <v>{dwID=50670,nFrame=47,szNote="门派事件",col={0,255,0,},[3]={bScreenHead=true,},[4]={},aFocus={{dwMapID=-1,szDisplay="玛索·门派事件",nMaxDistance=20,tRelation={bAll=true,bEnemy=false,bAlly=false,},tLife={bEnable=false,szOperator="&gt;",nValue=0,},},},},</v>
      </c>
    </row>
    <row r="594" spans="1:22" x14ac:dyDescent="0.15">
      <c r="C594">
        <v>50666</v>
      </c>
      <c r="D594">
        <v>57</v>
      </c>
      <c r="I594" t="s">
        <v>2503</v>
      </c>
      <c r="J594" t="s">
        <v>2676</v>
      </c>
      <c r="P594">
        <v>1</v>
      </c>
      <c r="U594" t="s">
        <v>4047</v>
      </c>
      <c r="V594" t="str">
        <f t="shared" si="9"/>
        <v>{dwID=50666,nFrame=57,szNote="门派事件",col={255,50,50,},[3]={bScreenHead=true,},[4]={},aFocus={{dwMapID=-1,szDisplay="公治菱·门派事件",nMaxDistance=120,tRelation={bAll=false,bEnemy=true,bAlly=false,},tLife={bEnable=false,szOperator="&gt;",nValue=0,},},},},</v>
      </c>
    </row>
    <row r="595" spans="1:22" x14ac:dyDescent="0.15">
      <c r="C595">
        <v>50667</v>
      </c>
      <c r="D595">
        <v>57</v>
      </c>
      <c r="I595" t="s">
        <v>2503</v>
      </c>
      <c r="J595" t="s">
        <v>2676</v>
      </c>
      <c r="P595">
        <v>1</v>
      </c>
      <c r="U595" t="s">
        <v>4048</v>
      </c>
      <c r="V595" t="str">
        <f t="shared" si="9"/>
        <v>{dwID=50667,nFrame=57,szNote="门派事件",col={255,50,50,},[3]={bScreenHead=true,},[4]={},aFocus={{dwMapID=-1,szDisplay="植尸将·门派事件",nMaxDistance=120,tRelation={bAll=false,bEnemy=true,bAlly=false,},tLife={bEnable=false,szOperator="&gt;",nValue=0,},},},},</v>
      </c>
    </row>
    <row r="596" spans="1:22" x14ac:dyDescent="0.15">
      <c r="C596">
        <v>50866</v>
      </c>
      <c r="D596">
        <v>57</v>
      </c>
      <c r="I596" t="s">
        <v>2503</v>
      </c>
      <c r="J596" t="s">
        <v>2676</v>
      </c>
      <c r="P596">
        <v>1</v>
      </c>
      <c r="U596" t="s">
        <v>4049</v>
      </c>
      <c r="V596" t="str">
        <f t="shared" si="9"/>
        <v>{dwID=50866,nFrame=57,szNote="门派事件",col={255,50,50,},[3]={bScreenHead=true,},[4]={},aFocus={{dwMapID=-1,szDisplay="血魂巨蚊·门派事件",nMaxDistance=30,tRelation={bAll=false,bEnemy=true,bAlly=false,},tLife={bEnable=false,szOperator="&gt;",nValue=0,},},},},</v>
      </c>
    </row>
    <row r="597" spans="1:22" x14ac:dyDescent="0.15">
      <c r="C597">
        <v>50875</v>
      </c>
      <c r="D597">
        <v>57</v>
      </c>
      <c r="I597" t="s">
        <v>2503</v>
      </c>
      <c r="J597" t="s">
        <v>2676</v>
      </c>
      <c r="P597">
        <v>1</v>
      </c>
      <c r="U597" t="s">
        <v>3759</v>
      </c>
      <c r="V597" t="str">
        <f t="shared" si="9"/>
        <v>{dwID=50875,nFrame=57,szNote="门派事件",col={255,50,50,},[3]={bScreenHead=true,},[4]={},aFocus={{dwMapID=-1,nMaxDistance=30,tRelation={bAll=false,bEnemy=true,bAlly=false,},tLife={bEnable=false,szOperator="&gt;",nValue=0,},},},},</v>
      </c>
    </row>
    <row r="598" spans="1:22" x14ac:dyDescent="0.15">
      <c r="C598">
        <v>50669</v>
      </c>
      <c r="D598">
        <v>57</v>
      </c>
      <c r="I598" t="s">
        <v>2503</v>
      </c>
      <c r="J598" t="s">
        <v>2676</v>
      </c>
      <c r="P598">
        <v>1</v>
      </c>
      <c r="U598" t="s">
        <v>4050</v>
      </c>
      <c r="V598" t="str">
        <f t="shared" si="9"/>
        <v>{dwID=50669,nFrame=57,szNote="门派事件",col={255,50,50,},[3]={bScreenHead=true,},[4]={},aFocus={{dwMapID=-1,szDisplay="噬魂金虎·门派事件",nMaxDistance=120,tRelation={bAll=false,bEnemy=true,bAlly=false,},tLife={bEnable=false,szOperator="&gt;",nValue=0,},},},},</v>
      </c>
    </row>
    <row r="599" spans="1:22" x14ac:dyDescent="0.15">
      <c r="C599">
        <v>55290</v>
      </c>
      <c r="D599">
        <v>47</v>
      </c>
      <c r="I599" t="s">
        <v>4051</v>
      </c>
      <c r="U599" t="s">
        <v>4052</v>
      </c>
      <c r="V599" t="str">
        <f t="shared" si="9"/>
        <v>{dwID=55290,nFrame=47,szNote="滇南行·乌苏",[3]={},[4]={},aFocus={{dwMapID=-1,szDisplay="乌苏·滇南行",nMaxDistance=60,tRelation={bAll=true,bEnemy=false,bAlly=false,},tLife={bEnable=false,szOperator="&gt;",nValue=0,},},},},</v>
      </c>
    </row>
    <row r="600" spans="1:22" x14ac:dyDescent="0.15">
      <c r="C600">
        <v>55289</v>
      </c>
      <c r="D600">
        <v>47</v>
      </c>
      <c r="I600" t="s">
        <v>4053</v>
      </c>
      <c r="J600" t="s">
        <v>2152</v>
      </c>
      <c r="P600">
        <v>1</v>
      </c>
      <c r="U600" t="s">
        <v>4054</v>
      </c>
      <c r="V600" t="str">
        <f t="shared" si="9"/>
        <v>{dwID=55289,nFrame=47,szNote="苗淼尔·滇南行",col={0,255,255,},[3]={bScreenHead=true,},[4]={},aFocus={{dwMapID=-1,szDisplay="苗淼尔·滇南行",nMaxDistance=60,tRelation={bAll=true,bEnemy=false,bAlly=false,},tLife={bEnable=false,szOperator="&gt;",nValue=0,},},},},</v>
      </c>
    </row>
    <row r="601" spans="1:22" x14ac:dyDescent="0.15">
      <c r="A601" t="s">
        <v>761</v>
      </c>
      <c r="B601">
        <v>103</v>
      </c>
      <c r="V601" t="str">
        <f t="shared" si="9"/>
        <v>},[103]={</v>
      </c>
    </row>
    <row r="602" spans="1:22" x14ac:dyDescent="0.15">
      <c r="C602">
        <v>36940</v>
      </c>
      <c r="D602">
        <v>47</v>
      </c>
      <c r="J602" t="s">
        <v>2152</v>
      </c>
      <c r="P602">
        <v>1</v>
      </c>
      <c r="U602" t="s">
        <v>3623</v>
      </c>
      <c r="V602" t="str">
        <f t="shared" si="9"/>
        <v>{dwID=36940,nFrame=47,col={0,255,255,},[3]={bScreenHead=true,},[4]={},aFocus={{dwMapID=-1,nMaxDistance=0,tRelation={bAll=true,bEnemy=false,bAlly=false,},tLife={bEnable=false,szOperator="&gt;",nValue=0,},},},},</v>
      </c>
    </row>
    <row r="603" spans="1:22" x14ac:dyDescent="0.15">
      <c r="C603">
        <v>36418</v>
      </c>
      <c r="D603">
        <v>52</v>
      </c>
      <c r="I603" t="s">
        <v>4055</v>
      </c>
      <c r="J603" t="s">
        <v>2168</v>
      </c>
      <c r="U603" t="s">
        <v>4056</v>
      </c>
      <c r="V603" t="str">
        <f t="shared" si="9"/>
        <v>{dwID=36418,nFrame=52,szNote="大旗·神池岭",col={0,255,0,},[3]={},[4]={},aFocus={{dwMapID=-1,szDisplay="大旗·神池岭",nMaxDistance=3,tRelation={bAll=true,bEnemy=false,bAlly=false,},tLife={bEnable=false,szOperator="&gt;",nValue=0,},},},},</v>
      </c>
    </row>
    <row r="604" spans="1:22" x14ac:dyDescent="0.15">
      <c r="C604">
        <v>36419</v>
      </c>
      <c r="D604">
        <v>52</v>
      </c>
      <c r="I604" t="s">
        <v>4057</v>
      </c>
      <c r="J604" t="s">
        <v>2168</v>
      </c>
      <c r="U604" t="s">
        <v>4058</v>
      </c>
      <c r="V604" t="str">
        <f t="shared" si="9"/>
        <v>{dwID=36419,nFrame=52,szNote="大旗·烈日岗",col={0,255,0,},[3]={},[4]={},aFocus={{dwMapID=-1,szDisplay="大旗·烈日岗",nMaxDistance=3,tRelation={bAll=true,bEnemy=false,bAlly=false,},tLife={bEnable=false,szOperator="&gt;",nValue=0,},},},},</v>
      </c>
    </row>
    <row r="605" spans="1:22" x14ac:dyDescent="0.15">
      <c r="A605" t="s">
        <v>762</v>
      </c>
      <c r="B605">
        <v>104</v>
      </c>
      <c r="V605" t="str">
        <f t="shared" si="9"/>
        <v>},[104]={</v>
      </c>
    </row>
    <row r="606" spans="1:22" x14ac:dyDescent="0.15">
      <c r="C606">
        <v>18583</v>
      </c>
      <c r="D606">
        <v>47</v>
      </c>
      <c r="J606" t="s">
        <v>2168</v>
      </c>
      <c r="O606">
        <v>1</v>
      </c>
      <c r="P606">
        <v>1</v>
      </c>
      <c r="T606">
        <v>1</v>
      </c>
      <c r="U606" t="s">
        <v>3623</v>
      </c>
      <c r="V606" t="str">
        <f t="shared" si="9"/>
        <v>{dwID=18583,nFrame=47,col={0,255,0,},[3]={bCenterAlarm=true,bScreenHead=true,},[4]={bCenterAlarm=true,},aFocus={{dwMapID=-1,nMaxDistance=0,tRelation={bAll=true,bEnemy=false,bAlly=false,},tLife={bEnable=false,szOperator="&gt;",nValue=0,},},},},</v>
      </c>
    </row>
    <row r="607" spans="1:22" x14ac:dyDescent="0.15">
      <c r="C607">
        <v>14060</v>
      </c>
      <c r="D607">
        <v>57</v>
      </c>
      <c r="U607" t="s">
        <v>4059</v>
      </c>
      <c r="V607" t="str">
        <f t="shared" si="9"/>
        <v>{dwID=14060,nFrame=57,[3]={},[4]={},aFocus={{dwMapID=-1,nMaxDistance=20,tRelation={bAll=false,bEnemy=true,bAlly=false,},tLife={bEnable=true,szOperator="&lt;",nValue=100,},},},},</v>
      </c>
    </row>
    <row r="608" spans="1:22" x14ac:dyDescent="0.15">
      <c r="C608">
        <v>14061</v>
      </c>
      <c r="D608">
        <v>57</v>
      </c>
      <c r="U608" t="s">
        <v>4060</v>
      </c>
      <c r="V608" t="str">
        <f t="shared" si="9"/>
        <v>{dwID=14061,nFrame=57,[3]={},[4]={},aFocus={{dwMapID=-1,nMaxDistance=30,tRelation={bAll=false,bEnemy=true,bAlly=false,},tLife={bEnable=false,szOperator="&lt;",nValue=100,},},},},</v>
      </c>
    </row>
    <row r="609" spans="1:23" x14ac:dyDescent="0.15">
      <c r="C609">
        <v>36421</v>
      </c>
      <c r="D609">
        <v>52</v>
      </c>
      <c r="I609" t="s">
        <v>4061</v>
      </c>
      <c r="J609" t="s">
        <v>2168</v>
      </c>
      <c r="U609" t="s">
        <v>4062</v>
      </c>
      <c r="V609" t="str">
        <f t="shared" si="9"/>
        <v>{dwID=36421,nFrame=52,szNote="大旗·凤鸣堡",col={0,255,0,},[3]={},[4]={},aFocus={{dwMapID=-1,szDisplay="大旗·凤鸣堡",nMaxDistance=3,tRelation={bAll=true,bEnemy=false,bAlly=false,},tLife={bEnable=false,szOperator="&gt;",nValue=0,},},},},</v>
      </c>
    </row>
    <row r="610" spans="1:23" x14ac:dyDescent="0.15">
      <c r="C610">
        <v>36420</v>
      </c>
      <c r="D610">
        <v>52</v>
      </c>
      <c r="I610" t="s">
        <v>4063</v>
      </c>
      <c r="J610" t="s">
        <v>2168</v>
      </c>
      <c r="U610" t="s">
        <v>4064</v>
      </c>
      <c r="V610" t="str">
        <f t="shared" si="9"/>
        <v>{dwID=36420,nFrame=52,szNote="大旗·惊虬谷",col={0,255,0,},[3]={},[4]={},aFocus={{dwMapID=-1,szDisplay="大旗·惊虬谷",nMaxDistance=3,tRelation={bAll=true,bEnemy=false,bAlly=false,},tLife={bEnable=false,szOperator="&gt;",nValue=0,},},},},</v>
      </c>
    </row>
    <row r="611" spans="1:23" x14ac:dyDescent="0.15">
      <c r="A611" t="s">
        <v>763</v>
      </c>
      <c r="B611">
        <v>105</v>
      </c>
      <c r="V611" t="str">
        <f t="shared" si="9"/>
        <v>},[105]={</v>
      </c>
    </row>
    <row r="612" spans="1:23" x14ac:dyDescent="0.15">
      <c r="C612">
        <v>18570</v>
      </c>
      <c r="D612">
        <v>47</v>
      </c>
      <c r="J612" t="s">
        <v>2168</v>
      </c>
      <c r="O612">
        <v>1</v>
      </c>
      <c r="P612">
        <v>1</v>
      </c>
      <c r="U612" t="s">
        <v>3623</v>
      </c>
      <c r="V612" t="str">
        <f t="shared" si="9"/>
        <v>{dwID=18570,nFrame=47,col={0,255,0,},[3]={bCenterAlarm=true,bScreenHead=true,},[4]={},aFocus={{dwMapID=-1,nMaxDistance=0,tRelation={bAll=true,bEnemy=false,bAlly=false,},tLife={bEnable=false,szOperator="&gt;",nValue=0,},},},},</v>
      </c>
    </row>
    <row r="613" spans="1:23" x14ac:dyDescent="0.15">
      <c r="C613">
        <v>110315</v>
      </c>
      <c r="D613">
        <v>47</v>
      </c>
      <c r="J613" t="s">
        <v>2168</v>
      </c>
      <c r="P613">
        <v>1</v>
      </c>
      <c r="U613" t="s">
        <v>3733</v>
      </c>
      <c r="V613" t="str">
        <f t="shared" si="9"/>
        <v>{dwID=110315,nFrame=47,col={0,255,0,},[3]={bScreenHead=true,},[4]={},aFocus={{dwMapID=-1,nMaxDistance=60,tRelation={bAll=true,bEnemy=false,bAlly=false,},tLife={bEnable=false,szOperator="&gt;",nValue=0,},},},},</v>
      </c>
    </row>
    <row r="614" spans="1:23" x14ac:dyDescent="0.15">
      <c r="C614">
        <v>110071</v>
      </c>
      <c r="D614">
        <v>47</v>
      </c>
      <c r="J614" t="s">
        <v>2168</v>
      </c>
      <c r="P614">
        <v>1</v>
      </c>
      <c r="U614" t="s">
        <v>3622</v>
      </c>
      <c r="V614" t="str">
        <f t="shared" si="9"/>
        <v>{dwID=110071,nFrame=47,col={0,255,0,},[3]={bScreenHead=true,},[4]={},aFocus={{dwMapID=-1,nMaxDistance=30,tRelation={bAll=true,bEnemy=false,bAlly=false,},tLife={bEnable=false,szOperator="&gt;",nValue=0,},},},},</v>
      </c>
    </row>
    <row r="615" spans="1:23" x14ac:dyDescent="0.15">
      <c r="C615">
        <v>110077</v>
      </c>
      <c r="D615">
        <v>47</v>
      </c>
      <c r="H615" t="s">
        <v>2721</v>
      </c>
      <c r="V615" t="str">
        <f t="shared" si="9"/>
        <v>{dwID=110077,nFrame=47,tKungFu={["SKILL#10028"]=true,["SKILL#10080"]=true,["SKILL#10176"]=true,["SKILL#10448"]=true,["SKILL#10626"]=true,},[3]={},[4]={},tCountdown={{nClass=3,nIcon=17135,nFrame=5,szName="治疗心法记得切输出",nTime=10,nRefresh=3600,},},},</v>
      </c>
      <c r="W615" t="s">
        <v>4065</v>
      </c>
    </row>
    <row r="616" spans="1:23" x14ac:dyDescent="0.15">
      <c r="C616">
        <v>110132</v>
      </c>
      <c r="D616">
        <v>47</v>
      </c>
      <c r="J616" t="s">
        <v>2168</v>
      </c>
      <c r="P616">
        <v>1</v>
      </c>
      <c r="U616" t="s">
        <v>3622</v>
      </c>
      <c r="V616" t="str">
        <f t="shared" si="9"/>
        <v>{dwID=110132,nFrame=47,col={0,255,0,},[3]={bScreenHead=true,},[4]={},aFocus={{dwMapID=-1,nMaxDistance=30,tRelation={bAll=true,bEnemy=false,bAlly=false,},tLife={bEnable=false,szOperator="&gt;",nValue=0,},},},},</v>
      </c>
    </row>
    <row r="617" spans="1:23" x14ac:dyDescent="0.15">
      <c r="C617">
        <v>110084</v>
      </c>
      <c r="D617">
        <v>47</v>
      </c>
      <c r="J617" t="s">
        <v>2168</v>
      </c>
      <c r="P617">
        <v>1</v>
      </c>
      <c r="U617" t="s">
        <v>4028</v>
      </c>
      <c r="V617" t="str">
        <f t="shared" si="9"/>
        <v>{dwID=110084,nFrame=47,col={0,255,0,},[3]={bScreenHead=true,},[4]={},aFocus={{dwMapID=-1,nMaxDistance=20,tRelation={bAll=true,bEnemy=false,bAlly=false,},tLife={bEnable=false,szOperator="&gt;",nValue=0,},},},},</v>
      </c>
    </row>
    <row r="618" spans="1:23" x14ac:dyDescent="0.15">
      <c r="C618">
        <v>16566</v>
      </c>
      <c r="D618">
        <v>47</v>
      </c>
      <c r="I618" t="s">
        <v>4066</v>
      </c>
      <c r="O618">
        <v>1</v>
      </c>
      <c r="U618" t="s">
        <v>3696</v>
      </c>
      <c r="V618" t="str">
        <f t="shared" si="9"/>
        <v>{dwID=16566,nFrame=47,szNote="略施援手",[3]={bCenterAlarm=true,},[4]={},aFocus={{dwMapID=-1,nMaxDistance=120,tRelation={bAll=true,bEnemy=false,bAlly=false,},tLife={bEnable=false,szOperator="&gt;",nValue=0,},},},},</v>
      </c>
    </row>
    <row r="619" spans="1:23" x14ac:dyDescent="0.15">
      <c r="C619">
        <v>17738</v>
      </c>
      <c r="D619">
        <v>47</v>
      </c>
      <c r="U619" t="s">
        <v>3621</v>
      </c>
      <c r="V619" t="str">
        <f t="shared" si="9"/>
        <v>{dwID=17738,nFrame=47,[3]={},[4]={},aFocus={{dwMapID=-1,nMaxDistance=6,tRelation={bAll=true,bEnemy=false,bAlly=false,},tLife={bEnable=false,szOperator="&gt;",nValue=0,},},},},</v>
      </c>
    </row>
    <row r="620" spans="1:23" x14ac:dyDescent="0.15">
      <c r="C620">
        <v>110091</v>
      </c>
      <c r="D620">
        <v>47</v>
      </c>
      <c r="U620" t="s">
        <v>3627</v>
      </c>
      <c r="V620" t="str">
        <f t="shared" si="9"/>
        <v>{dwID=110091,nFrame=47,[3]={},[4]={},aFocus={{dwMapID=-1,nMaxDistance=10,tRelation={bAll=true,bEnemy=false,bAlly=false,},tLife={bEnable=false,szOperator="&gt;",nValue=0,},},},},</v>
      </c>
    </row>
    <row r="621" spans="1:23" x14ac:dyDescent="0.15">
      <c r="C621">
        <v>18026</v>
      </c>
      <c r="D621">
        <v>50</v>
      </c>
      <c r="U621" t="s">
        <v>4028</v>
      </c>
      <c r="V621" t="str">
        <f t="shared" si="9"/>
        <v>{dwID=18026,nFrame=50,[3]={},[4]={},aFocus={{dwMapID=-1,nMaxDistance=20,tRelation={bAll=true,bEnemy=false,bAlly=false,},tLife={bEnable=false,szOperator="&gt;",nValue=0,},},},},</v>
      </c>
    </row>
    <row r="622" spans="1:23" x14ac:dyDescent="0.15">
      <c r="C622">
        <v>36436</v>
      </c>
      <c r="D622">
        <v>52</v>
      </c>
      <c r="I622" t="s">
        <v>4067</v>
      </c>
      <c r="J622" t="s">
        <v>2168</v>
      </c>
      <c r="U622" t="s">
        <v>4068</v>
      </c>
      <c r="V622" t="str">
        <f t="shared" si="9"/>
        <v>{dwID=36436,nFrame=52,szNote="大旗·大理山城",col={0,255,0,},[3]={},[4]={},aFocus={{dwMapID=-1,szDisplay="大旗·大理山城",nMaxDistance=3,tRelation={bAll=true,bEnemy=false,bAlly=false,},tLife={bEnable=false,szOperator="&gt;",nValue=0,},},},},</v>
      </c>
    </row>
    <row r="623" spans="1:23" x14ac:dyDescent="0.15">
      <c r="C623">
        <v>36437</v>
      </c>
      <c r="D623">
        <v>52</v>
      </c>
      <c r="I623" t="s">
        <v>4069</v>
      </c>
      <c r="J623" t="s">
        <v>2168</v>
      </c>
      <c r="U623" t="s">
        <v>4070</v>
      </c>
      <c r="V623" t="str">
        <f t="shared" si="9"/>
        <v>{dwID=36437,nFrame=52,szNote="大旗·千岩关",col={0,255,0,},[3]={},[4]={},aFocus={{dwMapID=-1,szDisplay="大旗·千岩关",nMaxDistance=3,tRelation={bAll=true,bEnemy=false,bAlly=false,},tLife={bEnable=false,szOperator="&gt;",nValue=0,},},},},</v>
      </c>
    </row>
    <row r="624" spans="1:23" x14ac:dyDescent="0.15">
      <c r="A624" t="s">
        <v>764</v>
      </c>
      <c r="B624">
        <v>106</v>
      </c>
      <c r="V624" t="str">
        <f t="shared" si="9"/>
        <v>},[106]={</v>
      </c>
    </row>
    <row r="625" spans="1:27" x14ac:dyDescent="0.15">
      <c r="C625">
        <v>12027</v>
      </c>
      <c r="D625">
        <v>47</v>
      </c>
      <c r="U625" t="s">
        <v>4071</v>
      </c>
      <c r="V625" t="str">
        <f t="shared" si="9"/>
        <v>{dwID=12027,nFrame=47,[3]={},[4]={},aFocus={{dwMapID=-1,szDisplay="传送人",nMaxDistance=30,tRelation={bAll=true,bEnemy=false,bAlly=false,},tLife={bEnable=false,szOperator="&gt;",nValue=0,},},},},</v>
      </c>
    </row>
    <row r="626" spans="1:27" x14ac:dyDescent="0.15">
      <c r="A626" t="s">
        <v>766</v>
      </c>
      <c r="B626">
        <v>108</v>
      </c>
      <c r="V626" t="str">
        <f t="shared" si="9"/>
        <v>},[108]={</v>
      </c>
    </row>
    <row r="627" spans="1:27" x14ac:dyDescent="0.15">
      <c r="C627">
        <v>10949</v>
      </c>
      <c r="D627">
        <v>57</v>
      </c>
      <c r="J627" t="s">
        <v>2676</v>
      </c>
      <c r="P627">
        <v>1</v>
      </c>
      <c r="U627" t="s">
        <v>4072</v>
      </c>
      <c r="V627" t="str">
        <f t="shared" si="9"/>
        <v>{dwID=10949,nFrame=57,col={255,50,50,},[3]={bScreenHead=true,},[4]={},aFocus={{dwMapID=-1,szDisplay="巫蛊丘祭祀·除邪惩恶",nMaxDistance=90,tRelation={bAll=true,bEnemy=false,bAlly=false,},tLife={bEnable=false,szOperator="&gt;",nValue=0,},},},},</v>
      </c>
    </row>
    <row r="628" spans="1:27" x14ac:dyDescent="0.15">
      <c r="C628">
        <v>11969</v>
      </c>
      <c r="D628">
        <v>47</v>
      </c>
      <c r="G628" t="s">
        <v>4073</v>
      </c>
      <c r="J628" t="s">
        <v>2152</v>
      </c>
      <c r="O628">
        <v>1</v>
      </c>
      <c r="P628">
        <v>1</v>
      </c>
      <c r="U628" t="s">
        <v>4074</v>
      </c>
      <c r="V628" t="str">
        <f t="shared" si="9"/>
        <v>{dwID=11969,nFrame=47,szName="吴为有·石敢当",col={0,255,255,},[3]={bCenterAlarm=true,bScreenHead=true,},[4]={},aFocus={{dwMapID=-1,szDisplay="吴为有·石敢当",nMaxDistance=0,tRelation={bAll=true,bEnemy=false,bAlly=false,},tLife={bEnable=false,szOperator="&gt;",nValue=0,},},},},</v>
      </c>
    </row>
    <row r="629" spans="1:27" x14ac:dyDescent="0.15">
      <c r="C629">
        <v>13974</v>
      </c>
      <c r="D629">
        <v>57</v>
      </c>
      <c r="U629" t="s">
        <v>4075</v>
      </c>
      <c r="V629" t="str">
        <f t="shared" si="9"/>
        <v>{dwID=13974,nFrame=57,[3]={},[4]={},aFocus={{dwMapID=-1,nMaxDistance=60,tRelation={bAll=false,bEnemy=true,bAlly=false,},tLife={bEnable=false,szOperator="&gt;",nValue=0,},},},},</v>
      </c>
    </row>
    <row r="630" spans="1:27" x14ac:dyDescent="0.15">
      <c r="C630">
        <v>13972</v>
      </c>
      <c r="D630">
        <v>57</v>
      </c>
      <c r="U630" t="s">
        <v>4075</v>
      </c>
      <c r="V630" t="str">
        <f t="shared" si="9"/>
        <v>{dwID=13972,nFrame=57,[3]={},[4]={},aFocus={{dwMapID=-1,nMaxDistance=60,tRelation={bAll=false,bEnemy=true,bAlly=false,},tLife={bEnable=false,szOperator="&gt;",nValue=0,},},},},</v>
      </c>
    </row>
    <row r="631" spans="1:27" x14ac:dyDescent="0.15">
      <c r="C631">
        <v>13973</v>
      </c>
      <c r="D631">
        <v>57</v>
      </c>
      <c r="U631" t="s">
        <v>4075</v>
      </c>
      <c r="V631" t="str">
        <f t="shared" si="9"/>
        <v>{dwID=13973,nFrame=57,[3]={},[4]={},aFocus={{dwMapID=-1,nMaxDistance=60,tRelation={bAll=false,bEnemy=true,bAlly=false,},tLife={bEnable=false,szOperator="&gt;",nValue=0,},},},},</v>
      </c>
    </row>
    <row r="632" spans="1:27" x14ac:dyDescent="0.15">
      <c r="C632">
        <v>13975</v>
      </c>
      <c r="D632">
        <v>57</v>
      </c>
      <c r="U632" t="s">
        <v>4075</v>
      </c>
      <c r="V632" t="str">
        <f t="shared" si="9"/>
        <v>{dwID=13975,nFrame=57,[3]={},[4]={},aFocus={{dwMapID=-1,nMaxDistance=60,tRelation={bAll=false,bEnemy=true,bAlly=false,},tLife={bEnable=false,szOperator="&gt;",nValue=0,},},},},</v>
      </c>
    </row>
    <row r="633" spans="1:27" x14ac:dyDescent="0.15">
      <c r="C633">
        <v>27542</v>
      </c>
      <c r="D633">
        <v>52</v>
      </c>
      <c r="U633" t="s">
        <v>3805</v>
      </c>
      <c r="V633" t="str">
        <f t="shared" si="9"/>
        <v>{dwID=27542,nFrame=52,[3]={},[4]={},aFocus={{dwMapID=-1,nMaxDistance=100,tRelation={bAll=true,bEnemy=false,bAlly=false,},tLife={bEnable=false,szOperator="&gt;",nValue=0,},},},},</v>
      </c>
    </row>
    <row r="634" spans="1:27" x14ac:dyDescent="0.15">
      <c r="C634">
        <v>70540</v>
      </c>
      <c r="D634">
        <v>47</v>
      </c>
      <c r="I634" t="s">
        <v>4076</v>
      </c>
      <c r="U634" t="s">
        <v>3623</v>
      </c>
      <c r="V634" t="str">
        <f t="shared" si="9"/>
        <v>{dwID=70540,nFrame=47,szNote="白日梦·木桩",[3]={},[4]={},aFocus={{dwMapID=-1,nMaxDistance=0,tRelation={bAll=true,bEnemy=false,bAlly=false,},tLife={bEnable=false,szOperator="&gt;",nValue=0,},},},tCountdown={{nClass=3,nIcon=17135,nFrame=7,bHold=true,szName="按1·变成木桩",nTime=600,key="奇遇提示2",},{nClass=3,nIcon=17135,nFrame=7,bHold=true,szName="交互·木桩",nTime=600,key="奇遇提示3",},{nClass=4,nIcon=17135,nFrame=6,bHold=true,szName="回到·家园集市·裴草",nTime=600,key="奇遇提示1",},{nClass=4,nIcon=17135,nFrame=7,bHold=true,szName="对话·斐草·完成奇遇",nTime=600,key="奇遇提示2",},{nClass=4,nIcon=17135,nFrame=7,bHold=true,szName="奇遇提示3",nTime=-1,key="奇遇提示3",},},},</v>
      </c>
      <c r="W634" t="s">
        <v>4077</v>
      </c>
      <c r="X634" t="s">
        <v>4078</v>
      </c>
      <c r="Y634" t="s">
        <v>3765</v>
      </c>
      <c r="Z634" t="s">
        <v>4079</v>
      </c>
      <c r="AA634" t="s">
        <v>4080</v>
      </c>
    </row>
    <row r="635" spans="1:27" x14ac:dyDescent="0.15">
      <c r="A635" t="s">
        <v>778</v>
      </c>
      <c r="B635">
        <v>120</v>
      </c>
      <c r="V635" t="str">
        <f t="shared" si="9"/>
        <v>},[120]={</v>
      </c>
    </row>
    <row r="636" spans="1:27" x14ac:dyDescent="0.15">
      <c r="C636">
        <v>15662</v>
      </c>
      <c r="D636">
        <v>67</v>
      </c>
      <c r="K636" t="s">
        <v>4081</v>
      </c>
      <c r="O636">
        <v>1</v>
      </c>
      <c r="U636" t="s">
        <v>3623</v>
      </c>
      <c r="V636" t="str">
        <f t="shared" si="9"/>
        <v>{dwID=15662,nFrame=67,[3]={tMark={false,false,false,false,true,false,false,false,false,false,},bCenterAlarm=true,},[4]={},aFocus={{dwMapID=-1,nMaxDistance=0,tRelation={bAll=true,bEnemy=false,bAlly=false,},tLife={bEnable=false,szOperator="&gt;",nValue=0,},},},tCountdown={{nClass=3,nIcon=13,nFrame=6,szName="阴阳咒符·红鼓",nTime=30.8,},},},</v>
      </c>
      <c r="W636" t="s">
        <v>4082</v>
      </c>
    </row>
    <row r="637" spans="1:27" x14ac:dyDescent="0.15">
      <c r="C637">
        <v>15711</v>
      </c>
      <c r="D637">
        <v>47</v>
      </c>
      <c r="K637" t="s">
        <v>4083</v>
      </c>
      <c r="U637" t="s">
        <v>3623</v>
      </c>
      <c r="V637" t="str">
        <f t="shared" si="9"/>
        <v>{dwID=15711,nFrame=47,[3]={tMark={true,true,true,true,false,false,false,false,false,false,},},[4]={},aFocus={{dwMapID=-1,nMaxDistance=0,tRelation={bAll=true,bEnemy=false,bAlly=false,},tLife={bEnable=false,szOperator="&gt;",nValue=0,},},},},</v>
      </c>
    </row>
    <row r="638" spans="1:27" x14ac:dyDescent="0.15">
      <c r="C638">
        <v>15767</v>
      </c>
      <c r="D638">
        <v>60</v>
      </c>
      <c r="U638" t="s">
        <v>3735</v>
      </c>
      <c r="V638" t="str">
        <f t="shared" si="9"/>
        <v>{dwID=15767,nFrame=60,[3]={},[4]={},aFocus={{dwMapID=-1,nMaxDistance=0,tRelation={bAll=false,bEnemy=false,bAlly=false,},tLife={bEnable=false,szOperator="&gt;",nValue=0,},},},tCountdown={{nClass=7,nIcon=13,nFrame=5,szName="再生·注意打断·剪刀",nTime=36.4,key="再生",},},},</v>
      </c>
      <c r="W638" t="s">
        <v>4084</v>
      </c>
    </row>
    <row r="639" spans="1:27" x14ac:dyDescent="0.15">
      <c r="A639" t="s">
        <v>244</v>
      </c>
      <c r="B639">
        <v>122</v>
      </c>
      <c r="V639" t="str">
        <f t="shared" si="9"/>
        <v>},[122]={</v>
      </c>
    </row>
    <row r="640" spans="1:27" x14ac:dyDescent="0.15">
      <c r="C640">
        <v>15236</v>
      </c>
      <c r="D640">
        <v>50</v>
      </c>
      <c r="I640" t="s">
        <v>4085</v>
      </c>
      <c r="U640" t="s">
        <v>3627</v>
      </c>
      <c r="V640" t="str">
        <f t="shared" si="9"/>
        <v>{dwID=15236,nFrame=50,szNote="熊猫·重阳节",[3]={},[4]={},aFocus={{dwMapID=-1,nMaxDistance=10,tRelation={bAll=true,bEnemy=false,bAlly=false,},tLife={bEnable=false,szOperator="&gt;",nValue=0,},},},},</v>
      </c>
    </row>
    <row r="641" spans="3:22" x14ac:dyDescent="0.15">
      <c r="C641">
        <v>15212</v>
      </c>
      <c r="D641">
        <v>50</v>
      </c>
      <c r="I641" t="s">
        <v>4085</v>
      </c>
      <c r="U641" t="s">
        <v>3627</v>
      </c>
      <c r="V641" t="str">
        <f t="shared" si="9"/>
        <v>{dwID=15212,nFrame=50,szNote="熊猫·重阳节",[3]={},[4]={},aFocus={{dwMapID=-1,nMaxDistance=10,tRelation={bAll=true,bEnemy=false,bAlly=false,},tLife={bEnable=false,szOperator="&gt;",nValue=0,},},},},</v>
      </c>
    </row>
    <row r="642" spans="3:22" x14ac:dyDescent="0.15">
      <c r="C642">
        <v>50735</v>
      </c>
      <c r="D642">
        <v>47</v>
      </c>
      <c r="J642" t="s">
        <v>2168</v>
      </c>
      <c r="P642">
        <v>1</v>
      </c>
      <c r="U642" t="s">
        <v>4086</v>
      </c>
      <c r="V642" t="str">
        <f t="shared" ref="V642:V705" si="10">IF(ISBLANK(B642)=FALSE,IF(ISBLANK(B641),"},["&amp;B642&amp;"]={","["&amp;B642&amp;"]={"),IF(AND(ISBLANK(B642),ISBLANK(D642),ISBLANK(C642),OR(ISBLANK(B641)=FALSE,ISBLANK(D641)=FALSE,ISBLANK(C641)=FALSE)),"},},}",IF(ISBLANK(C642),"","{dwID="&amp;C642&amp;","&amp;"nFrame="&amp;D642&amp;","&amp;IF(E642&gt;0,"nCount="&amp;E642&amp;",","")&amp;IF(F642&gt;0,"bAllLeave=true,","")&amp;IF(G642&lt;&gt;"","szName="""&amp;G642&amp;""",","")&amp;IF(H642&lt;&gt;"","tKungFu={"&amp;H642&amp;"},","")&amp;IF(I642&lt;&gt;"","szNote="""&amp;I642&amp;""",","")&amp;IF(J642&lt;&gt;"","col={"&amp;J642&amp;"},","")&amp;"[3]={"&amp;IF(K642&lt;&gt;"","tMark={"&amp;K642&amp;"},","")&amp;IF(L642&lt;&gt;"","szVoice="""&amp;L642&amp;""",","")&amp;IF(M642&gt;0,"bTeamChannel=true,","")&amp;IF(N642&gt;0,"bWhisperChannel=true,","")&amp;IF(O642&gt;0,"bCenterAlarm=true,","")&amp;IF(P642&gt;0,"bScreenHead=true,","")&amp;"},"&amp;"[4]={"&amp;IF(Q642&lt;&gt;"","szVoice="""&amp;Q642&amp;""",","")&amp;IF(R642&gt;0,"bTeamChannel=true,","")&amp;IF(S642&gt;0,"bWhisperChannel=true,","")&amp;IF(T642&gt;0,"bCenterAlarm=true,","")&amp;"},"&amp;IF(U642&lt;&gt;"","aFocus={"&amp;U642&amp;"},","")&amp;IF(W642&lt;&gt;"","tCountdown={"&amp;_xlfn.TEXTJOIN("",TRUE,W642:ZZ642)&amp;"},","")&amp;"},")))</f>
        <v>{dwID=50735,nFrame=47,col={0,255,0,},[3]={bScreenHead=true,},[4]={},aFocus={{dwMapID=-1,szDisplay="唐无寻·门派事件",nMaxDistance=10,tRelation={bAll=false,bEnemy=false,bAlly=true,},tLife={bEnable=false,szOperator="&gt;",nValue=0,},},},},</v>
      </c>
    </row>
    <row r="643" spans="3:22" x14ac:dyDescent="0.15">
      <c r="C643">
        <v>50833</v>
      </c>
      <c r="D643">
        <v>47</v>
      </c>
      <c r="J643" t="s">
        <v>2168</v>
      </c>
      <c r="P643">
        <v>1</v>
      </c>
      <c r="U643" t="s">
        <v>4087</v>
      </c>
      <c r="V643" t="str">
        <f t="shared" si="10"/>
        <v>{dwID=50833,nFrame=47,col={0,255,0,},[3]={bScreenHead=true,},[4]={},aFocus={{dwMapID=-1,szDisplay="唐无寻·阵营",nMaxDistance=10,tRelation={bAll=false,bEnemy=false,bAlly=true,},tLife={bEnable=false,szOperator="&gt;",nValue=0,},},},},</v>
      </c>
    </row>
    <row r="644" spans="3:22" x14ac:dyDescent="0.15">
      <c r="C644">
        <v>50844</v>
      </c>
      <c r="D644">
        <v>47</v>
      </c>
      <c r="I644" t="s">
        <v>2503</v>
      </c>
      <c r="J644" t="s">
        <v>2168</v>
      </c>
      <c r="P644">
        <v>1</v>
      </c>
      <c r="U644" t="s">
        <v>4087</v>
      </c>
      <c r="V644" t="str">
        <f t="shared" si="10"/>
        <v>{dwID=50844,nFrame=47,szNote="门派事件",col={0,255,0,},[3]={bScreenHead=true,},[4]={},aFocus={{dwMapID=-1,szDisplay="唐无寻·阵营",nMaxDistance=10,tRelation={bAll=false,bEnemy=false,bAlly=true,},tLife={bEnable=false,szOperator="&gt;",nValue=0,},},},},</v>
      </c>
    </row>
    <row r="645" spans="3:22" x14ac:dyDescent="0.15">
      <c r="C645">
        <v>50737</v>
      </c>
      <c r="D645">
        <v>47</v>
      </c>
      <c r="I645" t="s">
        <v>2503</v>
      </c>
      <c r="J645" t="s">
        <v>2168</v>
      </c>
      <c r="P645">
        <v>1</v>
      </c>
      <c r="U645" t="s">
        <v>4088</v>
      </c>
      <c r="V645" t="str">
        <f t="shared" si="10"/>
        <v>{dwID=50737,nFrame=47,szNote="门派事件",col={0,255,0,},[3]={bScreenHead=true,},[4]={},aFocus={{dwMapID=-1,szDisplay="唐无乐·门派事件",nMaxDistance=10,tRelation={bAll=false,bEnemy=false,bAlly=true,},tLife={bEnable=false,szOperator="&gt;",nValue=0,},},},},</v>
      </c>
    </row>
    <row r="646" spans="3:22" x14ac:dyDescent="0.15">
      <c r="C646">
        <v>50832</v>
      </c>
      <c r="D646">
        <v>47</v>
      </c>
      <c r="J646" t="s">
        <v>2168</v>
      </c>
      <c r="P646">
        <v>1</v>
      </c>
      <c r="U646" t="s">
        <v>4089</v>
      </c>
      <c r="V646" t="str">
        <f t="shared" si="10"/>
        <v>{dwID=50832,nFrame=47,col={0,255,0,},[3]={bScreenHead=true,},[4]={},aFocus={{dwMapID=-1,szDisplay="唐无乐·阵营",nMaxDistance=10,tRelation={bAll=false,bEnemy=false,bAlly=true,},tLife={bEnable=false,szOperator="&gt;",nValue=0,},},},},</v>
      </c>
    </row>
    <row r="647" spans="3:22" x14ac:dyDescent="0.15">
      <c r="C647">
        <v>50845</v>
      </c>
      <c r="D647">
        <v>47</v>
      </c>
      <c r="J647" t="s">
        <v>2168</v>
      </c>
      <c r="P647">
        <v>1</v>
      </c>
      <c r="U647" t="s">
        <v>4089</v>
      </c>
      <c r="V647" t="str">
        <f t="shared" si="10"/>
        <v>{dwID=50845,nFrame=47,col={0,255,0,},[3]={bScreenHead=true,},[4]={},aFocus={{dwMapID=-1,szDisplay="唐无乐·阵营",nMaxDistance=10,tRelation={bAll=false,bEnemy=false,bAlly=true,},tLife={bEnable=false,szOperator="&gt;",nValue=0,},},},},</v>
      </c>
    </row>
    <row r="648" spans="3:22" x14ac:dyDescent="0.15">
      <c r="C648">
        <v>50937</v>
      </c>
      <c r="D648">
        <v>47</v>
      </c>
      <c r="J648" t="s">
        <v>2168</v>
      </c>
      <c r="P648">
        <v>1</v>
      </c>
      <c r="U648" t="s">
        <v>3612</v>
      </c>
      <c r="V648" t="str">
        <f t="shared" si="10"/>
        <v>{dwID=50937,nFrame=47,col={0,255,0,},[3]={bScreenHead=true,},[4]={},aFocus={{dwMapID=-1,nMaxDistance=10,tRelation={bAll=false,bEnemy=false,bAlly=true,},tLife={bEnable=false,szOperator="&gt;",nValue=0,},},},},</v>
      </c>
    </row>
    <row r="649" spans="3:22" x14ac:dyDescent="0.15">
      <c r="C649">
        <v>50936</v>
      </c>
      <c r="D649">
        <v>47</v>
      </c>
      <c r="J649" t="s">
        <v>2168</v>
      </c>
      <c r="P649">
        <v>1</v>
      </c>
      <c r="U649" t="s">
        <v>3612</v>
      </c>
      <c r="V649" t="str">
        <f t="shared" si="10"/>
        <v>{dwID=50936,nFrame=47,col={0,255,0,},[3]={bScreenHead=true,},[4]={},aFocus={{dwMapID=-1,nMaxDistance=10,tRelation={bAll=false,bEnemy=false,bAlly=true,},tLife={bEnable=false,szOperator="&gt;",nValue=0,},},},},</v>
      </c>
    </row>
    <row r="650" spans="3:22" x14ac:dyDescent="0.15">
      <c r="C650">
        <v>50943</v>
      </c>
      <c r="D650">
        <v>52</v>
      </c>
      <c r="J650" t="s">
        <v>2168</v>
      </c>
      <c r="P650">
        <v>1</v>
      </c>
      <c r="U650" t="s">
        <v>3969</v>
      </c>
      <c r="V650" t="str">
        <f t="shared" si="10"/>
        <v>{dwID=50943,nFrame=52,col={0,255,0,},[3]={bScreenHead=true,},[4]={},aFocus={{dwMapID=-1,nMaxDistance=3,tRelation={bAll=false,bEnemy=false,bAlly=true,},tLife={bEnable=false,szOperator="&gt;",nValue=0,},},},},</v>
      </c>
    </row>
    <row r="651" spans="3:22" x14ac:dyDescent="0.15">
      <c r="C651">
        <v>50227</v>
      </c>
      <c r="D651">
        <v>47</v>
      </c>
      <c r="J651" t="s">
        <v>2168</v>
      </c>
      <c r="P651">
        <v>1</v>
      </c>
      <c r="U651" t="s">
        <v>3969</v>
      </c>
      <c r="V651" t="str">
        <f t="shared" si="10"/>
        <v>{dwID=50227,nFrame=47,col={0,255,0,},[3]={bScreenHead=true,},[4]={},aFocus={{dwMapID=-1,nMaxDistance=3,tRelation={bAll=false,bEnemy=false,bAlly=true,},tLife={bEnable=false,szOperator="&gt;",nValue=0,},},},},</v>
      </c>
    </row>
    <row r="652" spans="3:22" x14ac:dyDescent="0.15">
      <c r="C652">
        <v>50225</v>
      </c>
      <c r="D652">
        <v>47</v>
      </c>
      <c r="P652">
        <v>1</v>
      </c>
      <c r="U652" t="s">
        <v>3644</v>
      </c>
      <c r="V652" t="str">
        <f t="shared" si="10"/>
        <v>{dwID=50225,nFrame=47,[3]={bScreenHead=true,},[4]={},aFocus={{dwMapID=-1,nMaxDistance=0,tRelation={bAll=false,bEnemy=true,bAlly=false,},tLife={bEnable=false,szOperator="&gt;",nValue=0,},},},},</v>
      </c>
    </row>
    <row r="653" spans="3:22" x14ac:dyDescent="0.15">
      <c r="C653">
        <v>50226</v>
      </c>
      <c r="D653">
        <v>47</v>
      </c>
      <c r="P653">
        <v>1</v>
      </c>
      <c r="U653" t="s">
        <v>3644</v>
      </c>
      <c r="V653" t="str">
        <f t="shared" si="10"/>
        <v>{dwID=50226,nFrame=47,[3]={bScreenHead=true,},[4]={},aFocus={{dwMapID=-1,nMaxDistance=0,tRelation={bAll=false,bEnemy=true,bAlly=false,},tLife={bEnable=false,szOperator="&gt;",nValue=0,},},},},</v>
      </c>
    </row>
    <row r="654" spans="3:22" x14ac:dyDescent="0.15">
      <c r="C654">
        <v>50960</v>
      </c>
      <c r="D654">
        <v>57</v>
      </c>
      <c r="J654" t="s">
        <v>2676</v>
      </c>
      <c r="U654" t="s">
        <v>4059</v>
      </c>
      <c r="V654" t="str">
        <f t="shared" si="10"/>
        <v>{dwID=50960,nFrame=57,col={255,50,50,},[3]={},[4]={},aFocus={{dwMapID=-1,nMaxDistance=20,tRelation={bAll=false,bEnemy=true,bAlly=false,},tLife={bEnable=true,szOperator="&lt;",nValue=100,},},},},</v>
      </c>
    </row>
    <row r="655" spans="3:22" x14ac:dyDescent="0.15">
      <c r="C655">
        <v>50944</v>
      </c>
      <c r="D655">
        <v>57</v>
      </c>
      <c r="J655" t="s">
        <v>2676</v>
      </c>
      <c r="U655" t="s">
        <v>4059</v>
      </c>
      <c r="V655" t="str">
        <f t="shared" si="10"/>
        <v>{dwID=50944,nFrame=57,col={255,50,50,},[3]={},[4]={},aFocus={{dwMapID=-1,nMaxDistance=20,tRelation={bAll=false,bEnemy=true,bAlly=false,},tLife={bEnable=true,szOperator="&lt;",nValue=100,},},},},</v>
      </c>
    </row>
    <row r="656" spans="3:22" x14ac:dyDescent="0.15">
      <c r="C656">
        <v>50896</v>
      </c>
      <c r="D656">
        <v>47</v>
      </c>
      <c r="J656" t="s">
        <v>2676</v>
      </c>
      <c r="P656">
        <v>1</v>
      </c>
      <c r="U656" t="s">
        <v>3644</v>
      </c>
      <c r="V656" t="str">
        <f t="shared" si="10"/>
        <v>{dwID=50896,nFrame=47,col={255,50,50,},[3]={bScreenHead=true,},[4]={},aFocus={{dwMapID=-1,nMaxDistance=0,tRelation={bAll=false,bEnemy=true,bAlly=false,},tLife={bEnable=false,szOperator="&gt;",nValue=0,},},},},</v>
      </c>
    </row>
    <row r="657" spans="1:24" x14ac:dyDescent="0.15">
      <c r="C657">
        <v>109988</v>
      </c>
      <c r="D657">
        <v>47</v>
      </c>
      <c r="J657" t="s">
        <v>2168</v>
      </c>
      <c r="P657">
        <v>1</v>
      </c>
      <c r="U657" t="s">
        <v>4028</v>
      </c>
      <c r="V657" t="str">
        <f t="shared" si="10"/>
        <v>{dwID=109988,nFrame=47,col={0,255,0,},[3]={bScreenHead=true,},[4]={},aFocus={{dwMapID=-1,nMaxDistance=20,tRelation={bAll=true,bEnemy=false,bAlly=false,},tLife={bEnable=false,szOperator="&gt;",nValue=0,},},},},</v>
      </c>
    </row>
    <row r="658" spans="1:24" x14ac:dyDescent="0.15">
      <c r="A658" t="s">
        <v>780</v>
      </c>
      <c r="B658">
        <v>123</v>
      </c>
      <c r="V658" t="str">
        <f t="shared" si="10"/>
        <v>},[123]={</v>
      </c>
    </row>
    <row r="659" spans="1:24" x14ac:dyDescent="0.15">
      <c r="C659">
        <v>15650</v>
      </c>
      <c r="D659">
        <v>52</v>
      </c>
      <c r="U659" t="s">
        <v>3733</v>
      </c>
      <c r="V659" t="str">
        <f t="shared" si="10"/>
        <v>{dwID=15650,nFrame=52,[3]={},[4]={},aFocus={{dwMapID=-1,nMaxDistance=60,tRelation={bAll=true,bEnemy=false,bAlly=false,},tLife={bEnable=false,szOperator="&gt;",nValue=0,},},},},</v>
      </c>
    </row>
    <row r="660" spans="1:24" x14ac:dyDescent="0.15">
      <c r="C660">
        <v>16053</v>
      </c>
      <c r="D660">
        <v>47</v>
      </c>
      <c r="U660" t="s">
        <v>4028</v>
      </c>
      <c r="V660" t="str">
        <f t="shared" si="10"/>
        <v>{dwID=16053,nFrame=47,[3]={},[4]={},aFocus={{dwMapID=-1,nMaxDistance=20,tRelation={bAll=true,bEnemy=false,bAlly=false,},tLife={bEnable=false,szOperator="&gt;",nValue=0,},},},},</v>
      </c>
    </row>
    <row r="661" spans="1:24" x14ac:dyDescent="0.15">
      <c r="A661" t="s">
        <v>781</v>
      </c>
      <c r="B661">
        <v>125</v>
      </c>
      <c r="V661" t="str">
        <f t="shared" si="10"/>
        <v>},[125]={</v>
      </c>
    </row>
    <row r="662" spans="1:24" x14ac:dyDescent="0.15">
      <c r="C662">
        <v>16053</v>
      </c>
      <c r="D662">
        <v>47</v>
      </c>
      <c r="U662" t="s">
        <v>4028</v>
      </c>
      <c r="V662" t="str">
        <f t="shared" si="10"/>
        <v>{dwID=16053,nFrame=47,[3]={},[4]={},aFocus={{dwMapID=-1,nMaxDistance=20,tRelation={bAll=true,bEnemy=false,bAlly=false,},tLife={bEnable=false,szOperator="&gt;",nValue=0,},},},},</v>
      </c>
    </row>
    <row r="663" spans="1:24" x14ac:dyDescent="0.15">
      <c r="C663">
        <v>16013</v>
      </c>
      <c r="D663">
        <v>52</v>
      </c>
      <c r="U663" t="s">
        <v>3733</v>
      </c>
      <c r="V663" t="str">
        <f t="shared" si="10"/>
        <v>{dwID=16013,nFrame=52,[3]={},[4]={},aFocus={{dwMapID=-1,nMaxDistance=60,tRelation={bAll=true,bEnemy=false,bAlly=false,},tLife={bEnable=false,szOperator="&gt;",nValue=0,},},},},</v>
      </c>
    </row>
    <row r="664" spans="1:24" x14ac:dyDescent="0.15">
      <c r="A664" t="s">
        <v>788</v>
      </c>
      <c r="B664">
        <v>133</v>
      </c>
      <c r="V664" t="str">
        <f t="shared" si="10"/>
        <v>},[133]={</v>
      </c>
    </row>
    <row r="665" spans="1:24" x14ac:dyDescent="0.15">
      <c r="C665">
        <v>105943</v>
      </c>
      <c r="D665">
        <v>47</v>
      </c>
      <c r="J665" t="s">
        <v>2152</v>
      </c>
      <c r="P665">
        <v>1</v>
      </c>
      <c r="U665" t="s">
        <v>4090</v>
      </c>
      <c r="V665" t="str">
        <f t="shared" si="10"/>
        <v>{dwID=105943,nFrame=47,col={0,255,255,},[3]={bScreenHead=true,},[4]={},aFocus={{dwMapID=-1,szDisplay="地字玖陆伍·快速",nMaxDistance=50,tRelation={bAll=true,bEnemy=false,bAlly=false,},tLife={bEnable=false,szOperator="&gt;",nValue=0,},},},},</v>
      </c>
    </row>
    <row r="666" spans="1:24" x14ac:dyDescent="0.15">
      <c r="C666">
        <v>16526</v>
      </c>
      <c r="D666">
        <v>47</v>
      </c>
      <c r="J666" t="s">
        <v>2152</v>
      </c>
      <c r="P666">
        <v>1</v>
      </c>
      <c r="U666" t="s">
        <v>4091</v>
      </c>
      <c r="V666" t="str">
        <f t="shared" si="10"/>
        <v>{dwID=16526,nFrame=47,col={0,255,255,},[3]={bScreenHead=true,},[4]={},aFocus={{dwMapID=-1,szDisplay="杨宁·剧情",nMaxDistance=50,tRelation={bAll=true,bEnemy=false,bAlly=false,},tLife={bEnable=false,szOperator="&gt;",nValue=0,},},},},</v>
      </c>
    </row>
    <row r="667" spans="1:24" x14ac:dyDescent="0.15">
      <c r="C667">
        <v>17382</v>
      </c>
      <c r="D667">
        <v>52</v>
      </c>
      <c r="P667">
        <v>1</v>
      </c>
      <c r="U667" t="s">
        <v>4021</v>
      </c>
      <c r="V667" t="str">
        <f t="shared" si="10"/>
        <v>{dwID=17382,nFrame=52,[3]={bScreenHead=true,},[4]={},aFocus={{dwMapID=-1,nMaxDistance=90,tRelation={bAll=true,bEnemy=false,bAlly=false,},tLife={bEnable=false,szOperator="&gt;",nValue=0,},},},},</v>
      </c>
    </row>
    <row r="668" spans="1:24" x14ac:dyDescent="0.15">
      <c r="C668">
        <v>17369</v>
      </c>
      <c r="D668">
        <v>47</v>
      </c>
      <c r="P668">
        <v>1</v>
      </c>
      <c r="U668" t="s">
        <v>4092</v>
      </c>
      <c r="V668" t="str">
        <f t="shared" si="10"/>
        <v>{dwID=17369,nFrame=47,[3]={bScreenHead=true,},[4]={},aFocus={{dwMapID=-1,szDisplay="天蛛暗杀者·吸蓝",nMaxDistance=0,tRelation={bAll=true,bEnemy=false,bAlly=false,},tLife={bEnable=false,szOperator="&gt;",nValue=0,},},},},</v>
      </c>
    </row>
    <row r="669" spans="1:24" x14ac:dyDescent="0.15">
      <c r="A669" t="s">
        <v>791</v>
      </c>
      <c r="B669">
        <v>136</v>
      </c>
      <c r="V669" t="str">
        <f t="shared" si="10"/>
        <v>},[136]={</v>
      </c>
    </row>
    <row r="670" spans="1:24" x14ac:dyDescent="0.15">
      <c r="C670">
        <v>16665</v>
      </c>
      <c r="D670">
        <v>57</v>
      </c>
      <c r="P670">
        <v>1</v>
      </c>
      <c r="U670" t="s">
        <v>3696</v>
      </c>
      <c r="V670" t="str">
        <f t="shared" si="10"/>
        <v>{dwID=16665,nFrame=57,[3]={bScreenHead=true,},[4]={},aFocus={{dwMapID=-1,nMaxDistance=120,tRelation={bAll=true,bEnemy=false,bAlly=false,},tLife={bEnable=false,szOperator="&gt;",nValue=0,},},},},</v>
      </c>
    </row>
    <row r="671" spans="1:24" x14ac:dyDescent="0.15">
      <c r="A671" t="s">
        <v>793</v>
      </c>
      <c r="B671">
        <v>138</v>
      </c>
      <c r="V671" t="str">
        <f t="shared" si="10"/>
        <v>},[138]={</v>
      </c>
    </row>
    <row r="672" spans="1:24" x14ac:dyDescent="0.15">
      <c r="C672">
        <v>18050</v>
      </c>
      <c r="D672">
        <v>47</v>
      </c>
      <c r="J672" t="s">
        <v>2168</v>
      </c>
      <c r="P672">
        <v>1</v>
      </c>
      <c r="U672" t="s">
        <v>4093</v>
      </c>
      <c r="V672" t="str">
        <f t="shared" si="10"/>
        <v>{dwID=18050,nFrame=47,col={0,255,0,},[3]={bScreenHead=true,},[4]={},aFocus={{dwMapID=-1,szDisplay="剧情",nMaxDistance=20,tRelation={bAll=false,bEnemy=false,bAlly=true,},tLife={bEnable=false,szOperator="&gt;",nValue=0,},},},tCountdown={{nClass=3,nIcon=13,nFrame=6,szName="对话·月弄痕·选项3·开启快速",nTime=30,key="剧情·提示1",},{nClass=4,nIcon=13,nFrame=5,szName="任务·提示1",nTime=0,key="剧情·提示1",},},},</v>
      </c>
      <c r="W672" t="s">
        <v>4094</v>
      </c>
      <c r="X672" t="s">
        <v>4095</v>
      </c>
    </row>
    <row r="673" spans="1:22" x14ac:dyDescent="0.15">
      <c r="C673">
        <v>18078</v>
      </c>
      <c r="D673">
        <v>57</v>
      </c>
      <c r="P673">
        <v>1</v>
      </c>
      <c r="U673" t="s">
        <v>3696</v>
      </c>
      <c r="V673" t="str">
        <f t="shared" si="10"/>
        <v>{dwID=18078,nFrame=57,[3]={bScreenHead=true,},[4]={},aFocus={{dwMapID=-1,nMaxDistance=120,tRelation={bAll=true,bEnemy=false,bAlly=false,},tLife={bEnable=false,szOperator="&gt;",nValue=0,},},},},</v>
      </c>
    </row>
    <row r="674" spans="1:22" x14ac:dyDescent="0.15">
      <c r="C674">
        <v>18079</v>
      </c>
      <c r="D674">
        <v>47</v>
      </c>
      <c r="J674" t="s">
        <v>2168</v>
      </c>
      <c r="P674">
        <v>1</v>
      </c>
      <c r="U674" t="s">
        <v>4096</v>
      </c>
      <c r="V674" t="str">
        <f t="shared" si="10"/>
        <v>{dwID=18079,nFrame=47,col={0,255,0,},[3]={bScreenHead=true,},[4]={},aFocus={{dwMapID=-1,szDisplay="剧情",nMaxDistance=20,tRelation={bAll=true,bEnemy=false,bAlly=false,},tLife={bEnable=false,szOperator="&gt;",nValue=0,},},},},</v>
      </c>
    </row>
    <row r="675" spans="1:22" x14ac:dyDescent="0.15">
      <c r="C675">
        <v>18046</v>
      </c>
      <c r="D675">
        <v>47</v>
      </c>
      <c r="P675">
        <v>1</v>
      </c>
      <c r="U675" t="s">
        <v>4096</v>
      </c>
      <c r="V675" t="str">
        <f t="shared" si="10"/>
        <v>{dwID=18046,nFrame=47,[3]={bScreenHead=true,},[4]={},aFocus={{dwMapID=-1,szDisplay="剧情",nMaxDistance=20,tRelation={bAll=true,bEnemy=false,bAlly=false,},tLife={bEnable=false,szOperator="&gt;",nValue=0,},},},},</v>
      </c>
    </row>
    <row r="676" spans="1:22" x14ac:dyDescent="0.15">
      <c r="C676">
        <v>18095</v>
      </c>
      <c r="D676">
        <v>47</v>
      </c>
      <c r="U676" t="s">
        <v>3623</v>
      </c>
      <c r="V676" t="str">
        <f t="shared" si="10"/>
        <v>{dwID=18095,nFrame=47,[3]={},[4]={},aFocus={{dwMapID=-1,nMaxDistance=0,tRelation={bAll=true,bEnemy=false,bAlly=false,},tLife={bEnable=false,szOperator="&gt;",nValue=0,},},},},</v>
      </c>
    </row>
    <row r="677" spans="1:22" x14ac:dyDescent="0.15">
      <c r="A677" t="s">
        <v>794</v>
      </c>
      <c r="B677">
        <v>139</v>
      </c>
      <c r="V677" t="str">
        <f t="shared" si="10"/>
        <v>},[139]={</v>
      </c>
    </row>
    <row r="678" spans="1:22" x14ac:dyDescent="0.15">
      <c r="C678">
        <v>36423</v>
      </c>
      <c r="D678">
        <v>52</v>
      </c>
      <c r="I678" t="s">
        <v>4097</v>
      </c>
      <c r="J678" t="s">
        <v>2168</v>
      </c>
      <c r="U678" t="s">
        <v>4098</v>
      </c>
      <c r="V678" t="str">
        <f t="shared" si="10"/>
        <v>{dwID=36423,nFrame=52,szNote="大旗·枫湖寨",col={0,255,0,},[3]={},[4]={},aFocus={{dwMapID=-1,szDisplay="大旗·枫湖寨",nMaxDistance=3,tRelation={bAll=true,bEnemy=false,bAlly=false,},tLife={bEnable=false,szOperator="&gt;",nValue=0,},},},},</v>
      </c>
    </row>
    <row r="679" spans="1:22" x14ac:dyDescent="0.15">
      <c r="C679">
        <v>36422</v>
      </c>
      <c r="D679">
        <v>52</v>
      </c>
      <c r="I679" t="s">
        <v>4099</v>
      </c>
      <c r="J679" t="s">
        <v>2168</v>
      </c>
      <c r="U679" t="s">
        <v>4100</v>
      </c>
      <c r="V679" t="str">
        <f t="shared" si="10"/>
        <v>{dwID=36422,nFrame=52,szNote="大旗·啖杏林",col={0,255,0,},[3]={},[4]={},aFocus={{dwMapID=-1,szDisplay="大旗·啖杏林",nMaxDistance=3,tRelation={bAll=true,bEnemy=false,bAlly=false,},tLife={bEnable=false,szOperator="&gt;",nValue=0,},},},},</v>
      </c>
    </row>
    <row r="680" spans="1:22" x14ac:dyDescent="0.15">
      <c r="A680" t="s">
        <v>245</v>
      </c>
      <c r="B680">
        <v>150</v>
      </c>
      <c r="V680" t="str">
        <f t="shared" si="10"/>
        <v>},[150]={</v>
      </c>
    </row>
    <row r="681" spans="1:22" x14ac:dyDescent="0.15">
      <c r="C681">
        <v>60182</v>
      </c>
      <c r="D681">
        <v>47</v>
      </c>
      <c r="I681" t="s">
        <v>3760</v>
      </c>
      <c r="J681" t="s">
        <v>2168</v>
      </c>
      <c r="P681">
        <v>1</v>
      </c>
      <c r="U681" t="s">
        <v>3761</v>
      </c>
      <c r="V681" t="str">
        <f t="shared" si="10"/>
        <v>{dwID=60182,nFrame=47,szNote="雪雪·旅行",col={0,255,0,},[3]={bScreenHead=true,},[4]={},aFocus={{dwMapID=-1,nMaxDistance=240,tRelation={bAll=true,bEnemy=false,bAlly=false,},tLife={bEnable=false,szOperator="&gt;",nValue=0,},},},},</v>
      </c>
    </row>
    <row r="682" spans="1:22" x14ac:dyDescent="0.15">
      <c r="C682">
        <v>19209</v>
      </c>
      <c r="D682">
        <v>47</v>
      </c>
      <c r="J682" t="s">
        <v>2168</v>
      </c>
      <c r="P682">
        <v>1</v>
      </c>
      <c r="U682" t="s">
        <v>4101</v>
      </c>
      <c r="V682" t="str">
        <f t="shared" si="10"/>
        <v>{dwID=19209,nFrame=47,col={0,255,0,},[3]={bScreenHead=true,},[4]={},aFocus={{dwMapID=-1,szDisplay="庄正·传送",nMaxDistance=30,tRelation={bAll=true,bEnemy=false,bAlly=false,},tLife={bEnable=false,szOperator="&gt;",nValue=0,},},},},</v>
      </c>
    </row>
    <row r="683" spans="1:22" x14ac:dyDescent="0.15">
      <c r="C683">
        <v>19433</v>
      </c>
      <c r="D683">
        <v>52</v>
      </c>
      <c r="P683">
        <v>1</v>
      </c>
      <c r="U683" t="s">
        <v>3623</v>
      </c>
      <c r="V683" t="str">
        <f t="shared" si="10"/>
        <v>{dwID=19433,nFrame=52,[3]={bScreenHead=true,},[4]={},aFocus={{dwMapID=-1,nMaxDistance=0,tRelation={bAll=true,bEnemy=false,bAlly=false,},tLife={bEnable=false,szOperator="&gt;",nValue=0,},},},},</v>
      </c>
    </row>
    <row r="684" spans="1:22" x14ac:dyDescent="0.15">
      <c r="C684">
        <v>50701</v>
      </c>
      <c r="D684">
        <v>47</v>
      </c>
      <c r="J684" t="s">
        <v>2168</v>
      </c>
      <c r="P684">
        <v>1</v>
      </c>
      <c r="U684" t="s">
        <v>4102</v>
      </c>
      <c r="V684" t="str">
        <f t="shared" si="10"/>
        <v>{dwID=50701,nFrame=47,col={0,255,0,},[3]={bScreenHead=true,},[4]={},aFocus={{dwMapID=-1,nMaxDistance=5,tRelation={bAll=false,bEnemy=false,bAlly=true,},tLife={bEnable=false,szOperator="&gt;",nValue=0,},},},},</v>
      </c>
    </row>
    <row r="685" spans="1:22" x14ac:dyDescent="0.15">
      <c r="C685">
        <v>50702</v>
      </c>
      <c r="D685">
        <v>47</v>
      </c>
      <c r="J685" t="s">
        <v>2168</v>
      </c>
      <c r="P685">
        <v>1</v>
      </c>
      <c r="U685" t="s">
        <v>4102</v>
      </c>
      <c r="V685" t="str">
        <f t="shared" si="10"/>
        <v>{dwID=50702,nFrame=47,col={0,255,0,},[3]={bScreenHead=true,},[4]={},aFocus={{dwMapID=-1,nMaxDistance=5,tRelation={bAll=false,bEnemy=false,bAlly=true,},tLife={bEnable=false,szOperator="&gt;",nValue=0,},},},},</v>
      </c>
    </row>
    <row r="686" spans="1:22" x14ac:dyDescent="0.15">
      <c r="C686">
        <v>50703</v>
      </c>
      <c r="D686">
        <v>47</v>
      </c>
      <c r="J686" t="s">
        <v>2168</v>
      </c>
      <c r="P686">
        <v>1</v>
      </c>
      <c r="U686" t="s">
        <v>4102</v>
      </c>
      <c r="V686" t="str">
        <f t="shared" si="10"/>
        <v>{dwID=50703,nFrame=47,col={0,255,0,},[3]={bScreenHead=true,},[4]={},aFocus={{dwMapID=-1,nMaxDistance=5,tRelation={bAll=false,bEnemy=false,bAlly=true,},tLife={bEnable=false,szOperator="&gt;",nValue=0,},},},},</v>
      </c>
    </row>
    <row r="687" spans="1:22" x14ac:dyDescent="0.15">
      <c r="C687">
        <v>50635</v>
      </c>
      <c r="D687">
        <v>47</v>
      </c>
      <c r="V687" t="str">
        <f t="shared" si="10"/>
        <v>{dwID=50635,nFrame=47,[3]={},[4]={},},</v>
      </c>
    </row>
    <row r="688" spans="1:22" x14ac:dyDescent="0.15">
      <c r="C688">
        <v>50638</v>
      </c>
      <c r="D688">
        <v>47</v>
      </c>
      <c r="V688" t="str">
        <f t="shared" si="10"/>
        <v>{dwID=50638,nFrame=47,[3]={},[4]={},},</v>
      </c>
    </row>
    <row r="689" spans="3:23" x14ac:dyDescent="0.15">
      <c r="C689">
        <v>50636</v>
      </c>
      <c r="D689">
        <v>47</v>
      </c>
      <c r="V689" t="str">
        <f t="shared" si="10"/>
        <v>{dwID=50636,nFrame=47,[3]={},[4]={},},</v>
      </c>
    </row>
    <row r="690" spans="3:23" x14ac:dyDescent="0.15">
      <c r="C690">
        <v>50951</v>
      </c>
      <c r="D690">
        <v>47</v>
      </c>
      <c r="U690" t="s">
        <v>3794</v>
      </c>
      <c r="V690" t="str">
        <f t="shared" si="10"/>
        <v>{dwID=50951,nFrame=47,[3]={},[4]={},aFocus={{dwMapID=-1,nMaxDistance=20,tRelation={bAll=false,bEnemy=true,bAlly=false,},tLife={bEnable=false,szOperator="&gt;",nValue=0,},},},},</v>
      </c>
    </row>
    <row r="691" spans="3:23" x14ac:dyDescent="0.15">
      <c r="C691">
        <v>50631</v>
      </c>
      <c r="D691">
        <v>57</v>
      </c>
      <c r="U691" t="s">
        <v>3794</v>
      </c>
      <c r="V691" t="str">
        <f t="shared" si="10"/>
        <v>{dwID=50631,nFrame=57,[3]={},[4]={},aFocus={{dwMapID=-1,nMaxDistance=20,tRelation={bAll=false,bEnemy=true,bAlly=false,},tLife={bEnable=false,szOperator="&gt;",nValue=0,},},},},</v>
      </c>
    </row>
    <row r="692" spans="3:23" x14ac:dyDescent="0.15">
      <c r="C692">
        <v>50879</v>
      </c>
      <c r="D692">
        <v>57</v>
      </c>
      <c r="V692" t="str">
        <f t="shared" si="10"/>
        <v>{dwID=50879,nFrame=57,[3]={},[4]={},},</v>
      </c>
    </row>
    <row r="693" spans="3:23" x14ac:dyDescent="0.15">
      <c r="C693">
        <v>50878</v>
      </c>
      <c r="D693">
        <v>47</v>
      </c>
      <c r="J693" t="s">
        <v>2676</v>
      </c>
      <c r="O693">
        <v>1</v>
      </c>
      <c r="P693">
        <v>1</v>
      </c>
      <c r="U693" t="s">
        <v>3644</v>
      </c>
      <c r="V693" t="str">
        <f t="shared" si="10"/>
        <v>{dwID=50878,nFrame=47,col={255,50,50,},[3]={bCenterAlarm=true,bScreenHead=true,},[4]={},aFocus={{dwMapID=-1,nMaxDistance=0,tRelation={bAll=false,bEnemy=true,bAlly=false,},tLife={bEnable=false,szOperator="&gt;",nValue=0,},},},},</v>
      </c>
    </row>
    <row r="694" spans="3:23" x14ac:dyDescent="0.15">
      <c r="C694">
        <v>50633</v>
      </c>
      <c r="D694">
        <v>57</v>
      </c>
      <c r="J694" t="s">
        <v>2676</v>
      </c>
      <c r="O694">
        <v>1</v>
      </c>
      <c r="P694">
        <v>1</v>
      </c>
      <c r="U694" t="s">
        <v>3644</v>
      </c>
      <c r="V694" t="str">
        <f t="shared" si="10"/>
        <v>{dwID=50633,nFrame=57,col={255,50,50,},[3]={bCenterAlarm=true,bScreenHead=true,},[4]={},aFocus={{dwMapID=-1,nMaxDistance=0,tRelation={bAll=false,bEnemy=true,bAlly=false,},tLife={bEnable=false,szOperator="&gt;",nValue=0,},},},tCountdown={{nClass=12,nIcon=17135,nFrame=0,szName="需要选中红衣邪火浇灭才可结算",nTime=20,key="门派事件1",},},},</v>
      </c>
      <c r="W694" t="s">
        <v>4103</v>
      </c>
    </row>
    <row r="695" spans="3:23" x14ac:dyDescent="0.15">
      <c r="C695">
        <v>50870</v>
      </c>
      <c r="D695">
        <v>67</v>
      </c>
      <c r="P695">
        <v>1</v>
      </c>
      <c r="U695" t="s">
        <v>4104</v>
      </c>
      <c r="V695" t="str">
        <f t="shared" si="10"/>
        <v>{dwID=50870,nFrame=67,[3]={bScreenHead=true,},[4]={},aFocus={{dwMapID=-1,nMaxDistance=3,tRelation={bAll=true,bEnemy=false,bAlly=false,},tLife={bEnable=false,szOperator="&lt;",nValue=100,},},},},</v>
      </c>
    </row>
    <row r="696" spans="3:23" x14ac:dyDescent="0.15">
      <c r="C696">
        <v>52511</v>
      </c>
      <c r="D696">
        <v>67</v>
      </c>
      <c r="J696" t="s">
        <v>2152</v>
      </c>
      <c r="P696">
        <v>1</v>
      </c>
      <c r="U696" t="s">
        <v>3622</v>
      </c>
      <c r="V696" t="str">
        <f t="shared" si="10"/>
        <v>{dwID=52511,nFrame=67,col={0,255,255,},[3]={bScreenHead=true,},[4]={},aFocus={{dwMapID=-1,nMaxDistance=30,tRelation={bAll=true,bEnemy=false,bAlly=false,},tLife={bEnable=false,szOperator="&gt;",nValue=0,},},},},</v>
      </c>
    </row>
    <row r="697" spans="3:23" x14ac:dyDescent="0.15">
      <c r="C697">
        <v>54963</v>
      </c>
      <c r="D697">
        <v>67</v>
      </c>
      <c r="J697" t="s">
        <v>2143</v>
      </c>
      <c r="P697">
        <v>1</v>
      </c>
      <c r="U697" t="s">
        <v>3627</v>
      </c>
      <c r="V697" t="str">
        <f t="shared" si="10"/>
        <v>{dwID=54963,nFrame=67,col={255,255,0,},[3]={bScreenHead=true,},[4]={},aFocus={{dwMapID=-1,nMaxDistance=10,tRelation={bAll=true,bEnemy=false,bAlly=false,},tLife={bEnable=false,szOperator="&gt;",nValue=0,},},},},</v>
      </c>
    </row>
    <row r="698" spans="3:23" x14ac:dyDescent="0.15">
      <c r="C698">
        <v>54929</v>
      </c>
      <c r="D698">
        <v>67</v>
      </c>
      <c r="J698" t="s">
        <v>2152</v>
      </c>
      <c r="P698">
        <v>1</v>
      </c>
      <c r="V698" t="str">
        <f t="shared" si="10"/>
        <v>{dwID=54929,nFrame=67,col={0,255,255,},[3]={bScreenHead=true,},[4]={},},</v>
      </c>
    </row>
    <row r="699" spans="3:23" x14ac:dyDescent="0.15">
      <c r="C699">
        <v>52999</v>
      </c>
      <c r="D699">
        <v>67</v>
      </c>
      <c r="J699" t="s">
        <v>2152</v>
      </c>
      <c r="P699">
        <v>1</v>
      </c>
      <c r="U699" t="s">
        <v>3622</v>
      </c>
      <c r="V699" t="str">
        <f t="shared" si="10"/>
        <v>{dwID=52999,nFrame=67,col={0,255,255,},[3]={bScreenHead=true,},[4]={},aFocus={{dwMapID=-1,nMaxDistance=30,tRelation={bAll=true,bEnemy=false,bAlly=false,},tLife={bEnable=false,szOperator="&gt;",nValue=0,},},},},</v>
      </c>
    </row>
    <row r="700" spans="3:23" x14ac:dyDescent="0.15">
      <c r="C700">
        <v>52988</v>
      </c>
      <c r="D700">
        <v>67</v>
      </c>
      <c r="J700" t="s">
        <v>2152</v>
      </c>
      <c r="P700">
        <v>1</v>
      </c>
      <c r="U700" t="s">
        <v>3622</v>
      </c>
      <c r="V700" t="str">
        <f t="shared" si="10"/>
        <v>{dwID=52988,nFrame=67,col={0,255,255,},[3]={bScreenHead=true,},[4]={},aFocus={{dwMapID=-1,nMaxDistance=30,tRelation={bAll=true,bEnemy=false,bAlly=false,},tLife={bEnable=false,szOperator="&gt;",nValue=0,},},},},</v>
      </c>
    </row>
    <row r="701" spans="3:23" x14ac:dyDescent="0.15">
      <c r="C701">
        <v>52661</v>
      </c>
      <c r="D701">
        <v>67</v>
      </c>
      <c r="J701" t="s">
        <v>3220</v>
      </c>
      <c r="P701">
        <v>1</v>
      </c>
      <c r="U701" t="s">
        <v>4105</v>
      </c>
      <c r="V701" t="str">
        <f t="shared" si="10"/>
        <v>{dwID=52661,nFrame=67,col={255,50,255,},[3]={bScreenHead=true,},[4]={},aFocus={{dwMapID=-1,nMaxDistance=30,tRelation={bAll=true,bEnemy=true,bAlly=false,},tLife={bEnable=false,szOperator="&gt;",nValue=0,},},},},</v>
      </c>
    </row>
    <row r="702" spans="3:23" x14ac:dyDescent="0.15">
      <c r="C702">
        <v>52647</v>
      </c>
      <c r="D702">
        <v>67</v>
      </c>
      <c r="J702" t="s">
        <v>3220</v>
      </c>
      <c r="P702">
        <v>1</v>
      </c>
      <c r="U702" t="s">
        <v>4105</v>
      </c>
      <c r="V702" t="str">
        <f t="shared" si="10"/>
        <v>{dwID=52647,nFrame=67,col={255,50,255,},[3]={bScreenHead=true,},[4]={},aFocus={{dwMapID=-1,nMaxDistance=30,tRelation={bAll=true,bEnemy=true,bAlly=false,},tLife={bEnable=false,szOperator="&gt;",nValue=0,},},},},</v>
      </c>
    </row>
    <row r="703" spans="3:23" x14ac:dyDescent="0.15">
      <c r="C703">
        <v>52592</v>
      </c>
      <c r="D703">
        <v>67</v>
      </c>
      <c r="J703" t="s">
        <v>3220</v>
      </c>
      <c r="P703">
        <v>1</v>
      </c>
      <c r="U703" t="s">
        <v>4105</v>
      </c>
      <c r="V703" t="str">
        <f t="shared" si="10"/>
        <v>{dwID=52592,nFrame=67,col={255,50,255,},[3]={bScreenHead=true,},[4]={},aFocus={{dwMapID=-1,nMaxDistance=30,tRelation={bAll=true,bEnemy=true,bAlly=false,},tLife={bEnable=false,szOperator="&gt;",nValue=0,},},},},</v>
      </c>
    </row>
    <row r="704" spans="3:23" x14ac:dyDescent="0.15">
      <c r="C704">
        <v>52766</v>
      </c>
      <c r="D704">
        <v>67</v>
      </c>
      <c r="J704" t="s">
        <v>3220</v>
      </c>
      <c r="P704">
        <v>1</v>
      </c>
      <c r="U704" t="s">
        <v>4105</v>
      </c>
      <c r="V704" t="str">
        <f t="shared" si="10"/>
        <v>{dwID=52766,nFrame=67,col={255,50,255,},[3]={bScreenHead=true,},[4]={},aFocus={{dwMapID=-1,nMaxDistance=30,tRelation={bAll=true,bEnemy=true,bAlly=false,},tLife={bEnable=false,szOperator="&gt;",nValue=0,},},},},</v>
      </c>
    </row>
    <row r="705" spans="1:22" x14ac:dyDescent="0.15">
      <c r="C705">
        <v>52650</v>
      </c>
      <c r="D705">
        <v>67</v>
      </c>
      <c r="J705" t="s">
        <v>3220</v>
      </c>
      <c r="P705">
        <v>1</v>
      </c>
      <c r="U705" t="s">
        <v>4105</v>
      </c>
      <c r="V705" t="str">
        <f t="shared" si="10"/>
        <v>{dwID=52650,nFrame=67,col={255,50,255,},[3]={bScreenHead=true,},[4]={},aFocus={{dwMapID=-1,nMaxDistance=30,tRelation={bAll=true,bEnemy=true,bAlly=false,},tLife={bEnable=false,szOperator="&gt;",nValue=0,},},},},</v>
      </c>
    </row>
    <row r="706" spans="1:22" x14ac:dyDescent="0.15">
      <c r="A706" t="s">
        <v>801</v>
      </c>
      <c r="B706">
        <v>151</v>
      </c>
      <c r="V706" t="str">
        <f t="shared" ref="V706:V769" si="11">IF(ISBLANK(B706)=FALSE,IF(ISBLANK(B705),"},["&amp;B706&amp;"]={","["&amp;B706&amp;"]={"),IF(AND(ISBLANK(B706),ISBLANK(D706),ISBLANK(C706),OR(ISBLANK(B705)=FALSE,ISBLANK(D705)=FALSE,ISBLANK(C705)=FALSE)),"},},}",IF(ISBLANK(C706),"","{dwID="&amp;C706&amp;","&amp;"nFrame="&amp;D706&amp;","&amp;IF(E706&gt;0,"nCount="&amp;E706&amp;",","")&amp;IF(F706&gt;0,"bAllLeave=true,","")&amp;IF(G706&lt;&gt;"","szName="""&amp;G706&amp;""",","")&amp;IF(H706&lt;&gt;"","tKungFu={"&amp;H706&amp;"},","")&amp;IF(I706&lt;&gt;"","szNote="""&amp;I706&amp;""",","")&amp;IF(J706&lt;&gt;"","col={"&amp;J706&amp;"},","")&amp;"[3]={"&amp;IF(K706&lt;&gt;"","tMark={"&amp;K706&amp;"},","")&amp;IF(L706&lt;&gt;"","szVoice="""&amp;L706&amp;""",","")&amp;IF(M706&gt;0,"bTeamChannel=true,","")&amp;IF(N706&gt;0,"bWhisperChannel=true,","")&amp;IF(O706&gt;0,"bCenterAlarm=true,","")&amp;IF(P706&gt;0,"bScreenHead=true,","")&amp;"},"&amp;"[4]={"&amp;IF(Q706&lt;&gt;"","szVoice="""&amp;Q706&amp;""",","")&amp;IF(R706&gt;0,"bTeamChannel=true,","")&amp;IF(S706&gt;0,"bWhisperChannel=true,","")&amp;IF(T706&gt;0,"bCenterAlarm=true,","")&amp;"},"&amp;IF(U706&lt;&gt;"","aFocus={"&amp;U706&amp;"},","")&amp;IF(W706&lt;&gt;"","tCountdown={"&amp;_xlfn.TEXTJOIN("",TRUE,W706:ZZ706)&amp;"},","")&amp;"},")))</f>
        <v>},[151]={</v>
      </c>
    </row>
    <row r="707" spans="1:22" x14ac:dyDescent="0.15">
      <c r="C707">
        <v>24437</v>
      </c>
      <c r="D707">
        <v>47</v>
      </c>
      <c r="U707" t="s">
        <v>3623</v>
      </c>
      <c r="V707" t="str">
        <f t="shared" si="11"/>
        <v>{dwID=24437,nFrame=47,[3]={},[4]={},aFocus={{dwMapID=-1,nMaxDistance=0,tRelation={bAll=true,bEnemy=false,bAlly=false,},tLife={bEnable=false,szOperator="&gt;",nValue=0,},},},},</v>
      </c>
    </row>
    <row r="708" spans="1:22" x14ac:dyDescent="0.15">
      <c r="C708">
        <v>23674</v>
      </c>
      <c r="D708">
        <v>47</v>
      </c>
      <c r="P708">
        <v>1</v>
      </c>
      <c r="U708" t="s">
        <v>3623</v>
      </c>
      <c r="V708" t="str">
        <f t="shared" si="11"/>
        <v>{dwID=23674,nFrame=47,[3]={bScreenHead=true,},[4]={},aFocus={{dwMapID=-1,nMaxDistance=0,tRelation={bAll=true,bEnemy=false,bAlly=false,},tLife={bEnable=false,szOperator="&gt;",nValue=0,},},},},</v>
      </c>
    </row>
    <row r="709" spans="1:22" x14ac:dyDescent="0.15">
      <c r="C709">
        <v>25530</v>
      </c>
      <c r="D709">
        <v>47</v>
      </c>
      <c r="G709" t="s">
        <v>4106</v>
      </c>
      <c r="J709" t="s">
        <v>2152</v>
      </c>
      <c r="P709">
        <v>1</v>
      </c>
      <c r="U709" t="s">
        <v>4107</v>
      </c>
      <c r="V709" t="str">
        <f t="shared" si="11"/>
        <v>{dwID=25530,nFrame=47,szName="段方西·阿里",col={0,255,255,},[3]={bScreenHead=true,},[4]={},aFocus={{dwMapID=-1,szDisplay="段方西·阿里",nMaxDistance=0,tRelation={bAll=true,bEnemy=false,bAlly=false,},tLife={bEnable=false,szOperator="&gt;",nValue=0,},},},},</v>
      </c>
    </row>
    <row r="710" spans="1:22" x14ac:dyDescent="0.15">
      <c r="C710">
        <v>51155</v>
      </c>
      <c r="D710">
        <v>47</v>
      </c>
      <c r="J710" t="s">
        <v>2152</v>
      </c>
      <c r="U710" t="s">
        <v>4108</v>
      </c>
      <c r="V710" t="str">
        <f t="shared" si="11"/>
        <v>{dwID=51155,nFrame=47,col={0,255,255,},[3]={},[4]={},aFocus={{dwMapID=-1,szDisplay="李复·故园风雨",nMaxDistance=120,tRelation={bAll=true,bEnemy=false,bAlly=false,},tLife={bEnable=false,szOperator="&gt;",nValue=0,},},},},</v>
      </c>
    </row>
    <row r="711" spans="1:22" x14ac:dyDescent="0.15">
      <c r="C711">
        <v>24192</v>
      </c>
      <c r="D711">
        <v>47</v>
      </c>
      <c r="O711">
        <v>1</v>
      </c>
      <c r="P711">
        <v>1</v>
      </c>
      <c r="U711" t="s">
        <v>4109</v>
      </c>
      <c r="V711" t="str">
        <f t="shared" si="11"/>
        <v>{dwID=24192,nFrame=47,[3]={bCenterAlarm=true,bScreenHead=true,},[4]={},aFocus={{dwMapID=-1,szDisplay="胖子·茶馆悬赏",nMaxDistance=0,tRelation={bAll=true,bEnemy=false,bAlly=false,},tLife={bEnable=false,szOperator="&gt;",nValue=0,},},},},</v>
      </c>
    </row>
    <row r="712" spans="1:22" x14ac:dyDescent="0.15">
      <c r="C712">
        <v>51214</v>
      </c>
      <c r="D712">
        <v>52</v>
      </c>
      <c r="J712" t="s">
        <v>2168</v>
      </c>
      <c r="P712">
        <v>1</v>
      </c>
      <c r="U712" t="s">
        <v>4110</v>
      </c>
      <c r="V712" t="str">
        <f t="shared" si="11"/>
        <v>{dwID=51214,nFrame=52,col={0,255,0,},[3]={bScreenHead=true,},[4]={},aFocus={{dwMapID=-1,szDisplay="物资车·护卫除追兵",nMaxDistance=60,tRelation={bAll=true,bEnemy=false,bAlly=false,},tLife={bEnable=false,szOperator="&gt;",nValue=0,},},},},</v>
      </c>
    </row>
    <row r="713" spans="1:22" x14ac:dyDescent="0.15">
      <c r="C713">
        <v>51189</v>
      </c>
      <c r="D713">
        <v>57</v>
      </c>
      <c r="O713">
        <v>1</v>
      </c>
      <c r="P713">
        <v>1</v>
      </c>
      <c r="U713" t="s">
        <v>4111</v>
      </c>
      <c r="V713" t="str">
        <f t="shared" si="11"/>
        <v>{dwID=51189,nFrame=57,[3]={bCenterAlarm=true,bScreenHead=true,},[4]={},aFocus={{dwMapID=-1,szDisplay="曹炎烈·公共事件",nMaxDistance=0,tRelation={bAll=true,bEnemy=false,bAlly=false,},tLife={bEnable=false,szOperator="&gt;",nValue=0,},},},},</v>
      </c>
    </row>
    <row r="714" spans="1:22" x14ac:dyDescent="0.15">
      <c r="C714">
        <v>51186</v>
      </c>
      <c r="D714">
        <v>57</v>
      </c>
      <c r="J714" t="s">
        <v>2676</v>
      </c>
      <c r="U714" t="s">
        <v>4075</v>
      </c>
      <c r="V714" t="str">
        <f t="shared" si="11"/>
        <v>{dwID=51186,nFrame=57,col={255,50,50,},[3]={},[4]={},aFocus={{dwMapID=-1,nMaxDistance=60,tRelation={bAll=false,bEnemy=true,bAlly=false,},tLife={bEnable=false,szOperator="&gt;",nValue=0,},},},},</v>
      </c>
    </row>
    <row r="715" spans="1:22" x14ac:dyDescent="0.15">
      <c r="C715">
        <v>23687</v>
      </c>
      <c r="D715">
        <v>47</v>
      </c>
      <c r="O715">
        <v>1</v>
      </c>
      <c r="U715" t="s">
        <v>4112</v>
      </c>
      <c r="V715" t="str">
        <f t="shared" si="11"/>
        <v>{dwID=23687,nFrame=47,[3]={bCenterAlarm=true,},[4]={},aFocus={{dwMapID=-1,szDisplay="求助的流民·心慈手软",nMaxDistance=0,tRelation={bAll=true,bEnemy=false,bAlly=false,},tLife={bEnable=false,szOperator="&gt;",nValue=0,},},},},</v>
      </c>
    </row>
    <row r="716" spans="1:22" x14ac:dyDescent="0.15">
      <c r="C716">
        <v>23689</v>
      </c>
      <c r="D716">
        <v>57</v>
      </c>
      <c r="U716" t="s">
        <v>3623</v>
      </c>
      <c r="V716" t="str">
        <f t="shared" si="11"/>
        <v>{dwID=23689,nFrame=57,[3]={},[4]={},aFocus={{dwMapID=-1,nMaxDistance=0,tRelation={bAll=true,bEnemy=false,bAlly=false,},tLife={bEnable=false,szOperator="&gt;",nValue=0,},},},},</v>
      </c>
    </row>
    <row r="717" spans="1:22" x14ac:dyDescent="0.15">
      <c r="C717">
        <v>20949</v>
      </c>
      <c r="D717">
        <v>47</v>
      </c>
      <c r="I717" t="s">
        <v>4113</v>
      </c>
      <c r="J717" t="s">
        <v>2168</v>
      </c>
      <c r="P717">
        <v>1</v>
      </c>
      <c r="U717" t="s">
        <v>4114</v>
      </c>
      <c r="V717" t="str">
        <f t="shared" si="11"/>
        <v>{dwID=20949,nFrame=47,szNote="隐藏任务·遗愿清单",col={0,255,0,},[3]={bScreenHead=true,},[4]={},aFocus={{dwMapID=-1,szDisplay="隐藏任务·遗愿清单",nMaxDistance=40,tRelation={bAll=true,bEnemy=false,bAlly=false,},tLife={bEnable=false,szOperator="&gt;",nValue=0,},},},},</v>
      </c>
    </row>
    <row r="718" spans="1:22" x14ac:dyDescent="0.15">
      <c r="C718">
        <v>21683</v>
      </c>
      <c r="D718">
        <v>47</v>
      </c>
      <c r="I718" t="s">
        <v>4113</v>
      </c>
      <c r="J718" t="s">
        <v>2168</v>
      </c>
      <c r="P718">
        <v>1</v>
      </c>
      <c r="U718" t="s">
        <v>4114</v>
      </c>
      <c r="V718" t="str">
        <f t="shared" si="11"/>
        <v>{dwID=21683,nFrame=47,szNote="隐藏任务·遗愿清单",col={0,255,0,},[3]={bScreenHead=true,},[4]={},aFocus={{dwMapID=-1,szDisplay="隐藏任务·遗愿清单",nMaxDistance=40,tRelation={bAll=true,bEnemy=false,bAlly=false,},tLife={bEnable=false,szOperator="&gt;",nValue=0,},},},},</v>
      </c>
    </row>
    <row r="719" spans="1:22" x14ac:dyDescent="0.15">
      <c r="C719">
        <v>23237</v>
      </c>
      <c r="D719">
        <v>47</v>
      </c>
      <c r="I719" t="s">
        <v>4113</v>
      </c>
      <c r="J719" t="s">
        <v>2168</v>
      </c>
      <c r="P719">
        <v>1</v>
      </c>
      <c r="U719" t="s">
        <v>4115</v>
      </c>
      <c r="V719" t="str">
        <f t="shared" si="11"/>
        <v>{dwID=23237,nFrame=47,szNote="隐藏任务·遗愿清单",col={0,255,0,},[3]={bScreenHead=true,},[4]={},aFocus={{dwMapID=-1,szDisplay="小乞丐·忠仆的牵挂",nMaxDistance=40,tRelation={bAll=true,bEnemy=false,bAlly=false,},tLife={bEnable=false,szOperator="&gt;",nValue=0,},},},},</v>
      </c>
    </row>
    <row r="720" spans="1:22" x14ac:dyDescent="0.15">
      <c r="C720">
        <v>20799</v>
      </c>
      <c r="D720">
        <v>47</v>
      </c>
      <c r="I720" t="s">
        <v>4113</v>
      </c>
      <c r="J720" t="s">
        <v>2168</v>
      </c>
      <c r="P720">
        <v>1</v>
      </c>
      <c r="U720" t="s">
        <v>4114</v>
      </c>
      <c r="V720" t="str">
        <f t="shared" si="11"/>
        <v>{dwID=20799,nFrame=47,szNote="隐藏任务·遗愿清单",col={0,255,0,},[3]={bScreenHead=true,},[4]={},aFocus={{dwMapID=-1,szDisplay="隐藏任务·遗愿清单",nMaxDistance=40,tRelation={bAll=true,bEnemy=false,bAlly=false,},tLife={bEnable=false,szOperator="&gt;",nValue=0,},},},},</v>
      </c>
    </row>
    <row r="721" spans="1:23" x14ac:dyDescent="0.15">
      <c r="C721">
        <v>20802</v>
      </c>
      <c r="D721">
        <v>47</v>
      </c>
      <c r="I721" t="s">
        <v>4116</v>
      </c>
      <c r="J721" t="s">
        <v>2168</v>
      </c>
      <c r="P721">
        <v>1</v>
      </c>
      <c r="U721" t="s">
        <v>4117</v>
      </c>
      <c r="V721" t="str">
        <f t="shared" si="11"/>
        <v>{dwID=20802,nFrame=47,szNote="隐藏任务·善意的谎言",col={0,255,0,},[3]={bScreenHead=true,},[4]={},aFocus={{dwMapID=-1,szDisplay="隐藏任务·善意的谎言",nMaxDistance=30,tRelation={bAll=true,bEnemy=false,bAlly=false,},tLife={bEnable=false,szOperator="&gt;",nValue=0,},},},},</v>
      </c>
    </row>
    <row r="722" spans="1:23" x14ac:dyDescent="0.15">
      <c r="C722">
        <v>20803</v>
      </c>
      <c r="D722">
        <v>47</v>
      </c>
      <c r="I722" t="s">
        <v>4118</v>
      </c>
      <c r="J722" t="s">
        <v>2168</v>
      </c>
      <c r="P722">
        <v>1</v>
      </c>
      <c r="U722" t="s">
        <v>3623</v>
      </c>
      <c r="V722" t="str">
        <f t="shared" si="11"/>
        <v>{dwID=20803,nFrame=47,szNote="苏恨林",col={0,255,0,},[3]={bScreenHead=true,},[4]={},aFocus={{dwMapID=-1,nMaxDistance=0,tRelation={bAll=true,bEnemy=false,bAlly=false,},tLife={bEnable=false,szOperator="&gt;",nValue=0,},},},tCountdown={{nClass=3,nIcon=17135,nFrame=0,szName="苏恨林·快速交互3次",nTime=30,key="任务提示1",},},},</v>
      </c>
      <c r="W722" t="s">
        <v>4119</v>
      </c>
    </row>
    <row r="723" spans="1:23" x14ac:dyDescent="0.15">
      <c r="C723">
        <v>20794</v>
      </c>
      <c r="D723">
        <v>47</v>
      </c>
      <c r="I723" t="s">
        <v>4120</v>
      </c>
      <c r="J723" t="s">
        <v>2168</v>
      </c>
      <c r="P723">
        <v>1</v>
      </c>
      <c r="U723" t="s">
        <v>4121</v>
      </c>
      <c r="V723" t="str">
        <f t="shared" si="11"/>
        <v>{dwID=20794,nFrame=47,szNote="[善意的谎言]",col={0,255,0,},[3]={bScreenHead=true,},[4]={},aFocus={{dwMapID=-1,szDisplay="张巡·善意的谎言",nMaxDistance=60,tRelation={bAll=true,bEnemy=false,bAlly=false,},tLife={bEnable=false,szOperator="&gt;",nValue=0,},},},},</v>
      </c>
    </row>
    <row r="724" spans="1:23" x14ac:dyDescent="0.15">
      <c r="C724">
        <v>25423</v>
      </c>
      <c r="D724">
        <v>57</v>
      </c>
      <c r="J724" t="s">
        <v>2676</v>
      </c>
      <c r="O724">
        <v>1</v>
      </c>
      <c r="P724">
        <v>1</v>
      </c>
      <c r="U724" t="s">
        <v>3623</v>
      </c>
      <c r="V724" t="str">
        <f t="shared" si="11"/>
        <v>{dwID=25423,nFrame=57,col={255,50,50,},[3]={bCenterAlarm=true,bScreenHead=true,},[4]={},aFocus={{dwMapID=-1,nMaxDistance=0,tRelation={bAll=true,bEnemy=false,bAlly=false,},tLife={bEnable=false,szOperator="&gt;",nValue=0,},},},},</v>
      </c>
    </row>
    <row r="725" spans="1:23" x14ac:dyDescent="0.15">
      <c r="C725">
        <v>25422</v>
      </c>
      <c r="D725">
        <v>47</v>
      </c>
      <c r="J725" t="s">
        <v>2676</v>
      </c>
      <c r="O725">
        <v>1</v>
      </c>
      <c r="P725">
        <v>1</v>
      </c>
      <c r="U725" t="s">
        <v>3623</v>
      </c>
      <c r="V725" t="str">
        <f t="shared" si="11"/>
        <v>{dwID=25422,nFrame=47,col={255,50,50,},[3]={bCenterAlarm=true,bScreenHead=true,},[4]={},aFocus={{dwMapID=-1,nMaxDistance=0,tRelation={bAll=true,bEnemy=false,bAlly=false,},tLife={bEnable=false,szOperator="&gt;",nValue=0,},},},},</v>
      </c>
    </row>
    <row r="726" spans="1:23" x14ac:dyDescent="0.15">
      <c r="C726">
        <v>25424</v>
      </c>
      <c r="D726">
        <v>57</v>
      </c>
      <c r="J726" t="s">
        <v>2676</v>
      </c>
      <c r="O726">
        <v>1</v>
      </c>
      <c r="P726">
        <v>1</v>
      </c>
      <c r="U726" t="s">
        <v>3623</v>
      </c>
      <c r="V726" t="str">
        <f t="shared" si="11"/>
        <v>{dwID=25424,nFrame=57,col={255,50,50,},[3]={bCenterAlarm=true,bScreenHead=true,},[4]={},aFocus={{dwMapID=-1,nMaxDistance=0,tRelation={bAll=true,bEnemy=false,bAlly=false,},tLife={bEnable=false,szOperator="&gt;",nValue=0,},},},},</v>
      </c>
    </row>
    <row r="727" spans="1:23" x14ac:dyDescent="0.15">
      <c r="C727">
        <v>25421</v>
      </c>
      <c r="D727">
        <v>57</v>
      </c>
      <c r="J727" t="s">
        <v>2676</v>
      </c>
      <c r="O727">
        <v>1</v>
      </c>
      <c r="P727">
        <v>1</v>
      </c>
      <c r="U727" t="s">
        <v>3623</v>
      </c>
      <c r="V727" t="str">
        <f t="shared" si="11"/>
        <v>{dwID=25421,nFrame=57,col={255,50,50,},[3]={bCenterAlarm=true,bScreenHead=true,},[4]={},aFocus={{dwMapID=-1,nMaxDistance=0,tRelation={bAll=true,bEnemy=false,bAlly=false,},tLife={bEnable=false,szOperator="&gt;",nValue=0,},},},},</v>
      </c>
    </row>
    <row r="728" spans="1:23" x14ac:dyDescent="0.15">
      <c r="C728">
        <v>51339</v>
      </c>
      <c r="D728">
        <v>47</v>
      </c>
      <c r="I728" t="s">
        <v>4122</v>
      </c>
      <c r="J728" t="s">
        <v>2168</v>
      </c>
      <c r="P728">
        <v>1</v>
      </c>
      <c r="U728" t="s">
        <v>4123</v>
      </c>
      <c r="V728" t="str">
        <f t="shared" si="11"/>
        <v>{dwID=51339,nFrame=47,szNote="永安行·声望·叶紫琼",col={0,255,0,},[3]={bScreenHead=true,},[4]={},aFocus={{dwMapID=-1,szDisplay="永安行·九邬碧玉",nMaxDistance=30,tRelation={bAll=true,bEnemy=false,bAlly=false,},tLife={bEnable=false,szOperator="&gt;",nValue=0,},},},},</v>
      </c>
    </row>
    <row r="729" spans="1:23" x14ac:dyDescent="0.15">
      <c r="C729">
        <v>25419</v>
      </c>
      <c r="D729">
        <v>57</v>
      </c>
      <c r="I729" t="s">
        <v>4124</v>
      </c>
      <c r="U729" t="s">
        <v>3759</v>
      </c>
      <c r="V729" t="str">
        <f t="shared" si="11"/>
        <v>{dwID=25419,nFrame=57,szNote="屠狼令：东都之难！",[3]={},[4]={},aFocus={{dwMapID=-1,nMaxDistance=30,tRelation={bAll=false,bEnemy=true,bAlly=false,},tLife={bEnable=false,szOperator="&gt;",nValue=0,},},},},</v>
      </c>
    </row>
    <row r="730" spans="1:23" x14ac:dyDescent="0.15">
      <c r="C730">
        <v>70565</v>
      </c>
      <c r="D730">
        <v>47</v>
      </c>
      <c r="I730" t="s">
        <v>4125</v>
      </c>
      <c r="U730" t="s">
        <v>4126</v>
      </c>
      <c r="V730" t="str">
        <f t="shared" si="11"/>
        <v>{dwID=70565,nFrame=47,szNote="兔江湖",[3]={},[4]={},aFocus={{dwMapID=-1,szDisplay="神秘人·兔江湖",nMaxDistance=10,tRelation={bAll=true,bEnemy=false,bAlly=false,},tLife={bEnable=false,szOperator="&gt;",nValue=0,},},},},</v>
      </c>
    </row>
    <row r="731" spans="1:23" x14ac:dyDescent="0.15">
      <c r="C731">
        <v>70617</v>
      </c>
      <c r="D731">
        <v>47</v>
      </c>
      <c r="I731" t="s">
        <v>4125</v>
      </c>
      <c r="U731" t="s">
        <v>4127</v>
      </c>
      <c r="V731" t="str">
        <f t="shared" si="11"/>
        <v>{dwID=70617,nFrame=47,szNote="兔江湖",[3]={},[4]={},aFocus={{dwMapID=-1,szDisplay="阎规·兔江湖",nMaxDistance=0,tRelation={bAll=true,bEnemy=false,bAlly=false,},tLife={bEnable=false,szOperator="&gt;",nValue=0,},},},},</v>
      </c>
    </row>
    <row r="732" spans="1:23" x14ac:dyDescent="0.15">
      <c r="C732">
        <v>70433</v>
      </c>
      <c r="D732">
        <v>47</v>
      </c>
      <c r="I732" t="s">
        <v>4125</v>
      </c>
      <c r="U732" t="s">
        <v>4128</v>
      </c>
      <c r="V732" t="str">
        <f t="shared" si="11"/>
        <v>{dwID=70433,nFrame=47,szNote="兔江湖",[3]={},[4]={},aFocus={{dwMapID=-1,szDisplay="鲁小兔·兔江湖",nMaxDistance=0,tRelation={bAll=true,bEnemy=false,bAlly=false,},tLife={bEnable=false,szOperator="&gt;",nValue=0,},},},},</v>
      </c>
    </row>
    <row r="733" spans="1:23" x14ac:dyDescent="0.15">
      <c r="A733" t="s">
        <v>803</v>
      </c>
      <c r="B733">
        <v>153</v>
      </c>
      <c r="V733" t="str">
        <f t="shared" si="11"/>
        <v>},[153]={</v>
      </c>
    </row>
    <row r="734" spans="1:23" x14ac:dyDescent="0.15">
      <c r="C734">
        <v>19926</v>
      </c>
      <c r="D734">
        <v>47</v>
      </c>
      <c r="I734" t="s">
        <v>4129</v>
      </c>
      <c r="U734" t="s">
        <v>4130</v>
      </c>
      <c r="V734" t="str">
        <f t="shared" si="11"/>
        <v>{dwID=19926,nFrame=47,szNote="陆烟儿·隐藏任务",[3]={},[4]={},aFocus={{dwMapID=-1,szDisplay="陆烟儿·隐藏任务",nMaxDistance=10,tRelation={bAll=true,bEnemy=false,bAlly=false,},tLife={bEnable=false,szOperator="&gt;",nValue=0,},},},},</v>
      </c>
    </row>
    <row r="735" spans="1:23" x14ac:dyDescent="0.15">
      <c r="C735">
        <v>36417</v>
      </c>
      <c r="D735">
        <v>52</v>
      </c>
      <c r="I735" t="s">
        <v>4131</v>
      </c>
      <c r="J735" t="s">
        <v>2168</v>
      </c>
      <c r="U735" t="s">
        <v>4132</v>
      </c>
      <c r="V735" t="str">
        <f t="shared" si="11"/>
        <v>{dwID=36417,nFrame=52,szNote="大旗·扶风郡",col={0,255,0,},[3]={},[4]={},aFocus={{dwMapID=-1,szDisplay="大旗·扶风郡",nMaxDistance=3,tRelation={bAll=true,bEnemy=false,bAlly=false,},tLife={bEnable=false,szOperator="&gt;",nValue=0,},},},},</v>
      </c>
    </row>
    <row r="736" spans="1:23" x14ac:dyDescent="0.15">
      <c r="C736">
        <v>36416</v>
      </c>
      <c r="D736">
        <v>52</v>
      </c>
      <c r="I736" t="s">
        <v>4133</v>
      </c>
      <c r="J736" t="s">
        <v>2168</v>
      </c>
      <c r="U736" t="s">
        <v>4134</v>
      </c>
      <c r="V736" t="str">
        <f t="shared" si="11"/>
        <v>{dwID=36416,nFrame=52,szNote="大旗·世外坡",col={0,255,0,},[3]={},[4]={},aFocus={{dwMapID=-1,szDisplay="大旗·世外坡",nMaxDistance=3,tRelation={bAll=true,bEnemy=false,bAlly=false,},tLife={bEnable=false,szOperator="&gt;",nValue=0,},},},},</v>
      </c>
    </row>
    <row r="737" spans="1:22" x14ac:dyDescent="0.15">
      <c r="A737" t="s">
        <v>805</v>
      </c>
      <c r="B737">
        <v>156</v>
      </c>
      <c r="V737" t="str">
        <f t="shared" si="11"/>
        <v>},[156]={</v>
      </c>
    </row>
    <row r="738" spans="1:22" x14ac:dyDescent="0.15">
      <c r="C738">
        <v>24437</v>
      </c>
      <c r="D738">
        <v>47</v>
      </c>
      <c r="P738">
        <v>1</v>
      </c>
      <c r="U738" t="s">
        <v>3623</v>
      </c>
      <c r="V738" t="str">
        <f t="shared" si="11"/>
        <v>{dwID=24437,nFrame=47,[3]={bScreenHead=true,},[4]={},aFocus={{dwMapID=-1,nMaxDistance=0,tRelation={bAll=true,bEnemy=false,bAlly=false,},tLife={bEnable=false,szOperator="&gt;",nValue=0,},},},},</v>
      </c>
    </row>
    <row r="739" spans="1:22" x14ac:dyDescent="0.15">
      <c r="C739">
        <v>23674</v>
      </c>
      <c r="D739">
        <v>47</v>
      </c>
      <c r="P739">
        <v>1</v>
      </c>
      <c r="U739" t="s">
        <v>3623</v>
      </c>
      <c r="V739" t="str">
        <f t="shared" si="11"/>
        <v>{dwID=23674,nFrame=47,[3]={bScreenHead=true,},[4]={},aFocus={{dwMapID=-1,nMaxDistance=0,tRelation={bAll=true,bEnemy=false,bAlly=false,},tLife={bEnable=false,szOperator="&gt;",nValue=0,},},},},</v>
      </c>
    </row>
    <row r="740" spans="1:22" x14ac:dyDescent="0.15">
      <c r="C740">
        <v>24192</v>
      </c>
      <c r="D740">
        <v>47</v>
      </c>
      <c r="O740">
        <v>1</v>
      </c>
      <c r="P740">
        <v>1</v>
      </c>
      <c r="U740" t="s">
        <v>4109</v>
      </c>
      <c r="V740" t="str">
        <f t="shared" si="11"/>
        <v>{dwID=24192,nFrame=47,[3]={bCenterAlarm=true,bScreenHead=true,},[4]={},aFocus={{dwMapID=-1,szDisplay="胖子·茶馆悬赏",nMaxDistance=0,tRelation={bAll=true,bEnemy=false,bAlly=false,},tLife={bEnable=false,szOperator="&gt;",nValue=0,},},},},</v>
      </c>
    </row>
    <row r="741" spans="1:22" x14ac:dyDescent="0.15">
      <c r="C741">
        <v>23687</v>
      </c>
      <c r="D741">
        <v>47</v>
      </c>
      <c r="O741">
        <v>1</v>
      </c>
      <c r="P741">
        <v>1</v>
      </c>
      <c r="U741" t="s">
        <v>4112</v>
      </c>
      <c r="V741" t="str">
        <f t="shared" si="11"/>
        <v>{dwID=23687,nFrame=47,[3]={bCenterAlarm=true,bScreenHead=true,},[4]={},aFocus={{dwMapID=-1,szDisplay="求助的流民·心慈手软",nMaxDistance=0,tRelation={bAll=true,bEnemy=false,bAlly=false,},tLife={bEnable=false,szOperator="&gt;",nValue=0,},},},},</v>
      </c>
    </row>
    <row r="742" spans="1:22" x14ac:dyDescent="0.15">
      <c r="C742">
        <v>23689</v>
      </c>
      <c r="D742">
        <v>57</v>
      </c>
      <c r="P742">
        <v>1</v>
      </c>
      <c r="U742" t="s">
        <v>3623</v>
      </c>
      <c r="V742" t="str">
        <f t="shared" si="11"/>
        <v>{dwID=23689,nFrame=57,[3]={bScreenHead=true,},[4]={},aFocus={{dwMapID=-1,nMaxDistance=0,tRelation={bAll=true,bEnemy=false,bAlly=false,},tLife={bEnable=false,szOperator="&gt;",nValue=0,},},},},</v>
      </c>
    </row>
    <row r="743" spans="1:22" x14ac:dyDescent="0.15">
      <c r="A743" t="s">
        <v>806</v>
      </c>
      <c r="B743">
        <v>157</v>
      </c>
      <c r="V743" t="str">
        <f t="shared" si="11"/>
        <v>},[157]={</v>
      </c>
    </row>
    <row r="744" spans="1:22" x14ac:dyDescent="0.15">
      <c r="C744">
        <v>21219</v>
      </c>
      <c r="D744">
        <v>57</v>
      </c>
      <c r="U744" t="s">
        <v>3733</v>
      </c>
      <c r="V744" t="str">
        <f t="shared" si="11"/>
        <v>{dwID=21219,nFrame=57,[3]={},[4]={},aFocus={{dwMapID=-1,nMaxDistance=60,tRelation={bAll=true,bEnemy=false,bAlly=false,},tLife={bEnable=false,szOperator="&gt;",nValue=0,},},},},</v>
      </c>
    </row>
    <row r="745" spans="1:22" x14ac:dyDescent="0.15">
      <c r="A745" t="s">
        <v>807</v>
      </c>
      <c r="B745">
        <v>158</v>
      </c>
      <c r="V745" t="str">
        <f t="shared" si="11"/>
        <v>},[158]={</v>
      </c>
    </row>
    <row r="746" spans="1:22" x14ac:dyDescent="0.15">
      <c r="C746">
        <v>55308</v>
      </c>
      <c r="D746">
        <v>67</v>
      </c>
      <c r="J746" t="s">
        <v>4135</v>
      </c>
      <c r="P746">
        <v>1</v>
      </c>
      <c r="U746" t="s">
        <v>4136</v>
      </c>
      <c r="V746" t="str">
        <f t="shared" si="11"/>
        <v>{dwID=55308,nFrame=67,col={0,255,225,},[3]={bScreenHead=true,},[4]={},aFocus={{dwMapID=-1,szDisplay="隐藏任务",nMaxDistance=10,tRelation={bAll=true,bEnemy=false,bAlly=false,},tLife={bEnable=false,szOperator="&gt;",nValue=0,},},},},</v>
      </c>
    </row>
    <row r="747" spans="1:22" x14ac:dyDescent="0.15">
      <c r="C747">
        <v>53325</v>
      </c>
      <c r="D747">
        <v>67</v>
      </c>
      <c r="J747" t="s">
        <v>2152</v>
      </c>
      <c r="P747">
        <v>1</v>
      </c>
      <c r="U747" t="s">
        <v>3627</v>
      </c>
      <c r="V747" t="str">
        <f t="shared" si="11"/>
        <v>{dwID=53325,nFrame=67,col={0,255,255,},[3]={bScreenHead=true,},[4]={},aFocus={{dwMapID=-1,nMaxDistance=10,tRelation={bAll=true,bEnemy=false,bAlly=false,},tLife={bEnable=false,szOperator="&gt;",nValue=0,},},},},</v>
      </c>
    </row>
    <row r="748" spans="1:22" x14ac:dyDescent="0.15">
      <c r="C748">
        <v>53227</v>
      </c>
      <c r="D748">
        <v>67</v>
      </c>
      <c r="J748" t="s">
        <v>2152</v>
      </c>
      <c r="P748">
        <v>1</v>
      </c>
      <c r="U748" t="s">
        <v>3627</v>
      </c>
      <c r="V748" t="str">
        <f t="shared" si="11"/>
        <v>{dwID=53227,nFrame=67,col={0,255,255,},[3]={bScreenHead=true,},[4]={},aFocus={{dwMapID=-1,nMaxDistance=10,tRelation={bAll=true,bEnemy=false,bAlly=false,},tLife={bEnable=false,szOperator="&gt;",nValue=0,},},},},</v>
      </c>
    </row>
    <row r="749" spans="1:22" x14ac:dyDescent="0.15">
      <c r="C749">
        <v>53328</v>
      </c>
      <c r="D749">
        <v>67</v>
      </c>
      <c r="J749" t="s">
        <v>2152</v>
      </c>
      <c r="P749">
        <v>1</v>
      </c>
      <c r="U749" t="s">
        <v>4137</v>
      </c>
      <c r="V749" t="str">
        <f t="shared" si="11"/>
        <v>{dwID=53328,nFrame=67,col={0,255,255,},[3]={bScreenHead=true,},[4]={},aFocus={{dwMapID=-1,szDisplay="小姨",nMaxDistance=6,tRelation={bAll=true,bEnemy=false,bAlly=false,},tLife={bEnable=false,szOperator="&gt;",nValue=0,},},},},</v>
      </c>
    </row>
    <row r="750" spans="1:22" x14ac:dyDescent="0.15">
      <c r="C750">
        <v>55303</v>
      </c>
      <c r="D750">
        <v>67</v>
      </c>
      <c r="J750" t="s">
        <v>2152</v>
      </c>
      <c r="P750">
        <v>1</v>
      </c>
      <c r="U750" t="s">
        <v>4138</v>
      </c>
      <c r="V750" t="str">
        <f t="shared" si="11"/>
        <v>{dwID=55303,nFrame=67,col={0,255,255,},[3]={bScreenHead=true,},[4]={},aFocus={{dwMapID=-1,szDisplay="隐藏任务·方士5级",nMaxDistance=0,tRelation={bAll=true,bEnemy=false,bAlly=false,},tLife={bEnable=false,szOperator="&gt;",nValue=0,},},},},</v>
      </c>
    </row>
    <row r="751" spans="1:22" x14ac:dyDescent="0.15">
      <c r="C751">
        <v>53411</v>
      </c>
      <c r="D751">
        <v>67</v>
      </c>
      <c r="J751" t="s">
        <v>2152</v>
      </c>
      <c r="P751">
        <v>1</v>
      </c>
      <c r="U751" t="s">
        <v>3733</v>
      </c>
      <c r="V751" t="str">
        <f t="shared" si="11"/>
        <v>{dwID=53411,nFrame=67,col={0,255,255,},[3]={bScreenHead=true,},[4]={},aFocus={{dwMapID=-1,nMaxDistance=60,tRelation={bAll=true,bEnemy=false,bAlly=false,},tLife={bEnable=false,szOperator="&gt;",nValue=0,},},},},</v>
      </c>
    </row>
    <row r="752" spans="1:22" x14ac:dyDescent="0.15">
      <c r="C752">
        <v>50305</v>
      </c>
      <c r="D752">
        <v>47</v>
      </c>
      <c r="J752" t="s">
        <v>2168</v>
      </c>
      <c r="P752">
        <v>1</v>
      </c>
      <c r="U752" t="s">
        <v>3627</v>
      </c>
      <c r="V752" t="str">
        <f t="shared" si="11"/>
        <v>{dwID=50305,nFrame=47,col={0,255,0,},[3]={bScreenHead=true,},[4]={},aFocus={{dwMapID=-1,nMaxDistance=10,tRelation={bAll=true,bEnemy=false,bAlly=false,},tLife={bEnable=false,szOperator="&gt;",nValue=0,},},},},</v>
      </c>
    </row>
    <row r="753" spans="1:22" x14ac:dyDescent="0.15">
      <c r="C753">
        <v>50298</v>
      </c>
      <c r="D753">
        <v>57</v>
      </c>
      <c r="J753" t="s">
        <v>2676</v>
      </c>
      <c r="U753" t="s">
        <v>3794</v>
      </c>
      <c r="V753" t="str">
        <f t="shared" si="11"/>
        <v>{dwID=50298,nFrame=57,col={255,50,50,},[3]={},[4]={},aFocus={{dwMapID=-1,nMaxDistance=20,tRelation={bAll=false,bEnemy=true,bAlly=false,},tLife={bEnable=false,szOperator="&gt;",nValue=0,},},},},</v>
      </c>
    </row>
    <row r="754" spans="1:22" x14ac:dyDescent="0.15">
      <c r="C754">
        <v>50613</v>
      </c>
      <c r="D754">
        <v>47</v>
      </c>
      <c r="J754" t="s">
        <v>2168</v>
      </c>
      <c r="P754">
        <v>1</v>
      </c>
      <c r="U754" t="s">
        <v>4139</v>
      </c>
      <c r="V754" t="str">
        <f t="shared" si="11"/>
        <v>{dwID=50613,nFrame=47,col={0,255,0,},[3]={bScreenHead=true,},[4]={},aFocus={{dwMapID=-1,nMaxDistance=0,tRelation={bAll=false,bEnemy=false,bAlly=true,},tLife={bEnable=false,szOperator="&gt;",nValue=0,},},},},</v>
      </c>
    </row>
    <row r="755" spans="1:22" x14ac:dyDescent="0.15">
      <c r="C755">
        <v>50615</v>
      </c>
      <c r="D755">
        <v>57</v>
      </c>
      <c r="J755" t="s">
        <v>2676</v>
      </c>
      <c r="V755" t="str">
        <f t="shared" si="11"/>
        <v>{dwID=50615,nFrame=57,col={255,50,50,},[3]={},[4]={},},</v>
      </c>
    </row>
    <row r="756" spans="1:22" x14ac:dyDescent="0.15">
      <c r="C756">
        <v>50356</v>
      </c>
      <c r="D756">
        <v>57</v>
      </c>
      <c r="J756" t="s">
        <v>2676</v>
      </c>
      <c r="U756" t="s">
        <v>4140</v>
      </c>
      <c r="V756" t="str">
        <f t="shared" si="11"/>
        <v>{dwID=50356,nFrame=57,col={255,50,50,},[3]={},[4]={},aFocus={{dwMapID=-1,nMaxDistance=20,tRelation={bAll=false,bEnemy=true,bAlly=false,},tLife={bEnable=true,szOperator="&gt;",nValue=1,},},},},</v>
      </c>
    </row>
    <row r="757" spans="1:22" x14ac:dyDescent="0.15">
      <c r="C757">
        <v>50510</v>
      </c>
      <c r="D757">
        <v>57</v>
      </c>
      <c r="J757" t="s">
        <v>2676</v>
      </c>
      <c r="U757" t="s">
        <v>4059</v>
      </c>
      <c r="V757" t="str">
        <f t="shared" si="11"/>
        <v>{dwID=50510,nFrame=57,col={255,50,50,},[3]={},[4]={},aFocus={{dwMapID=-1,nMaxDistance=20,tRelation={bAll=false,bEnemy=true,bAlly=false,},tLife={bEnable=true,szOperator="&lt;",nValue=100,},},},},</v>
      </c>
    </row>
    <row r="758" spans="1:22" x14ac:dyDescent="0.15">
      <c r="C758">
        <v>50781</v>
      </c>
      <c r="D758">
        <v>57</v>
      </c>
      <c r="J758" t="s">
        <v>2676</v>
      </c>
      <c r="U758" t="s">
        <v>4059</v>
      </c>
      <c r="V758" t="str">
        <f t="shared" si="11"/>
        <v>{dwID=50781,nFrame=57,col={255,50,50,},[3]={},[4]={},aFocus={{dwMapID=-1,nMaxDistance=20,tRelation={bAll=false,bEnemy=true,bAlly=false,},tLife={bEnable=true,szOperator="&lt;",nValue=100,},},},},</v>
      </c>
    </row>
    <row r="759" spans="1:22" x14ac:dyDescent="0.15">
      <c r="C759">
        <v>50461</v>
      </c>
      <c r="D759">
        <v>47</v>
      </c>
      <c r="J759" t="s">
        <v>2168</v>
      </c>
      <c r="P759">
        <v>1</v>
      </c>
      <c r="U759" t="s">
        <v>4141</v>
      </c>
      <c r="V759" t="str">
        <f t="shared" si="11"/>
        <v>{dwID=50461,nFrame=47,col={0,255,0,},[3]={bScreenHead=true,},[4]={},aFocus={{dwMapID=-1,nMaxDistance=30,tRelation={bAll=false,bEnemy=false,bAlly=true,},tLife={bEnable=false,szOperator="&gt;",nValue=0,},},},},</v>
      </c>
    </row>
    <row r="760" spans="1:22" x14ac:dyDescent="0.15">
      <c r="C760">
        <v>50607</v>
      </c>
      <c r="D760">
        <v>57</v>
      </c>
      <c r="J760" t="s">
        <v>2676</v>
      </c>
      <c r="P760">
        <v>1</v>
      </c>
      <c r="U760" t="s">
        <v>3644</v>
      </c>
      <c r="V760" t="str">
        <f t="shared" si="11"/>
        <v>{dwID=50607,nFrame=57,col={255,50,50,},[3]={bScreenHead=true,},[4]={},aFocus={{dwMapID=-1,nMaxDistance=0,tRelation={bAll=false,bEnemy=true,bAlly=false,},tLife={bEnable=false,szOperator="&gt;",nValue=0,},},},},</v>
      </c>
    </row>
    <row r="761" spans="1:22" x14ac:dyDescent="0.15">
      <c r="C761">
        <v>50563</v>
      </c>
      <c r="D761">
        <v>57</v>
      </c>
      <c r="J761" t="s">
        <v>2676</v>
      </c>
      <c r="P761">
        <v>1</v>
      </c>
      <c r="U761" t="s">
        <v>3644</v>
      </c>
      <c r="V761" t="str">
        <f t="shared" si="11"/>
        <v>{dwID=50563,nFrame=57,col={255,50,50,},[3]={bScreenHead=true,},[4]={},aFocus={{dwMapID=-1,nMaxDistance=0,tRelation={bAll=false,bEnemy=true,bAlly=false,},tLife={bEnable=false,szOperator="&gt;",nValue=0,},},},},</v>
      </c>
    </row>
    <row r="762" spans="1:22" x14ac:dyDescent="0.15">
      <c r="C762">
        <v>50565</v>
      </c>
      <c r="D762">
        <v>57</v>
      </c>
      <c r="P762">
        <v>1</v>
      </c>
      <c r="U762" t="s">
        <v>4142</v>
      </c>
      <c r="V762" t="str">
        <f t="shared" si="11"/>
        <v>{dwID=50565,nFrame=57,[3]={bScreenHead=true,},[4]={},aFocus={{dwMapID=-1,nMaxDistance=10,tRelation={bAll=false,bEnemy=true,bAlly=false,},tLife={bEnable=false,szOperator="&gt;",nValue=0,},},},},</v>
      </c>
    </row>
    <row r="763" spans="1:22" x14ac:dyDescent="0.15">
      <c r="A763" t="s">
        <v>246</v>
      </c>
      <c r="B763">
        <v>159</v>
      </c>
      <c r="V763" t="str">
        <f t="shared" si="11"/>
        <v>},[159]={</v>
      </c>
    </row>
    <row r="764" spans="1:22" x14ac:dyDescent="0.15">
      <c r="C764">
        <v>50898</v>
      </c>
      <c r="D764">
        <v>50</v>
      </c>
      <c r="I764" t="s">
        <v>4143</v>
      </c>
      <c r="U764" t="s">
        <v>4059</v>
      </c>
      <c r="V764" t="str">
        <f t="shared" si="11"/>
        <v>{dwID=50898,nFrame=50,szNote="门派事件·丐帮",[3]={},[4]={},aFocus={{dwMapID=-1,nMaxDistance=20,tRelation={bAll=false,bEnemy=true,bAlly=false,},tLife={bEnable=true,szOperator="&lt;",nValue=100,},},},},</v>
      </c>
    </row>
    <row r="765" spans="1:22" x14ac:dyDescent="0.15">
      <c r="C765">
        <v>50899</v>
      </c>
      <c r="D765">
        <v>47</v>
      </c>
      <c r="I765" t="s">
        <v>4143</v>
      </c>
      <c r="U765" t="s">
        <v>3621</v>
      </c>
      <c r="V765" t="str">
        <f t="shared" si="11"/>
        <v>{dwID=50899,nFrame=47,szNote="门派事件·丐帮",[3]={},[4]={},aFocus={{dwMapID=-1,nMaxDistance=6,tRelation={bAll=true,bEnemy=false,bAlly=false,},tLife={bEnable=false,szOperator="&gt;",nValue=0,},},},},</v>
      </c>
    </row>
    <row r="766" spans="1:22" x14ac:dyDescent="0.15">
      <c r="C766">
        <v>50897</v>
      </c>
      <c r="D766">
        <v>50</v>
      </c>
      <c r="I766" t="s">
        <v>4143</v>
      </c>
      <c r="J766" t="s">
        <v>2676</v>
      </c>
      <c r="U766" t="s">
        <v>3794</v>
      </c>
      <c r="V766" t="str">
        <f t="shared" si="11"/>
        <v>{dwID=50897,nFrame=50,szNote="门派事件·丐帮",col={255,50,50,},[3]={},[4]={},aFocus={{dwMapID=-1,nMaxDistance=20,tRelation={bAll=false,bEnemy=true,bAlly=false,},tLife={bEnable=false,szOperator="&gt;",nValue=0,},},},},</v>
      </c>
    </row>
    <row r="767" spans="1:22" x14ac:dyDescent="0.15">
      <c r="C767">
        <v>50815</v>
      </c>
      <c r="D767">
        <v>57</v>
      </c>
      <c r="I767" t="s">
        <v>4143</v>
      </c>
      <c r="U767" t="s">
        <v>3759</v>
      </c>
      <c r="V767" t="str">
        <f t="shared" si="11"/>
        <v>{dwID=50815,nFrame=57,szNote="门派事件·丐帮",[3]={},[4]={},aFocus={{dwMapID=-1,nMaxDistance=30,tRelation={bAll=false,bEnemy=true,bAlly=false,},tLife={bEnable=false,szOperator="&gt;",nValue=0,},},},},</v>
      </c>
    </row>
    <row r="768" spans="1:22" x14ac:dyDescent="0.15">
      <c r="C768">
        <v>50816</v>
      </c>
      <c r="D768">
        <v>57</v>
      </c>
      <c r="I768" t="s">
        <v>4143</v>
      </c>
      <c r="J768" t="s">
        <v>2676</v>
      </c>
      <c r="P768">
        <v>1</v>
      </c>
      <c r="U768" t="s">
        <v>3644</v>
      </c>
      <c r="V768" t="str">
        <f t="shared" si="11"/>
        <v>{dwID=50816,nFrame=57,szNote="门派事件·丐帮",col={255,50,50,},[3]={bScreenHead=true,},[4]={},aFocus={{dwMapID=-1,nMaxDistance=0,tRelation={bAll=false,bEnemy=true,bAlly=false,},tLife={bEnable=false,szOperator="&gt;",nValue=0,},},},},</v>
      </c>
    </row>
    <row r="769" spans="1:22" x14ac:dyDescent="0.15">
      <c r="C769">
        <v>50871</v>
      </c>
      <c r="D769">
        <v>47</v>
      </c>
      <c r="J769" t="s">
        <v>2168</v>
      </c>
      <c r="P769">
        <v>1</v>
      </c>
      <c r="U769" t="s">
        <v>4144</v>
      </c>
      <c r="V769" t="str">
        <f t="shared" si="11"/>
        <v>{dwID=50871,nFrame=47,col={0,255,0,},[3]={bScreenHead=true,},[4]={},aFocus={{dwMapID=-1,nMaxDistance=60,tRelation={bAll=false,bEnemy=false,bAlly=true,},tLife={bEnable=false,szOperator="&gt;",nValue=0,},},},},</v>
      </c>
    </row>
    <row r="770" spans="1:22" x14ac:dyDescent="0.15">
      <c r="C770">
        <v>50864</v>
      </c>
      <c r="D770">
        <v>47</v>
      </c>
      <c r="I770" t="s">
        <v>4145</v>
      </c>
      <c r="U770" t="s">
        <v>4075</v>
      </c>
      <c r="V770" t="str">
        <f t="shared" ref="V770:V833" si="12">IF(ISBLANK(B770)=FALSE,IF(ISBLANK(B769),"},["&amp;B770&amp;"]={","["&amp;B770&amp;"]={"),IF(AND(ISBLANK(B770),ISBLANK(D770),ISBLANK(C770),OR(ISBLANK(B769)=FALSE,ISBLANK(D769)=FALSE,ISBLANK(C769)=FALSE)),"},},}",IF(ISBLANK(C770),"","{dwID="&amp;C770&amp;","&amp;"nFrame="&amp;D770&amp;","&amp;IF(E770&gt;0,"nCount="&amp;E770&amp;",","")&amp;IF(F770&gt;0,"bAllLeave=true,","")&amp;IF(G770&lt;&gt;"","szName="""&amp;G770&amp;""",","")&amp;IF(H770&lt;&gt;"","tKungFu={"&amp;H770&amp;"},","")&amp;IF(I770&lt;&gt;"","szNote="""&amp;I770&amp;""",","")&amp;IF(J770&lt;&gt;"","col={"&amp;J770&amp;"},","")&amp;"[3]={"&amp;IF(K770&lt;&gt;"","tMark={"&amp;K770&amp;"},","")&amp;IF(L770&lt;&gt;"","szVoice="""&amp;L770&amp;""",","")&amp;IF(M770&gt;0,"bTeamChannel=true,","")&amp;IF(N770&gt;0,"bWhisperChannel=true,","")&amp;IF(O770&gt;0,"bCenterAlarm=true,","")&amp;IF(P770&gt;0,"bScreenHead=true,","")&amp;"},"&amp;"[4]={"&amp;IF(Q770&lt;&gt;"","szVoice="""&amp;Q770&amp;""",","")&amp;IF(R770&gt;0,"bTeamChannel=true,","")&amp;IF(S770&gt;0,"bWhisperChannel=true,","")&amp;IF(T770&gt;0,"bCenterAlarm=true,","")&amp;"},"&amp;IF(U770&lt;&gt;"","aFocus={"&amp;U770&amp;"},","")&amp;IF(W770&lt;&gt;"","tCountdown={"&amp;_xlfn.TEXTJOIN("",TRUE,W770:ZZ770)&amp;"},","")&amp;"},")))</f>
        <v>{dwID=50864,nFrame=47,szNote="门派事件·君山烈岩龟",[3]={},[4]={},aFocus={{dwMapID=-1,nMaxDistance=60,tRelation={bAll=false,bEnemy=true,bAlly=false,},tLife={bEnable=false,szOperator="&gt;",nValue=0,},},},},</v>
      </c>
    </row>
    <row r="771" spans="1:22" x14ac:dyDescent="0.15">
      <c r="A771" t="s">
        <v>813</v>
      </c>
      <c r="B771">
        <v>165</v>
      </c>
      <c r="V771" t="str">
        <f t="shared" si="12"/>
        <v>},[165]={</v>
      </c>
    </row>
    <row r="772" spans="1:22" x14ac:dyDescent="0.15">
      <c r="C772">
        <v>25158</v>
      </c>
      <c r="D772">
        <v>52</v>
      </c>
      <c r="P772">
        <v>1</v>
      </c>
      <c r="U772" t="s">
        <v>3623</v>
      </c>
      <c r="V772" t="str">
        <f t="shared" si="12"/>
        <v>{dwID=25158,nFrame=52,[3]={bScreenHead=true,},[4]={},aFocus={{dwMapID=-1,nMaxDistance=0,tRelation={bAll=true,bEnemy=false,bAlly=false,},tLife={bEnable=false,szOperator="&gt;",nValue=0,},},},},</v>
      </c>
    </row>
    <row r="773" spans="1:22" x14ac:dyDescent="0.15">
      <c r="C773">
        <v>25234</v>
      </c>
      <c r="D773">
        <v>47</v>
      </c>
      <c r="P773">
        <v>1</v>
      </c>
      <c r="U773" t="s">
        <v>4146</v>
      </c>
      <c r="V773" t="str">
        <f t="shared" si="12"/>
        <v>{dwID=25234,nFrame=47,[3]={bScreenHead=true,},[4]={},aFocus={{dwMapID=-1,szDisplay="丐帮弟子·剧情",nMaxDistance=20,tRelation={bAll=true,bEnemy=false,bAlly=false,},tLife={bEnable=false,szOperator="&gt;",nValue=0,},},},},</v>
      </c>
    </row>
    <row r="774" spans="1:22" x14ac:dyDescent="0.15">
      <c r="C774">
        <v>25283</v>
      </c>
      <c r="D774">
        <v>47</v>
      </c>
      <c r="P774">
        <v>1</v>
      </c>
      <c r="U774" t="s">
        <v>4147</v>
      </c>
      <c r="V774" t="str">
        <f t="shared" si="12"/>
        <v>{dwID=25283,nFrame=47,[3]={bScreenHead=true,},[4]={},aFocus={{dwMapID=-1,szDisplay="张翼勋·剧情",nMaxDistance=60,tRelation={bAll=true,bEnemy=false,bAlly=false,},tLife={bEnable=false,szOperator="&gt;",nValue=0,},},},},</v>
      </c>
    </row>
    <row r="775" spans="1:22" x14ac:dyDescent="0.15">
      <c r="C775">
        <v>25325</v>
      </c>
      <c r="D775">
        <v>47</v>
      </c>
      <c r="P775">
        <v>1</v>
      </c>
      <c r="U775" t="s">
        <v>3644</v>
      </c>
      <c r="V775" t="str">
        <f t="shared" si="12"/>
        <v>{dwID=25325,nFrame=47,[3]={bScreenHead=true,},[4]={},aFocus={{dwMapID=-1,nMaxDistance=0,tRelation={bAll=false,bEnemy=true,bAlly=false,},tLife={bEnable=false,szOperator="&gt;",nValue=0,},},},},</v>
      </c>
    </row>
    <row r="776" spans="1:22" x14ac:dyDescent="0.15">
      <c r="C776">
        <v>25369</v>
      </c>
      <c r="D776">
        <v>47</v>
      </c>
      <c r="J776" t="s">
        <v>2168</v>
      </c>
      <c r="P776">
        <v>1</v>
      </c>
      <c r="U776" t="s">
        <v>4148</v>
      </c>
      <c r="V776" t="str">
        <f t="shared" si="12"/>
        <v>{dwID=25369,nFrame=47,col={0,255,0,},[3]={bScreenHead=true,},[4]={},aFocus={{dwMapID=-1,szDisplay="孟可儿·剧情",nMaxDistance=60,tRelation={bAll=true,bEnemy=false,bAlly=false,},tLife={bEnable=false,szOperator="&gt;",nValue=0,},},},},</v>
      </c>
    </row>
    <row r="777" spans="1:22" x14ac:dyDescent="0.15">
      <c r="C777">
        <v>22083</v>
      </c>
      <c r="D777">
        <v>47</v>
      </c>
      <c r="P777">
        <v>1</v>
      </c>
      <c r="U777" t="s">
        <v>4149</v>
      </c>
      <c r="V777" t="str">
        <f t="shared" si="12"/>
        <v>{dwID=22083,nFrame=47,[3]={bScreenHead=true,},[4]={},aFocus={{dwMapID=-1,szDisplay="尹放·剧情",nMaxDistance=0,tRelation={bAll=true,bEnemy=false,bAlly=false,},tLife={bEnable=false,szOperator="&gt;",nValue=0,},},},},</v>
      </c>
    </row>
    <row r="778" spans="1:22" x14ac:dyDescent="0.15">
      <c r="C778">
        <v>25415</v>
      </c>
      <c r="D778">
        <v>47</v>
      </c>
      <c r="P778">
        <v>1</v>
      </c>
      <c r="U778" t="s">
        <v>3644</v>
      </c>
      <c r="V778" t="str">
        <f t="shared" si="12"/>
        <v>{dwID=25415,nFrame=47,[3]={bScreenHead=true,},[4]={},aFocus={{dwMapID=-1,nMaxDistance=0,tRelation={bAll=false,bEnemy=true,bAlly=false,},tLife={bEnable=false,szOperator="&gt;",nValue=0,},},},},</v>
      </c>
    </row>
    <row r="779" spans="1:22" x14ac:dyDescent="0.15">
      <c r="A779" t="s">
        <v>250</v>
      </c>
      <c r="B779">
        <v>172</v>
      </c>
      <c r="V779" t="str">
        <f t="shared" si="12"/>
        <v>},[172]={</v>
      </c>
    </row>
    <row r="780" spans="1:22" x14ac:dyDescent="0.15">
      <c r="C780">
        <v>25757</v>
      </c>
      <c r="D780">
        <v>47</v>
      </c>
      <c r="P780">
        <v>1</v>
      </c>
      <c r="U780" t="s">
        <v>3623</v>
      </c>
      <c r="V780" t="str">
        <f t="shared" si="12"/>
        <v>{dwID=25757,nFrame=47,[3]={bScreenHead=true,},[4]={},aFocus={{dwMapID=-1,nMaxDistance=0,tRelation={bAll=true,bEnemy=false,bAlly=false,},tLife={bEnable=false,szOperator="&gt;",nValue=0,},},},},</v>
      </c>
    </row>
    <row r="781" spans="1:22" x14ac:dyDescent="0.15">
      <c r="C781">
        <v>25758</v>
      </c>
      <c r="D781">
        <v>47</v>
      </c>
      <c r="P781">
        <v>1</v>
      </c>
      <c r="U781" t="s">
        <v>3623</v>
      </c>
      <c r="V781" t="str">
        <f t="shared" si="12"/>
        <v>{dwID=25758,nFrame=47,[3]={bScreenHead=true,},[4]={},aFocus={{dwMapID=-1,nMaxDistance=0,tRelation={bAll=true,bEnemy=false,bAlly=false,},tLife={bEnable=false,szOperator="&gt;",nValue=0,},},},},</v>
      </c>
    </row>
    <row r="782" spans="1:22" x14ac:dyDescent="0.15">
      <c r="C782">
        <v>26067</v>
      </c>
      <c r="D782">
        <v>47</v>
      </c>
      <c r="P782">
        <v>1</v>
      </c>
      <c r="U782" t="s">
        <v>3623</v>
      </c>
      <c r="V782" t="str">
        <f t="shared" si="12"/>
        <v>{dwID=26067,nFrame=47,[3]={bScreenHead=true,},[4]={},aFocus={{dwMapID=-1,nMaxDistance=0,tRelation={bAll=true,bEnemy=false,bAlly=false,},tLife={bEnable=false,szOperator="&gt;",nValue=0,},},},},</v>
      </c>
    </row>
    <row r="783" spans="1:22" x14ac:dyDescent="0.15">
      <c r="C783">
        <v>26069</v>
      </c>
      <c r="D783">
        <v>47</v>
      </c>
      <c r="P783">
        <v>1</v>
      </c>
      <c r="U783" t="s">
        <v>3623</v>
      </c>
      <c r="V783" t="str">
        <f t="shared" si="12"/>
        <v>{dwID=26069,nFrame=47,[3]={bScreenHead=true,},[4]={},aFocus={{dwMapID=-1,nMaxDistance=0,tRelation={bAll=true,bEnemy=false,bAlly=false,},tLife={bEnable=false,szOperator="&gt;",nValue=0,},},},},</v>
      </c>
    </row>
    <row r="784" spans="1:22" x14ac:dyDescent="0.15">
      <c r="C784">
        <v>25755</v>
      </c>
      <c r="D784">
        <v>47</v>
      </c>
      <c r="P784">
        <v>1</v>
      </c>
      <c r="U784" t="s">
        <v>3623</v>
      </c>
      <c r="V784" t="str">
        <f t="shared" si="12"/>
        <v>{dwID=25755,nFrame=47,[3]={bScreenHead=true,},[4]={},aFocus={{dwMapID=-1,nMaxDistance=0,tRelation={bAll=true,bEnemy=false,bAlly=false,},tLife={bEnable=false,szOperator="&gt;",nValue=0,},},},},</v>
      </c>
    </row>
    <row r="785" spans="3:22" x14ac:dyDescent="0.15">
      <c r="C785">
        <v>25734</v>
      </c>
      <c r="D785">
        <v>47</v>
      </c>
      <c r="P785">
        <v>1</v>
      </c>
      <c r="U785" t="s">
        <v>3623</v>
      </c>
      <c r="V785" t="str">
        <f t="shared" si="12"/>
        <v>{dwID=25734,nFrame=47,[3]={bScreenHead=true,},[4]={},aFocus={{dwMapID=-1,nMaxDistance=0,tRelation={bAll=true,bEnemy=false,bAlly=false,},tLife={bEnable=false,szOperator="&gt;",nValue=0,},},},},</v>
      </c>
    </row>
    <row r="786" spans="3:22" x14ac:dyDescent="0.15">
      <c r="C786">
        <v>25735</v>
      </c>
      <c r="D786">
        <v>47</v>
      </c>
      <c r="P786">
        <v>1</v>
      </c>
      <c r="U786" t="s">
        <v>3623</v>
      </c>
      <c r="V786" t="str">
        <f t="shared" si="12"/>
        <v>{dwID=25735,nFrame=47,[3]={bScreenHead=true,},[4]={},aFocus={{dwMapID=-1,nMaxDistance=0,tRelation={bAll=true,bEnemy=false,bAlly=false,},tLife={bEnable=false,szOperator="&gt;",nValue=0,},},},},</v>
      </c>
    </row>
    <row r="787" spans="3:22" x14ac:dyDescent="0.15">
      <c r="C787">
        <v>26091</v>
      </c>
      <c r="D787">
        <v>47</v>
      </c>
      <c r="J787" t="s">
        <v>2168</v>
      </c>
      <c r="O787">
        <v>1</v>
      </c>
      <c r="P787">
        <v>1</v>
      </c>
      <c r="U787" t="s">
        <v>3623</v>
      </c>
      <c r="V787" t="str">
        <f t="shared" si="12"/>
        <v>{dwID=26091,nFrame=47,col={0,255,0,},[3]={bCenterAlarm=true,bScreenHead=true,},[4]={},aFocus={{dwMapID=-1,nMaxDistance=0,tRelation={bAll=true,bEnemy=false,bAlly=false,},tLife={bEnable=false,szOperator="&gt;",nValue=0,},},},},</v>
      </c>
    </row>
    <row r="788" spans="3:22" x14ac:dyDescent="0.15">
      <c r="C788">
        <v>26224</v>
      </c>
      <c r="D788">
        <v>47</v>
      </c>
      <c r="P788">
        <v>1</v>
      </c>
      <c r="U788" t="s">
        <v>3623</v>
      </c>
      <c r="V788" t="str">
        <f t="shared" si="12"/>
        <v>{dwID=26224,nFrame=47,[3]={bScreenHead=true,},[4]={},aFocus={{dwMapID=-1,nMaxDistance=0,tRelation={bAll=true,bEnemy=false,bAlly=false,},tLife={bEnable=false,szOperator="&gt;",nValue=0,},},},},</v>
      </c>
    </row>
    <row r="789" spans="3:22" x14ac:dyDescent="0.15">
      <c r="C789">
        <v>57411</v>
      </c>
      <c r="D789">
        <v>47</v>
      </c>
      <c r="J789" t="s">
        <v>2152</v>
      </c>
      <c r="P789">
        <v>1</v>
      </c>
      <c r="U789" t="s">
        <v>4150</v>
      </c>
      <c r="V789" t="str">
        <f t="shared" si="12"/>
        <v>{dwID=57411,nFrame=47,col={0,255,255,},[3]={bScreenHead=true,},[4]={},aFocus={{dwMapID=-1,szDisplay="侍女·故园风雨",nMaxDistance=20,tRelation={bAll=true,bEnemy=false,bAlly=false,},tLife={bEnable=false,szOperator="&gt;",nValue=0,},},},},</v>
      </c>
    </row>
    <row r="790" spans="3:22" x14ac:dyDescent="0.15">
      <c r="C790">
        <v>57413</v>
      </c>
      <c r="D790">
        <v>47</v>
      </c>
      <c r="J790" t="s">
        <v>2152</v>
      </c>
      <c r="P790">
        <v>1</v>
      </c>
      <c r="U790" t="s">
        <v>4151</v>
      </c>
      <c r="V790" t="str">
        <f t="shared" si="12"/>
        <v>{dwID=57413,nFrame=47,col={0,255,255,},[3]={bScreenHead=true,},[4]={},aFocus={{dwMapID=-1,szDisplay="老仆人·故园风雨",nMaxDistance=40,tRelation={bAll=true,bEnemy=false,bAlly=false,},tLife={bEnable=false,szOperator="&gt;",nValue=0,},},},},</v>
      </c>
    </row>
    <row r="791" spans="3:22" x14ac:dyDescent="0.15">
      <c r="C791">
        <v>26116</v>
      </c>
      <c r="D791">
        <v>47</v>
      </c>
      <c r="G791" t="s">
        <v>4152</v>
      </c>
      <c r="U791" t="s">
        <v>4153</v>
      </c>
      <c r="V791" t="str">
        <f t="shared" si="12"/>
        <v>{dwID=26116,nFrame=47,szName="寻宝鼠·洞穴",[3]={},[4]={},aFocus={{dwMapID=-1,szDisplay="寻宝鼠·洞穴",nMaxDistance=20,tRelation={bAll=true,bEnemy=false,bAlly=false,},tLife={bEnable=false,szOperator="&gt;",nValue=0,},},},},</v>
      </c>
    </row>
    <row r="792" spans="3:22" x14ac:dyDescent="0.15">
      <c r="C792">
        <v>57416</v>
      </c>
      <c r="D792">
        <v>47</v>
      </c>
      <c r="J792" t="s">
        <v>2152</v>
      </c>
      <c r="P792">
        <v>1</v>
      </c>
      <c r="U792" t="s">
        <v>4154</v>
      </c>
      <c r="V792" t="str">
        <f t="shared" si="12"/>
        <v>{dwID=57416,nFrame=47,col={0,255,255,},[3]={bScreenHead=true,},[4]={},aFocus={{dwMapID=-1,szDisplay="受伤的女子·故园风雨",nMaxDistance=60,tRelation={bAll=true,bEnemy=false,bAlly=false,},tLife={bEnable=false,szOperator="&gt;",nValue=0,},},},},</v>
      </c>
    </row>
    <row r="793" spans="3:22" x14ac:dyDescent="0.15">
      <c r="C793">
        <v>26228</v>
      </c>
      <c r="D793">
        <v>57</v>
      </c>
      <c r="P793">
        <v>1</v>
      </c>
      <c r="U793" t="s">
        <v>4155</v>
      </c>
      <c r="V793" t="str">
        <f t="shared" si="12"/>
        <v>{dwID=26228,nFrame=57,[3]={bScreenHead=true,},[4]={},aFocus={{dwMapID=-1,szDisplay="地牢守卫精锐·故园风雨",nMaxDistance=15,tRelation={bAll=true,bEnemy=false,bAlly=false,},tLife={bEnable=false,szOperator="&gt;",nValue=0,},},},},</v>
      </c>
    </row>
    <row r="794" spans="3:22" x14ac:dyDescent="0.15">
      <c r="C794">
        <v>57410</v>
      </c>
      <c r="D794">
        <v>47</v>
      </c>
      <c r="J794" t="s">
        <v>2152</v>
      </c>
      <c r="P794">
        <v>1</v>
      </c>
      <c r="U794" t="s">
        <v>4156</v>
      </c>
      <c r="V794" t="str">
        <f t="shared" si="12"/>
        <v>{dwID=57410,nFrame=47,col={0,255,255,},[3]={bScreenHead=true,},[4]={},aFocus={{dwMapID=-1,szDisplay="秋叶青·故园风雨",nMaxDistance=20,tRelation={bAll=true,bEnemy=false,bAlly=false,},tLife={bEnable=false,szOperator="&gt;",nValue=0,},},},},</v>
      </c>
    </row>
    <row r="795" spans="3:22" x14ac:dyDescent="0.15">
      <c r="C795">
        <v>26158</v>
      </c>
      <c r="D795">
        <v>47</v>
      </c>
      <c r="U795" t="s">
        <v>4157</v>
      </c>
      <c r="V795" t="str">
        <f t="shared" si="12"/>
        <v>{dwID=26158,nFrame=47,[3]={},[4]={},aFocus={{dwMapID=-1,nMaxDistance=21,tRelation={bAll=true,bEnemy=false,bAlly=false,},tLife={bEnable=false,szOperator="&gt;",nValue=0,},},},},</v>
      </c>
    </row>
    <row r="796" spans="3:22" x14ac:dyDescent="0.15">
      <c r="C796">
        <v>26219</v>
      </c>
      <c r="D796">
        <v>47</v>
      </c>
      <c r="U796" t="s">
        <v>4158</v>
      </c>
      <c r="V796" t="str">
        <f t="shared" si="12"/>
        <v>{dwID=26219,nFrame=47,[3]={},[4]={},aFocus={{dwMapID=-1,szDisplay="那岚·服装5:15",nMaxDistance=3,tRelation={bAll=true,bEnemy=false,bAlly=false,},tLife={bEnable=false,szOperator="&gt;",nValue=0,},},},},</v>
      </c>
    </row>
    <row r="797" spans="3:22" x14ac:dyDescent="0.15">
      <c r="C797">
        <v>26218</v>
      </c>
      <c r="D797">
        <v>47</v>
      </c>
      <c r="U797" t="s">
        <v>4159</v>
      </c>
      <c r="V797" t="str">
        <f t="shared" si="12"/>
        <v>{dwID=26218,nFrame=47,[3]={},[4]={},aFocus={{dwMapID=-1,szDisplay="马台·兵器20:40",nMaxDistance=3,tRelation={bAll=true,bEnemy=false,bAlly=false,},tLife={bEnable=false,szOperator="&gt;",nValue=0,},},},},</v>
      </c>
    </row>
    <row r="798" spans="3:22" x14ac:dyDescent="0.15">
      <c r="C798">
        <v>25846</v>
      </c>
      <c r="D798">
        <v>47</v>
      </c>
      <c r="U798" t="s">
        <v>4160</v>
      </c>
      <c r="V798" t="str">
        <f t="shared" si="12"/>
        <v>{dwID=25846,nFrame=47,[3]={},[4]={},aFocus={{dwMapID=-1,szDisplay="上官武·兵器20:40",nMaxDistance=3,tRelation={bAll=true,bEnemy=false,bAlly=false,},tLife={bEnable=false,szOperator="&gt;",nValue=0,},},},},</v>
      </c>
    </row>
    <row r="799" spans="3:22" x14ac:dyDescent="0.15">
      <c r="C799">
        <v>25852</v>
      </c>
      <c r="D799">
        <v>47</v>
      </c>
      <c r="U799" t="s">
        <v>4161</v>
      </c>
      <c r="V799" t="str">
        <f t="shared" si="12"/>
        <v>{dwID=25852,nFrame=47,[3]={},[4]={},aFocus={{dwMapID=-1,szDisplay="上官城·防具20:40",nMaxDistance=3,tRelation={bAll=true,bEnemy=false,bAlly=false,},tLife={bEnable=false,szOperator="&gt;",nValue=0,},},},},</v>
      </c>
    </row>
    <row r="800" spans="3:22" x14ac:dyDescent="0.15">
      <c r="C800">
        <v>25798</v>
      </c>
      <c r="D800">
        <v>47</v>
      </c>
      <c r="U800" t="s">
        <v>4162</v>
      </c>
      <c r="V800" t="str">
        <f t="shared" si="12"/>
        <v>{dwID=25798,nFrame=47,[3]={},[4]={},aFocus={{dwMapID=-1,szDisplay="纪天和·茶叶4:16",nMaxDistance=3,tRelation={bAll=true,bEnemy=false,bAlly=false,},tLife={bEnable=false,szOperator="&gt;",nValue=0,},},},},</v>
      </c>
    </row>
    <row r="801" spans="3:22" x14ac:dyDescent="0.15">
      <c r="C801">
        <v>25794</v>
      </c>
      <c r="D801">
        <v>47</v>
      </c>
      <c r="U801" t="s">
        <v>4163</v>
      </c>
      <c r="V801" t="str">
        <f t="shared" si="12"/>
        <v>{dwID=25794,nFrame=47,[3]={},[4]={},aFocus={{dwMapID=-1,szDisplay="孙正祥·水果1:8",nMaxDistance=3,tRelation={bAll=true,bEnemy=false,bAlly=false,},tLife={bEnable=false,szOperator="&gt;",nValue=0,},},},},</v>
      </c>
    </row>
    <row r="802" spans="3:22" x14ac:dyDescent="0.15">
      <c r="C802">
        <v>25728</v>
      </c>
      <c r="D802">
        <v>47</v>
      </c>
      <c r="U802" t="s">
        <v>4164</v>
      </c>
      <c r="V802" t="str">
        <f t="shared" si="12"/>
        <v>{dwID=25728,nFrame=47,[3]={},[4]={},aFocus={{dwMapID=-1,szDisplay="路华容·小吃1:8",nMaxDistance=3,tRelation={bAll=true,bEnemy=false,bAlly=false,},tLife={bEnable=false,szOperator="&gt;",nValue=0,},},},},</v>
      </c>
    </row>
    <row r="803" spans="3:22" x14ac:dyDescent="0.15">
      <c r="C803">
        <v>25787</v>
      </c>
      <c r="D803">
        <v>47</v>
      </c>
      <c r="U803" t="s">
        <v>4165</v>
      </c>
      <c r="V803" t="str">
        <f t="shared" si="12"/>
        <v>{dwID=25787,nFrame=47,[3]={},[4]={},aFocus={{dwMapID=-1,szDisplay="严曲·瓜子1:8",nMaxDistance=3,tRelation={bAll=true,bEnemy=false,bAlly=false,},tLife={bEnable=false,szOperator="&gt;",nValue=0,},},},},</v>
      </c>
    </row>
    <row r="804" spans="3:22" x14ac:dyDescent="0.15">
      <c r="C804">
        <v>25732</v>
      </c>
      <c r="D804">
        <v>47</v>
      </c>
      <c r="U804" t="s">
        <v>4166</v>
      </c>
      <c r="V804" t="str">
        <f t="shared" si="12"/>
        <v>{dwID=25732,nFrame=47,[3]={},[4]={},aFocus={{dwMapID=-1,szDisplay="陈颜·水果1:8",nMaxDistance=3,tRelation={bAll=true,bEnemy=false,bAlly=false,},tLife={bEnable=false,szOperator="&gt;",nValue=0,},},},},</v>
      </c>
    </row>
    <row r="805" spans="3:22" x14ac:dyDescent="0.15">
      <c r="C805">
        <v>25850</v>
      </c>
      <c r="D805">
        <v>47</v>
      </c>
      <c r="U805" t="s">
        <v>4167</v>
      </c>
      <c r="V805" t="str">
        <f t="shared" si="12"/>
        <v>{dwID=25850,nFrame=47,[3]={},[4]={},aFocus={{dwMapID=-1,szDisplay="石青·药材2:10",nMaxDistance=3,tRelation={bAll=true,bEnemy=false,bAlly=false,},tLife={bEnable=false,szOperator="&gt;",nValue=0,},},},},</v>
      </c>
    </row>
    <row r="806" spans="3:22" x14ac:dyDescent="0.15">
      <c r="C806">
        <v>25956</v>
      </c>
      <c r="D806">
        <v>47</v>
      </c>
      <c r="U806" t="s">
        <v>4168</v>
      </c>
      <c r="V806" t="str">
        <f t="shared" si="12"/>
        <v>{dwID=25956,nFrame=47,[3]={},[4]={},aFocus={{dwMapID=-1,szDisplay="春香·稀粥0:1",nMaxDistance=3,tRelation={bAll=true,bEnemy=false,bAlly=false,},tLife={bEnable=false,szOperator="&gt;",nValue=0,},},},},</v>
      </c>
    </row>
    <row r="807" spans="3:22" x14ac:dyDescent="0.15">
      <c r="C807">
        <v>26220</v>
      </c>
      <c r="D807">
        <v>47</v>
      </c>
      <c r="U807" t="s">
        <v>4169</v>
      </c>
      <c r="V807" t="str">
        <f t="shared" si="12"/>
        <v>{dwID=26220,nFrame=47,[3]={},[4]={},aFocus={{dwMapID=-1,szDisplay="龙兴昌·兵器20:40",nMaxDistance=3,tRelation={bAll=true,bEnemy=false,bAlly=false,},tLife={bEnable=false,szOperator="&gt;",nValue=0,},},},},</v>
      </c>
    </row>
    <row r="808" spans="3:22" x14ac:dyDescent="0.15">
      <c r="C808">
        <v>26217</v>
      </c>
      <c r="D808">
        <v>47</v>
      </c>
      <c r="U808" t="s">
        <v>4170</v>
      </c>
      <c r="V808" t="str">
        <f t="shared" si="12"/>
        <v>{dwID=26217,nFrame=47,[3]={},[4]={},aFocus={{dwMapID=-1,szDisplay="马安然·盔甲20:40",nMaxDistance=3,tRelation={bAll=true,bEnemy=false,bAlly=false,},tLife={bEnable=false,szOperator="&gt;",nValue=0,},},},},</v>
      </c>
    </row>
    <row r="809" spans="3:22" x14ac:dyDescent="0.15">
      <c r="C809">
        <v>25704</v>
      </c>
      <c r="D809">
        <v>47</v>
      </c>
      <c r="U809" t="s">
        <v>4171</v>
      </c>
      <c r="V809" t="str">
        <f t="shared" si="12"/>
        <v>{dwID=25704,nFrame=47,[3]={},[4]={},aFocus={{dwMapID=-1,szDisplay="张老汉·调料5:15",nMaxDistance=3,tRelation={bAll=true,bEnemy=false,bAlly=false,},tLife={bEnable=false,szOperator="&gt;",nValue=0,},},},},</v>
      </c>
    </row>
    <row r="810" spans="3:22" x14ac:dyDescent="0.15">
      <c r="C810">
        <v>25706</v>
      </c>
      <c r="D810">
        <v>47</v>
      </c>
      <c r="U810" t="s">
        <v>4172</v>
      </c>
      <c r="V810" t="str">
        <f t="shared" si="12"/>
        <v>{dwID=25706,nFrame=47,[3]={},[4]={},aFocus={{dwMapID=-1,szDisplay="勾才·胡饼5:15",nMaxDistance=3,tRelation={bAll=true,bEnemy=false,bAlly=false,},tLife={bEnable=false,szOperator="&gt;",nValue=0,},},},},</v>
      </c>
    </row>
    <row r="811" spans="3:22" x14ac:dyDescent="0.15">
      <c r="C811">
        <v>26221</v>
      </c>
      <c r="D811">
        <v>47</v>
      </c>
      <c r="U811" t="s">
        <v>4173</v>
      </c>
      <c r="V811" t="str">
        <f t="shared" si="12"/>
        <v>{dwID=26221,nFrame=47,[3]={},[4]={},aFocus={{dwMapID=-1,szDisplay="红姗姗·稀粥0:1",nMaxDistance=3,tRelation={bAll=true,bEnemy=false,bAlly=false,},tLife={bEnable=false,szOperator="&gt;",nValue=0,},},},},</v>
      </c>
    </row>
    <row r="812" spans="3:22" x14ac:dyDescent="0.15">
      <c r="C812">
        <v>25882</v>
      </c>
      <c r="D812">
        <v>47</v>
      </c>
      <c r="U812" t="s">
        <v>4174</v>
      </c>
      <c r="V812" t="str">
        <f t="shared" si="12"/>
        <v>{dwID=25882,nFrame=47,[3]={},[4]={},aFocus={{dwMapID=-1,szDisplay="贾子·药材2:10",nMaxDistance=3,tRelation={bAll=true,bEnemy=false,bAlly=false,},tLife={bEnable=false,szOperator="&gt;",nValue=0,},},},},</v>
      </c>
    </row>
    <row r="813" spans="3:22" x14ac:dyDescent="0.15">
      <c r="C813">
        <v>25848</v>
      </c>
      <c r="D813">
        <v>47</v>
      </c>
      <c r="U813" t="s">
        <v>4175</v>
      </c>
      <c r="V813" t="str">
        <f t="shared" si="12"/>
        <v>{dwID=25848,nFrame=47,[3]={},[4]={},aFocus={{dwMapID=-1,szDisplay="东居先生·药材2:10",nMaxDistance=3,tRelation={bAll=true,bEnemy=false,bAlly=false,},tLife={bEnable=false,szOperator="&gt;",nValue=0,},},},},</v>
      </c>
    </row>
    <row r="814" spans="3:22" x14ac:dyDescent="0.15">
      <c r="C814">
        <v>25884</v>
      </c>
      <c r="D814">
        <v>47</v>
      </c>
      <c r="U814" t="s">
        <v>4176</v>
      </c>
      <c r="V814" t="str">
        <f t="shared" si="12"/>
        <v>{dwID=25884,nFrame=47,[3]={},[4]={},aFocus={{dwMapID=-1,szDisplay="蔡瑾·胡饼5:15",nMaxDistance=3,tRelation={bAll=true,bEnemy=false,bAlly=false,},tLife={bEnable=false,szOperator="&gt;",nValue=0,},},},},</v>
      </c>
    </row>
    <row r="815" spans="3:22" x14ac:dyDescent="0.15">
      <c r="C815">
        <v>26104</v>
      </c>
      <c r="D815">
        <v>57</v>
      </c>
      <c r="U815" t="s">
        <v>4177</v>
      </c>
      <c r="V815" t="str">
        <f t="shared" si="12"/>
        <v>{dwID=26104,nFrame=57,[3]={},[4]={},aFocus={{dwMapID=-1,nMaxDistance=5,tRelation={bAll=true,bEnemy=false,bAlly=false,},tLife={bEnable=false,szOperator="&gt;",nValue=0,},},},},</v>
      </c>
    </row>
    <row r="816" spans="3:22" x14ac:dyDescent="0.15">
      <c r="C816">
        <v>26752</v>
      </c>
      <c r="D816">
        <v>57</v>
      </c>
      <c r="U816" t="s">
        <v>4028</v>
      </c>
      <c r="V816" t="str">
        <f t="shared" si="12"/>
        <v>{dwID=26752,nFrame=57,[3]={},[4]={},aFocus={{dwMapID=-1,nMaxDistance=20,tRelation={bAll=true,bEnemy=false,bAlly=false,},tLife={bEnable=false,szOperator="&gt;",nValue=0,},},},},</v>
      </c>
    </row>
    <row r="817" spans="1:24" x14ac:dyDescent="0.15">
      <c r="C817">
        <v>26290</v>
      </c>
      <c r="D817">
        <v>47</v>
      </c>
      <c r="P817">
        <v>1</v>
      </c>
      <c r="U817" t="s">
        <v>3623</v>
      </c>
      <c r="V817" t="str">
        <f t="shared" si="12"/>
        <v>{dwID=26290,nFrame=47,[3]={bScreenHead=true,},[4]={},aFocus={{dwMapID=-1,nMaxDistance=0,tRelation={bAll=true,bEnemy=false,bAlly=false,},tLife={bEnable=false,szOperator="&gt;",nValue=0,},},},},</v>
      </c>
    </row>
    <row r="818" spans="1:24" x14ac:dyDescent="0.15">
      <c r="C818">
        <v>26347</v>
      </c>
      <c r="D818">
        <v>47</v>
      </c>
      <c r="U818" t="s">
        <v>4028</v>
      </c>
      <c r="V818" t="str">
        <f t="shared" si="12"/>
        <v>{dwID=26347,nFrame=47,[3]={},[4]={},aFocus={{dwMapID=-1,nMaxDistance=20,tRelation={bAll=true,bEnemy=false,bAlly=false,},tLife={bEnable=false,szOperator="&gt;",nValue=0,},},},},</v>
      </c>
    </row>
    <row r="819" spans="1:24" x14ac:dyDescent="0.15">
      <c r="C819">
        <v>25861</v>
      </c>
      <c r="D819">
        <v>47</v>
      </c>
      <c r="U819" t="s">
        <v>4178</v>
      </c>
      <c r="V819" t="str">
        <f t="shared" si="12"/>
        <v>{dwID=25861,nFrame=47,[3]={},[4]={},aFocus={{dwMapID=-1,szDisplay="崔玲·服装5:15",nMaxDistance=10,tRelation={bAll=true,bEnemy=false,bAlly=false,},tLife={bEnable=false,szOperator="&gt;",nValue=0,},},},},</v>
      </c>
    </row>
    <row r="820" spans="1:24" x14ac:dyDescent="0.15">
      <c r="C820">
        <v>25863</v>
      </c>
      <c r="D820">
        <v>47</v>
      </c>
      <c r="U820" t="s">
        <v>4179</v>
      </c>
      <c r="V820" t="str">
        <f t="shared" si="12"/>
        <v>{dwID=25863,nFrame=47,[3]={},[4]={},aFocus={{dwMapID=-1,szDisplay="袁木兰·服装5:15",nMaxDistance=3,tRelation={bAll=true,bEnemy=false,bAlly=false,},tLife={bEnable=false,szOperator="&gt;",nValue=0,},},},},</v>
      </c>
    </row>
    <row r="821" spans="1:24" x14ac:dyDescent="0.15">
      <c r="C821">
        <v>25743</v>
      </c>
      <c r="D821">
        <v>47</v>
      </c>
      <c r="P821">
        <v>1</v>
      </c>
      <c r="U821" t="s">
        <v>4075</v>
      </c>
      <c r="V821" t="str">
        <f t="shared" si="12"/>
        <v>{dwID=25743,nFrame=47,[3]={bScreenHead=true,},[4]={},aFocus={{dwMapID=-1,nMaxDistance=60,tRelation={bAll=false,bEnemy=true,bAlly=false,},tLife={bEnable=false,szOperator="&gt;",nValue=0,},},},},</v>
      </c>
    </row>
    <row r="822" spans="1:24" x14ac:dyDescent="0.15">
      <c r="C822">
        <v>26385</v>
      </c>
      <c r="D822">
        <v>57</v>
      </c>
      <c r="P822">
        <v>1</v>
      </c>
      <c r="U822" t="s">
        <v>4075</v>
      </c>
      <c r="V822" t="str">
        <f t="shared" si="12"/>
        <v>{dwID=26385,nFrame=57,[3]={bScreenHead=true,},[4]={},aFocus={{dwMapID=-1,nMaxDistance=60,tRelation={bAll=false,bEnemy=true,bAlly=false,},tLife={bEnable=false,szOperator="&gt;",nValue=0,},},},},</v>
      </c>
    </row>
    <row r="823" spans="1:24" x14ac:dyDescent="0.15">
      <c r="A823" t="s">
        <v>821</v>
      </c>
      <c r="B823">
        <v>177</v>
      </c>
      <c r="V823" t="str">
        <f t="shared" si="12"/>
        <v>},[177]={</v>
      </c>
    </row>
    <row r="824" spans="1:24" x14ac:dyDescent="0.15">
      <c r="C824">
        <v>30668</v>
      </c>
      <c r="D824">
        <v>47</v>
      </c>
      <c r="J824" t="s">
        <v>2152</v>
      </c>
      <c r="P824">
        <v>1</v>
      </c>
      <c r="U824" t="s">
        <v>3623</v>
      </c>
      <c r="V824" t="str">
        <f t="shared" si="12"/>
        <v>{dwID=30668,nFrame=47,col={0,255,255,},[3]={bScreenHead=true,},[4]={},aFocus={{dwMapID=-1,nMaxDistance=0,tRelation={bAll=true,bEnemy=false,bAlly=false,},tLife={bEnable=false,szOperator="&gt;",nValue=0,},},},},</v>
      </c>
    </row>
    <row r="825" spans="1:24" x14ac:dyDescent="0.15">
      <c r="A825" t="s">
        <v>822</v>
      </c>
      <c r="B825">
        <v>178</v>
      </c>
      <c r="V825" t="str">
        <f t="shared" si="12"/>
        <v>},[178]={</v>
      </c>
    </row>
    <row r="826" spans="1:24" x14ac:dyDescent="0.15">
      <c r="C826">
        <v>36327</v>
      </c>
      <c r="D826">
        <v>57</v>
      </c>
      <c r="I826" t="s">
        <v>3299</v>
      </c>
      <c r="K826" t="s">
        <v>3668</v>
      </c>
      <c r="L826" t="s">
        <v>1728</v>
      </c>
      <c r="V826" t="str">
        <f t="shared" si="12"/>
        <v>{dwID=36327,nFrame=57,szNote="成就·七情覆灭",[3]={tMark={true,false,false,false,false,false,false,false,false,false,},szVoice="ZhuanHuo_T_BY",},[4]={},tCountdown={{nClass=3,nIcon=57,nFrame=5,szName="技能三·坐困愁城·愁城冰柱",nTime=8,key="坐困愁城",},{nClass=11,nIcon=57,nFrame=5,szName="技能三·坐困愁城·愁城冰柱",nTime=0,key="坐困愁城",},},},</v>
      </c>
      <c r="W826" t="s">
        <v>4180</v>
      </c>
      <c r="X826" t="s">
        <v>4181</v>
      </c>
    </row>
    <row r="827" spans="1:24" x14ac:dyDescent="0.15">
      <c r="C827">
        <v>36321</v>
      </c>
      <c r="D827">
        <v>47</v>
      </c>
      <c r="I827" t="s">
        <v>3299</v>
      </c>
      <c r="K827" t="s">
        <v>4182</v>
      </c>
      <c r="U827" t="s">
        <v>3623</v>
      </c>
      <c r="V827" t="str">
        <f t="shared" si="12"/>
        <v>{dwID=36321,nFrame=47,szNote="成就·七情覆灭",[3]={tMark={false,false,false,true,false,false,false,false,false,false,},},[4]={},aFocus={{dwMapID=-1,nMaxDistance=0,tRelation={bAll=true,bEnemy=false,bAlly=false,},tLife={bEnable=false,szOperator="&gt;",nValue=0,},},},tCountdown={{nClass=3,nIcon=7368,nFrame=3,szName="",nTime="60,十二相·申酉戌亥;100,下一次·子丑寅卯;",nRefresh=0,key="P2",},{nClass=3,nIcon=47,nFrame=5,szName="技能六·傲物苍生·召唤",nTime=5,key="傲物苍生",},},},</v>
      </c>
      <c r="W827" t="s">
        <v>4183</v>
      </c>
      <c r="X827" t="s">
        <v>4184</v>
      </c>
    </row>
    <row r="828" spans="1:24" x14ac:dyDescent="0.15">
      <c r="C828">
        <v>36317</v>
      </c>
      <c r="D828">
        <v>47</v>
      </c>
      <c r="I828" t="s">
        <v>3299</v>
      </c>
      <c r="K828" t="s">
        <v>4182</v>
      </c>
      <c r="U828" t="s">
        <v>3623</v>
      </c>
      <c r="V828" t="str">
        <f t="shared" si="12"/>
        <v>{dwID=36317,nFrame=47,szNote="成就·七情覆灭",[3]={tMark={false,false,false,true,false,false,false,false,false,false,},},[4]={},aFocus={{dwMapID=-1,nMaxDistance=0,tRelation={bAll=true,bEnemy=false,bAlly=false,},tLife={bEnable=false,szOperator="&gt;",nValue=0,},},},tCountdown={{nClass=3,nIcon=7342,nFrame=3,szName="",nTime="60,十二相·辰巳午未;100,下一次·申酉戌亥;",nRefresh=0,key="P2",},{nClass=3,nIcon=47,nFrame=5,szName="技能六·傲物苍生·召唤",nTime=5,key="傲物苍生",},},},</v>
      </c>
      <c r="W828" t="s">
        <v>4185</v>
      </c>
      <c r="X828" t="s">
        <v>4184</v>
      </c>
    </row>
    <row r="829" spans="1:24" x14ac:dyDescent="0.15">
      <c r="C829">
        <v>36313</v>
      </c>
      <c r="D829">
        <v>47</v>
      </c>
      <c r="I829" t="s">
        <v>3299</v>
      </c>
      <c r="K829" t="s">
        <v>4182</v>
      </c>
      <c r="U829" t="s">
        <v>3623</v>
      </c>
      <c r="V829" t="str">
        <f t="shared" si="12"/>
        <v>{dwID=36313,nFrame=47,szNote="成就·七情覆灭",[3]={tMark={false,false,false,true,false,false,false,false,false,false,},},[4]={},aFocus={{dwMapID=-1,nMaxDistance=0,tRelation={bAll=true,bEnemy=false,bAlly=false,},tLife={bEnable=false,szOperator="&gt;",nValue=0,},},},tCountdown={{nClass=3,nIcon=7277,nFrame=3,szName="",nTime="60,十二相·子丑寅卯;100,下一次·辰巳午未;",nRefresh=0,key="P2",},{nClass=3,nIcon=47,nFrame=5,szName="技能六·傲物苍生·召唤",nTime=5,key="傲物苍生",},},},</v>
      </c>
      <c r="W829" t="s">
        <v>4186</v>
      </c>
      <c r="X829" t="s">
        <v>4184</v>
      </c>
    </row>
    <row r="830" spans="1:24" x14ac:dyDescent="0.15">
      <c r="C830">
        <v>36312</v>
      </c>
      <c r="D830">
        <v>47</v>
      </c>
      <c r="I830" t="s">
        <v>3299</v>
      </c>
      <c r="K830" t="s">
        <v>4187</v>
      </c>
      <c r="O830">
        <v>1</v>
      </c>
      <c r="U830" t="s">
        <v>3623</v>
      </c>
      <c r="V830" t="str">
        <f t="shared" si="12"/>
        <v>{dwID=36312,nFrame=47,szNote="成就·七情覆灭",[3]={tMark={true,true,true,true,true,true,true,true,true,true,},bCenterAlarm=true,},[4]={},aFocus={{dwMapID=-1,nMaxDistance=0,tRelation={bAll=true,bEnemy=false,bAlly=false,},tLife={bEnable=false,szOperator="&gt;",nValue=0,},},},tCountdown={{nClass=3,nIcon=47,nFrame=5,szName="技能七·欲彰邪影·邪影",nTime=5,key="欲彰邪影",},},},</v>
      </c>
      <c r="W830" t="s">
        <v>4188</v>
      </c>
    </row>
    <row r="831" spans="1:24" x14ac:dyDescent="0.15">
      <c r="C831">
        <v>36375</v>
      </c>
      <c r="D831">
        <v>47</v>
      </c>
      <c r="J831" t="s">
        <v>2152</v>
      </c>
      <c r="P831">
        <v>1</v>
      </c>
      <c r="U831" t="s">
        <v>3623</v>
      </c>
      <c r="V831" t="str">
        <f t="shared" si="12"/>
        <v>{dwID=36375,nFrame=47,col={0,255,255,},[3]={bScreenHead=true,},[4]={},aFocus={{dwMapID=-1,nMaxDistance=0,tRelation={bAll=true,bEnemy=false,bAlly=false,},tLife={bEnable=false,szOperator="&gt;",nValue=0,},},},},</v>
      </c>
    </row>
    <row r="832" spans="1:24" x14ac:dyDescent="0.15">
      <c r="A832" t="s">
        <v>827</v>
      </c>
      <c r="B832">
        <v>184</v>
      </c>
      <c r="V832" t="str">
        <f t="shared" si="12"/>
        <v>},[184]={</v>
      </c>
    </row>
    <row r="833" spans="1:22" x14ac:dyDescent="0.15">
      <c r="C833">
        <v>30367</v>
      </c>
      <c r="D833">
        <v>47</v>
      </c>
      <c r="U833" t="s">
        <v>4189</v>
      </c>
      <c r="V833" t="str">
        <f t="shared" si="12"/>
        <v>{dwID=30367,nFrame=47,[3]={},[4]={},aFocus={{dwMapID=-1,szDisplay="传送·入口",nMaxDistance=30,tRelation={bAll=true,bEnemy=false,bAlly=false,},tLife={bEnable=false,szOperator="&gt;",nValue=0,},},},},</v>
      </c>
    </row>
    <row r="834" spans="1:22" x14ac:dyDescent="0.15">
      <c r="A834" t="s">
        <v>833</v>
      </c>
      <c r="B834">
        <v>193</v>
      </c>
      <c r="V834" t="str">
        <f t="shared" ref="V834:V897" si="13">IF(ISBLANK(B834)=FALSE,IF(ISBLANK(B833),"},["&amp;B834&amp;"]={","["&amp;B834&amp;"]={"),IF(AND(ISBLANK(B834),ISBLANK(D834),ISBLANK(C834),OR(ISBLANK(B833)=FALSE,ISBLANK(D833)=FALSE,ISBLANK(C833)=FALSE)),"},},}",IF(ISBLANK(C834),"","{dwID="&amp;C834&amp;","&amp;"nFrame="&amp;D834&amp;","&amp;IF(E834&gt;0,"nCount="&amp;E834&amp;",","")&amp;IF(F834&gt;0,"bAllLeave=true,","")&amp;IF(G834&lt;&gt;"","szName="""&amp;G834&amp;""",","")&amp;IF(H834&lt;&gt;"","tKungFu={"&amp;H834&amp;"},","")&amp;IF(I834&lt;&gt;"","szNote="""&amp;I834&amp;""",","")&amp;IF(J834&lt;&gt;"","col={"&amp;J834&amp;"},","")&amp;"[3]={"&amp;IF(K834&lt;&gt;"","tMark={"&amp;K834&amp;"},","")&amp;IF(L834&lt;&gt;"","szVoice="""&amp;L834&amp;""",","")&amp;IF(M834&gt;0,"bTeamChannel=true,","")&amp;IF(N834&gt;0,"bWhisperChannel=true,","")&amp;IF(O834&gt;0,"bCenterAlarm=true,","")&amp;IF(P834&gt;0,"bScreenHead=true,","")&amp;"},"&amp;"[4]={"&amp;IF(Q834&lt;&gt;"","szVoice="""&amp;Q834&amp;""",","")&amp;IF(R834&gt;0,"bTeamChannel=true,","")&amp;IF(S834&gt;0,"bWhisperChannel=true,","")&amp;IF(T834&gt;0,"bCenterAlarm=true,","")&amp;"},"&amp;IF(U834&lt;&gt;"","aFocus={"&amp;U834&amp;"},","")&amp;IF(W834&lt;&gt;"","tCountdown={"&amp;_xlfn.TEXTJOIN("",TRUE,W834:ZZ834)&amp;"},","")&amp;"},")))</f>
        <v>},[193]={</v>
      </c>
    </row>
    <row r="835" spans="1:22" x14ac:dyDescent="0.15">
      <c r="C835">
        <v>53367</v>
      </c>
      <c r="D835">
        <v>67</v>
      </c>
      <c r="U835" t="s">
        <v>4028</v>
      </c>
      <c r="V835" t="str">
        <f t="shared" si="13"/>
        <v>{dwID=53367,nFrame=67,[3]={},[4]={},aFocus={{dwMapID=-1,nMaxDistance=20,tRelation={bAll=true,bEnemy=false,bAlly=false,},tLife={bEnable=false,szOperator="&gt;",nValue=0,},},},},</v>
      </c>
    </row>
    <row r="836" spans="1:22" x14ac:dyDescent="0.15">
      <c r="C836">
        <v>37785</v>
      </c>
      <c r="D836">
        <v>47</v>
      </c>
      <c r="I836" t="s">
        <v>4190</v>
      </c>
      <c r="J836" t="s">
        <v>2152</v>
      </c>
      <c r="P836">
        <v>1</v>
      </c>
      <c r="U836" t="s">
        <v>4191</v>
      </c>
      <c r="V836" t="str">
        <f t="shared" si="13"/>
        <v>{dwID=37785,nFrame=47,szNote="董不白·故园风雨",col={0,255,255,},[3]={bScreenHead=true,},[4]={},aFocus={{dwMapID=-1,szDisplay="董不白·故园风雨",nMaxDistance=60,tRelation={bAll=true,bEnemy=false,bAlly=false,},tLife={bEnable=false,szOperator="&gt;",nValue=0,},},},},</v>
      </c>
    </row>
    <row r="837" spans="1:22" x14ac:dyDescent="0.15">
      <c r="C837">
        <v>50819</v>
      </c>
      <c r="D837">
        <v>47</v>
      </c>
      <c r="J837" t="s">
        <v>2168</v>
      </c>
      <c r="P837">
        <v>1</v>
      </c>
      <c r="U837" t="s">
        <v>4192</v>
      </c>
      <c r="V837" t="str">
        <f t="shared" si="13"/>
        <v>{dwID=50819,nFrame=47,col={0,255,0,},[3]={bScreenHead=true,},[4]={},aFocus={{dwMapID=-1,szDisplay="燕安·门派事件",nMaxDistance=0,tRelation={bAll=true,bEnemy=false,bAlly=false,},tLife={bEnable=false,szOperator="&gt;",nValue=0,},},},},</v>
      </c>
    </row>
    <row r="838" spans="1:22" x14ac:dyDescent="0.15">
      <c r="C838">
        <v>50773</v>
      </c>
      <c r="D838">
        <v>47</v>
      </c>
      <c r="J838" t="s">
        <v>2168</v>
      </c>
      <c r="P838">
        <v>1</v>
      </c>
      <c r="U838" t="s">
        <v>4193</v>
      </c>
      <c r="V838" t="str">
        <f t="shared" si="13"/>
        <v>{dwID=50773,nFrame=47,col={0,255,0,},[3]={bScreenHead=true,},[4]={},aFocus={{dwMapID=-1,szDisplay="燕甲·门派事件",nMaxDistance=20,tRelation={bAll=true,bEnemy=false,bAlly=false,},tLife={bEnable=false,szOperator="&gt;",nValue=0,},},},},</v>
      </c>
    </row>
    <row r="839" spans="1:22" x14ac:dyDescent="0.15">
      <c r="C839">
        <v>50774</v>
      </c>
      <c r="D839">
        <v>47</v>
      </c>
      <c r="J839" t="s">
        <v>2168</v>
      </c>
      <c r="P839">
        <v>1</v>
      </c>
      <c r="U839" t="s">
        <v>4194</v>
      </c>
      <c r="V839" t="str">
        <f t="shared" si="13"/>
        <v>{dwID=50774,nFrame=47,col={0,255,0,},[3]={bScreenHead=true,},[4]={},aFocus={{dwMapID=-1,szDisplay="燕苍·门派事件",nMaxDistance=5,tRelation={bAll=true,bEnemy=false,bAlly=false,},tLife={bEnable=false,szOperator="&gt;",nValue=0,},},},},</v>
      </c>
    </row>
    <row r="840" spans="1:22" x14ac:dyDescent="0.15">
      <c r="C840">
        <v>41151</v>
      </c>
      <c r="D840">
        <v>47</v>
      </c>
      <c r="G840" t="s">
        <v>4195</v>
      </c>
      <c r="U840" t="s">
        <v>4196</v>
      </c>
      <c r="V840" t="str">
        <f t="shared" si="13"/>
        <v>{dwID=41151,nFrame=47,szName="高分球+8",[3]={},[4]={},aFocus={{dwMapID=-1,szDisplay="高分球",nMaxDistance=30,tRelation={bAll=true,bEnemy=false,bAlly=false,},tLife={bEnable=false,szOperator="&gt;",nValue=0,},},},},</v>
      </c>
    </row>
    <row r="841" spans="1:22" x14ac:dyDescent="0.15">
      <c r="C841">
        <v>50320</v>
      </c>
      <c r="D841">
        <v>47</v>
      </c>
      <c r="J841" t="s">
        <v>2168</v>
      </c>
      <c r="P841">
        <v>1</v>
      </c>
      <c r="U841" t="s">
        <v>4197</v>
      </c>
      <c r="V841" t="str">
        <f t="shared" si="13"/>
        <v>{dwID=50320,nFrame=47,col={0,255,0,},[3]={bScreenHead=true,},[4]={},aFocus={{dwMapID=-1,szDisplay="燕玄·门派事件",nMaxDistance=20,tRelation={bAll=true,bEnemy=false,bAlly=false,},tLife={bEnable=false,szOperator="&gt;",nValue=0,},},},},</v>
      </c>
    </row>
    <row r="842" spans="1:22" x14ac:dyDescent="0.15">
      <c r="C842">
        <v>50775</v>
      </c>
      <c r="D842">
        <v>47</v>
      </c>
      <c r="J842" t="s">
        <v>2168</v>
      </c>
      <c r="P842">
        <v>1</v>
      </c>
      <c r="U842" t="s">
        <v>4198</v>
      </c>
      <c r="V842" t="str">
        <f t="shared" si="13"/>
        <v>{dwID=50775,nFrame=47,col={0,255,0,},[3]={bScreenHead=true,},[4]={},aFocus={{dwMapID=-1,szDisplay="燕云·门派事件",nMaxDistance=30,tRelation={bAll=true,bEnemy=false,bAlly=false,},tLife={bEnable=false,szOperator="&gt;",nValue=0,},},},},</v>
      </c>
    </row>
    <row r="843" spans="1:22" x14ac:dyDescent="0.15">
      <c r="C843">
        <v>50776</v>
      </c>
      <c r="D843">
        <v>47</v>
      </c>
      <c r="J843" t="s">
        <v>2168</v>
      </c>
      <c r="P843">
        <v>1</v>
      </c>
      <c r="U843" t="s">
        <v>4199</v>
      </c>
      <c r="V843" t="str">
        <f t="shared" si="13"/>
        <v>{dwID=50776,nFrame=47,col={0,255,0,},[3]={bScreenHead=true,},[4]={},aFocus={{dwMapID=-1,szDisplay="燕军·门派事件",nMaxDistance=40,tRelation={bAll=true,bEnemy=false,bAlly=false,},tLife={bEnable=false,szOperator="&gt;",nValue=0,},},},},</v>
      </c>
    </row>
    <row r="844" spans="1:22" x14ac:dyDescent="0.15">
      <c r="C844">
        <v>50777</v>
      </c>
      <c r="D844">
        <v>47</v>
      </c>
      <c r="J844" t="s">
        <v>2168</v>
      </c>
      <c r="P844">
        <v>1</v>
      </c>
      <c r="U844" t="s">
        <v>4200</v>
      </c>
      <c r="V844" t="str">
        <f t="shared" si="13"/>
        <v>{dwID=50777,nFrame=47,col={0,255,0,},[3]={bScreenHead=true,},[4]={},aFocus={{dwMapID=-1,szDisplay="燕盛·门派事件",nMaxDistance=19,tRelation={bAll=true,bEnemy=false,bAlly=false,},tLife={bEnable=false,szOperator="&gt;",nValue=0,},},},},</v>
      </c>
    </row>
    <row r="845" spans="1:22" x14ac:dyDescent="0.15">
      <c r="C845">
        <v>50232</v>
      </c>
      <c r="D845">
        <v>47</v>
      </c>
      <c r="J845" t="s">
        <v>2168</v>
      </c>
      <c r="P845">
        <v>1</v>
      </c>
      <c r="U845" t="s">
        <v>4201</v>
      </c>
      <c r="V845" t="str">
        <f t="shared" si="13"/>
        <v>{dwID=50232,nFrame=47,col={0,255,0,},[3]={bScreenHead=true,},[4]={},aFocus={{dwMapID=-1,szDisplay="燕宁·门派事件",nMaxDistance=0,tRelation={bAll=true,bEnemy=false,bAlly=false,},tLife={bEnable=false,szOperator="&gt;",nValue=0,},},},},</v>
      </c>
    </row>
    <row r="846" spans="1:22" x14ac:dyDescent="0.15">
      <c r="C846">
        <v>50286</v>
      </c>
      <c r="D846">
        <v>57</v>
      </c>
      <c r="J846" t="s">
        <v>2676</v>
      </c>
      <c r="U846" t="s">
        <v>4202</v>
      </c>
      <c r="V846" t="str">
        <f t="shared" si="13"/>
        <v>{dwID=50286,nFrame=57,col={255,50,50,},[3]={},[4]={},aFocus={{dwMapID=-1,szDisplay="偷矿贼人·门派事件",nMaxDistance=20,tRelation={bAll=false,bEnemy=true,bAlly=false,},tLife={bEnable=false,szOperator="&gt;",nValue=0,},},},},</v>
      </c>
    </row>
    <row r="847" spans="1:22" x14ac:dyDescent="0.15">
      <c r="C847">
        <v>50287</v>
      </c>
      <c r="D847">
        <v>57</v>
      </c>
      <c r="J847" t="s">
        <v>2676</v>
      </c>
      <c r="P847">
        <v>1</v>
      </c>
      <c r="U847" t="s">
        <v>4203</v>
      </c>
      <c r="V847" t="str">
        <f t="shared" si="13"/>
        <v>{dwID=50287,nFrame=57,col={255,50,50,},[3]={bScreenHead=true,},[4]={},aFocus={{dwMapID=-1,szDisplay="穿山甲·门派事件",nMaxDistance=20,tRelation={bAll=false,bEnemy=true,bAlly=false,},tLife={bEnable=false,szOperator="&gt;",nValue=0,},},},},</v>
      </c>
    </row>
    <row r="848" spans="1:22" x14ac:dyDescent="0.15">
      <c r="C848">
        <v>50289</v>
      </c>
      <c r="D848">
        <v>57</v>
      </c>
      <c r="J848" t="s">
        <v>2676</v>
      </c>
      <c r="P848">
        <v>1</v>
      </c>
      <c r="U848" t="s">
        <v>4204</v>
      </c>
      <c r="V848" t="str">
        <f t="shared" si="13"/>
        <v>{dwID=50289,nFrame=57,col={255,50,50,},[3]={bScreenHead=true,},[4]={},aFocus={{dwMapID=-1,szDisplay="食矿之虫·门派事件",nMaxDistance=20,tRelation={bAll=false,bEnemy=true,bAlly=false,},tLife={bEnable=false,szOperator="&gt;",nValue=0,},},},},</v>
      </c>
    </row>
    <row r="849" spans="1:22" x14ac:dyDescent="0.15">
      <c r="C849">
        <v>50280</v>
      </c>
      <c r="D849">
        <v>57</v>
      </c>
      <c r="J849" t="s">
        <v>2676</v>
      </c>
      <c r="V849" t="str">
        <f t="shared" si="13"/>
        <v>{dwID=50280,nFrame=57,col={255,50,50,},[3]={},[4]={},},</v>
      </c>
    </row>
    <row r="850" spans="1:22" x14ac:dyDescent="0.15">
      <c r="C850">
        <v>50236</v>
      </c>
      <c r="D850">
        <v>47</v>
      </c>
      <c r="J850" t="s">
        <v>2676</v>
      </c>
      <c r="O850">
        <v>1</v>
      </c>
      <c r="P850">
        <v>1</v>
      </c>
      <c r="U850" t="s">
        <v>4205</v>
      </c>
      <c r="V850" t="str">
        <f t="shared" si="13"/>
        <v>{dwID=50236,nFrame=47,col={255,50,50,},[3]={bCenterAlarm=true,bScreenHead=true,},[4]={},aFocus={{dwMapID=-1,szDisplay="萨楚日·门派事件",nMaxDistance=0,tRelation={bAll=true,bEnemy=false,bAlly=false,},tLife={bEnable=false,szOperator="&gt;",nValue=0,},},},},</v>
      </c>
    </row>
    <row r="851" spans="1:22" x14ac:dyDescent="0.15">
      <c r="C851">
        <v>50235</v>
      </c>
      <c r="D851">
        <v>47</v>
      </c>
      <c r="J851" t="s">
        <v>2676</v>
      </c>
      <c r="O851">
        <v>1</v>
      </c>
      <c r="P851">
        <v>1</v>
      </c>
      <c r="U851" t="s">
        <v>4206</v>
      </c>
      <c r="V851" t="str">
        <f t="shared" si="13"/>
        <v>{dwID=50235,nFrame=47,col={255,50,50,},[3]={bCenterAlarm=true,bScreenHead=true,},[4]={},aFocus={{dwMapID=-1,szDisplay="塔拉·门派事件",nMaxDistance=0,tRelation={bAll=true,bEnemy=false,bAlly=false,},tLife={bEnable=false,szOperator="&gt;",nValue=0,},},},},</v>
      </c>
    </row>
    <row r="852" spans="1:22" x14ac:dyDescent="0.15">
      <c r="C852">
        <v>50437</v>
      </c>
      <c r="D852">
        <v>47</v>
      </c>
      <c r="J852" t="s">
        <v>2676</v>
      </c>
      <c r="P852">
        <v>1</v>
      </c>
      <c r="U852" t="s">
        <v>4207</v>
      </c>
      <c r="V852" t="str">
        <f t="shared" si="13"/>
        <v>{dwID=50437,nFrame=47,col={255,50,50,},[3]={bScreenHead=true,},[4]={},aFocus={{dwMapID=-1,szDisplay="奚人炮车·门派事件",nMaxDistance=25,tRelation={bAll=true,bEnemy=false,bAlly=false,},tLife={bEnable=false,szOperator="&gt;",nValue=0,},},},},</v>
      </c>
    </row>
    <row r="853" spans="1:22" x14ac:dyDescent="0.15">
      <c r="C853">
        <v>50234</v>
      </c>
      <c r="D853">
        <v>47</v>
      </c>
      <c r="J853" t="s">
        <v>2676</v>
      </c>
      <c r="P853">
        <v>1</v>
      </c>
      <c r="U853" t="s">
        <v>4208</v>
      </c>
      <c r="V853" t="str">
        <f t="shared" si="13"/>
        <v>{dwID=50234,nFrame=47,col={255,50,50,},[3]={bScreenHead=true,},[4]={},aFocus={{dwMapID=-1,szDisplay="唐和斯·门派事件",nMaxDistance=0,tRelation={bAll=true,bEnemy=false,bAlly=false,},tLife={bEnable=false,szOperator="&gt;",nValue=0,},},},},</v>
      </c>
    </row>
    <row r="854" spans="1:22" x14ac:dyDescent="0.15">
      <c r="C854">
        <v>50391</v>
      </c>
      <c r="D854">
        <v>47</v>
      </c>
      <c r="I854" t="s">
        <v>4209</v>
      </c>
      <c r="J854" t="s">
        <v>2168</v>
      </c>
      <c r="P854">
        <v>1</v>
      </c>
      <c r="U854" t="s">
        <v>3623</v>
      </c>
      <c r="V854" t="str">
        <f t="shared" si="13"/>
        <v>{dwID=50391,nFrame=47,szNote="申屠远·门派事件",col={0,255,0,},[3]={bScreenHead=true,},[4]={},aFocus={{dwMapID=-1,nMaxDistance=0,tRelation={bAll=true,bEnemy=false,bAlly=false,},tLife={bEnable=false,szOperator="&gt;",nValue=0,},},},},</v>
      </c>
    </row>
    <row r="855" spans="1:22" x14ac:dyDescent="0.15">
      <c r="C855">
        <v>50276</v>
      </c>
      <c r="D855">
        <v>47</v>
      </c>
      <c r="J855" t="s">
        <v>2676</v>
      </c>
      <c r="O855">
        <v>1</v>
      </c>
      <c r="P855">
        <v>1</v>
      </c>
      <c r="U855" t="s">
        <v>4210</v>
      </c>
      <c r="V855" t="str">
        <f t="shared" si="13"/>
        <v>{dwID=50276,nFrame=47,col={255,50,50,},[3]={bCenterAlarm=true,bScreenHead=true,},[4]={},aFocus={{dwMapID=-1,szDisplay="锡喇·门派事件",nMaxDistance=0,tRelation={bAll=true,bEnemy=false,bAlly=false,},tLife={bEnable=false,szOperator="&gt;",nValue=0,},},},},</v>
      </c>
    </row>
    <row r="856" spans="1:22" x14ac:dyDescent="0.15">
      <c r="C856">
        <v>50277</v>
      </c>
      <c r="D856">
        <v>47</v>
      </c>
      <c r="J856" t="s">
        <v>2676</v>
      </c>
      <c r="O856">
        <v>1</v>
      </c>
      <c r="P856">
        <v>1</v>
      </c>
      <c r="U856" t="s">
        <v>4211</v>
      </c>
      <c r="V856" t="str">
        <f t="shared" si="13"/>
        <v>{dwID=50277,nFrame=47,col={255,50,50,},[3]={bCenterAlarm=true,bScreenHead=true,},[4]={},aFocus={{dwMapID=-1,szDisplay="锡尔哈·门派事件",nMaxDistance=0,tRelation={bAll=true,bEnemy=false,bAlly=false,},tLife={bEnable=false,szOperator="&gt;",nValue=0,},},},},</v>
      </c>
    </row>
    <row r="857" spans="1:22" x14ac:dyDescent="0.15">
      <c r="C857">
        <v>50237</v>
      </c>
      <c r="D857">
        <v>47</v>
      </c>
      <c r="J857" t="s">
        <v>2676</v>
      </c>
      <c r="O857">
        <v>1</v>
      </c>
      <c r="P857">
        <v>1</v>
      </c>
      <c r="U857" t="s">
        <v>4212</v>
      </c>
      <c r="V857" t="str">
        <f t="shared" si="13"/>
        <v>{dwID=50237,nFrame=47,col={255,50,50,},[3]={bCenterAlarm=true,bScreenHead=true,},[4]={},aFocus={{dwMapID=-1,szDisplay="库莫·门派事件",nMaxDistance=0,tRelation={bAll=true,bEnemy=false,bAlly=false,},tLife={bEnable=false,szOperator="&gt;",nValue=0,},},},},</v>
      </c>
    </row>
    <row r="858" spans="1:22" x14ac:dyDescent="0.15">
      <c r="C858">
        <v>50555</v>
      </c>
      <c r="D858">
        <v>47</v>
      </c>
      <c r="I858" t="s">
        <v>4213</v>
      </c>
      <c r="J858" t="s">
        <v>2168</v>
      </c>
      <c r="P858">
        <v>1</v>
      </c>
      <c r="V858" t="str">
        <f t="shared" si="13"/>
        <v>{dwID=50555,nFrame=47,szNote="长孙忘情·门派事件",col={0,255,0,},[3]={bScreenHead=true,},[4]={},},</v>
      </c>
    </row>
    <row r="859" spans="1:22" x14ac:dyDescent="0.15">
      <c r="C859">
        <v>55189</v>
      </c>
      <c r="D859">
        <v>67</v>
      </c>
      <c r="J859" t="s">
        <v>3220</v>
      </c>
      <c r="P859">
        <v>1</v>
      </c>
      <c r="U859" t="s">
        <v>4105</v>
      </c>
      <c r="V859" t="str">
        <f t="shared" si="13"/>
        <v>{dwID=55189,nFrame=67,col={255,50,255,},[3]={bScreenHead=true,},[4]={},aFocus={{dwMapID=-1,nMaxDistance=30,tRelation={bAll=true,bEnemy=true,bAlly=false,},tLife={bEnable=false,szOperator="&gt;",nValue=0,},},},},</v>
      </c>
    </row>
    <row r="860" spans="1:22" x14ac:dyDescent="0.15">
      <c r="C860">
        <v>55183</v>
      </c>
      <c r="D860">
        <v>67</v>
      </c>
      <c r="J860" t="s">
        <v>3220</v>
      </c>
      <c r="P860">
        <v>1</v>
      </c>
      <c r="U860" t="s">
        <v>4105</v>
      </c>
      <c r="V860" t="str">
        <f t="shared" si="13"/>
        <v>{dwID=55183,nFrame=67,col={255,50,255,},[3]={bScreenHead=true,},[4]={},aFocus={{dwMapID=-1,nMaxDistance=30,tRelation={bAll=true,bEnemy=true,bAlly=false,},tLife={bEnable=false,szOperator="&gt;",nValue=0,},},},},</v>
      </c>
    </row>
    <row r="861" spans="1:22" x14ac:dyDescent="0.15">
      <c r="C861">
        <v>55180</v>
      </c>
      <c r="D861">
        <v>67</v>
      </c>
      <c r="J861" t="s">
        <v>3220</v>
      </c>
      <c r="P861">
        <v>1</v>
      </c>
      <c r="U861" t="s">
        <v>4105</v>
      </c>
      <c r="V861" t="str">
        <f t="shared" si="13"/>
        <v>{dwID=55180,nFrame=67,col={255,50,255,},[3]={bScreenHead=true,},[4]={},aFocus={{dwMapID=-1,nMaxDistance=30,tRelation={bAll=true,bEnemy=true,bAlly=false,},tLife={bEnable=false,szOperator="&gt;",nValue=0,},},},},</v>
      </c>
    </row>
    <row r="862" spans="1:22" x14ac:dyDescent="0.15">
      <c r="C862">
        <v>55181</v>
      </c>
      <c r="D862">
        <v>67</v>
      </c>
      <c r="J862" t="s">
        <v>3220</v>
      </c>
      <c r="P862">
        <v>1</v>
      </c>
      <c r="U862" t="s">
        <v>4105</v>
      </c>
      <c r="V862" t="str">
        <f t="shared" si="13"/>
        <v>{dwID=55181,nFrame=67,col={255,50,255,},[3]={bScreenHead=true,},[4]={},aFocus={{dwMapID=-1,nMaxDistance=30,tRelation={bAll=true,bEnemy=true,bAlly=false,},tLife={bEnable=false,szOperator="&gt;",nValue=0,},},},},</v>
      </c>
    </row>
    <row r="863" spans="1:22" x14ac:dyDescent="0.15">
      <c r="A863" t="s">
        <v>834</v>
      </c>
      <c r="B863">
        <v>194</v>
      </c>
      <c r="V863" t="str">
        <f t="shared" si="13"/>
        <v>},[194]={</v>
      </c>
    </row>
    <row r="864" spans="1:22" x14ac:dyDescent="0.15">
      <c r="C864">
        <v>47754</v>
      </c>
      <c r="D864">
        <v>47</v>
      </c>
      <c r="J864" t="s">
        <v>2168</v>
      </c>
      <c r="P864">
        <v>1</v>
      </c>
      <c r="U864" t="s">
        <v>4214</v>
      </c>
      <c r="V864" t="str">
        <f t="shared" si="13"/>
        <v>{dwID=47754,nFrame=47,col={0,255,0,},[3]={bScreenHead=true,},[4]={},aFocus={{dwMapID=-1,szDisplay="褚禾·阴山商路",nMaxDistance=30,tRelation={bAll=true,bEnemy=false,bAlly=false,},tLife={bEnable=false,szOperator="&gt;",nValue=0,},},},},</v>
      </c>
    </row>
    <row r="865" spans="3:23" x14ac:dyDescent="0.15">
      <c r="C865">
        <v>45043</v>
      </c>
      <c r="D865">
        <v>47</v>
      </c>
      <c r="H865" t="s">
        <v>2721</v>
      </c>
      <c r="J865" t="s">
        <v>2676</v>
      </c>
      <c r="U865" t="s">
        <v>3623</v>
      </c>
      <c r="V865" t="str">
        <f t="shared" si="13"/>
        <v>{dwID=45043,nFrame=47,tKungFu={["SKILL#10028"]=true,["SKILL#10080"]=true,["SKILL#10176"]=true,["SKILL#10448"]=true,["SKILL#10626"]=true,},col={255,50,50,},[3]={},[4]={},aFocus={{dwMapID=-1,nMaxDistance=0,tRelation={bAll=true,bEnemy=false,bAlly=false,},tLife={bEnable=false,szOperator="&gt;",nValue=0,},},},tCountdown={{nClass=3,nIcon=3872,nFrame=5,szName="{$N45043}·记得切心法",nTime=10,},},},</v>
      </c>
      <c r="W865" t="s">
        <v>4215</v>
      </c>
    </row>
    <row r="866" spans="3:23" x14ac:dyDescent="0.15">
      <c r="C866">
        <v>45044</v>
      </c>
      <c r="D866">
        <v>50</v>
      </c>
      <c r="J866" t="s">
        <v>2676</v>
      </c>
      <c r="U866" t="s">
        <v>3794</v>
      </c>
      <c r="V866" t="str">
        <f t="shared" si="13"/>
        <v>{dwID=45044,nFrame=50,col={255,50,50,},[3]={},[4]={},aFocus={{dwMapID=-1,nMaxDistance=20,tRelation={bAll=false,bEnemy=true,bAlly=false,},tLife={bEnable=false,szOperator="&gt;",nValue=0,},},},},</v>
      </c>
    </row>
    <row r="867" spans="3:23" x14ac:dyDescent="0.15">
      <c r="C867">
        <v>46403</v>
      </c>
      <c r="D867">
        <v>47</v>
      </c>
      <c r="J867" t="s">
        <v>2152</v>
      </c>
      <c r="O867">
        <v>1</v>
      </c>
      <c r="P867">
        <v>1</v>
      </c>
      <c r="U867" t="s">
        <v>3623</v>
      </c>
      <c r="V867" t="str">
        <f t="shared" si="13"/>
        <v>{dwID=46403,nFrame=47,col={0,255,255,},[3]={bCenterAlarm=true,bScreenHead=true,},[4]={},aFocus={{dwMapID=-1,nMaxDistance=0,tRelation={bAll=true,bEnemy=false,bAlly=false,},tLife={bEnable=false,szOperator="&gt;",nValue=0,},},},},</v>
      </c>
    </row>
    <row r="868" spans="3:23" x14ac:dyDescent="0.15">
      <c r="C868">
        <v>41089</v>
      </c>
      <c r="D868">
        <v>47</v>
      </c>
      <c r="J868" t="s">
        <v>2168</v>
      </c>
      <c r="P868">
        <v>1</v>
      </c>
      <c r="U868" t="s">
        <v>4216</v>
      </c>
      <c r="V868" t="str">
        <f t="shared" si="13"/>
        <v>{dwID=41089,nFrame=47,col={0,255,0,},[3]={bScreenHead=true,},[4]={},aFocus={{dwMapID=-1,szDisplay="盔甲·4次",nMaxDistance=30,tRelation={bAll=true,bEnemy=false,bAlly=false,},tLife={bEnable=false,szOperator="&gt;",nValue=0,},},},},</v>
      </c>
    </row>
    <row r="869" spans="3:23" x14ac:dyDescent="0.15">
      <c r="C869">
        <v>41090</v>
      </c>
      <c r="D869">
        <v>47</v>
      </c>
      <c r="J869" t="s">
        <v>2168</v>
      </c>
      <c r="P869">
        <v>1</v>
      </c>
      <c r="U869" t="s">
        <v>4217</v>
      </c>
      <c r="V869" t="str">
        <f t="shared" si="13"/>
        <v>{dwID=41090,nFrame=47,col={0,255,0,},[3]={bScreenHead=true,},[4]={},aFocus={{dwMapID=-1,szDisplay="木材·盔甲·4次",nMaxDistance=10,tRelation={bAll=true,bEnemy=false,bAlly=false,},tLife={bEnable=false,szOperator="&gt;",nValue=0,},},},},</v>
      </c>
    </row>
    <row r="870" spans="3:23" x14ac:dyDescent="0.15">
      <c r="C870">
        <v>41092</v>
      </c>
      <c r="D870">
        <v>47</v>
      </c>
      <c r="J870" t="s">
        <v>2168</v>
      </c>
      <c r="P870">
        <v>1</v>
      </c>
      <c r="U870" t="s">
        <v>4218</v>
      </c>
      <c r="V870" t="str">
        <f t="shared" si="13"/>
        <v>{dwID=41092,nFrame=47,col={0,255,0,},[3]={bScreenHead=true,},[4]={},aFocus={{dwMapID=-1,szDisplay="杉木·盔甲",nMaxDistance=6,tRelation={bAll=true,bEnemy=false,bAlly=false,},tLife={bEnable=false,szOperator="&gt;",nValue=0,},},},},</v>
      </c>
    </row>
    <row r="871" spans="3:23" x14ac:dyDescent="0.15">
      <c r="C871">
        <v>37309</v>
      </c>
      <c r="D871">
        <v>57</v>
      </c>
      <c r="U871" t="s">
        <v>3623</v>
      </c>
      <c r="V871" t="str">
        <f t="shared" si="13"/>
        <v>{dwID=37309,nFrame=57,[3]={},[4]={},aFocus={{dwMapID=-1,nMaxDistance=0,tRelation={bAll=true,bEnemy=false,bAlly=false,},tLife={bEnable=false,szOperator="&gt;",nValue=0,},},},},</v>
      </c>
    </row>
    <row r="872" spans="3:23" x14ac:dyDescent="0.15">
      <c r="C872">
        <v>37313</v>
      </c>
      <c r="D872">
        <v>57</v>
      </c>
      <c r="U872" t="s">
        <v>3623</v>
      </c>
      <c r="V872" t="str">
        <f t="shared" si="13"/>
        <v>{dwID=37313,nFrame=57,[3]={},[4]={},aFocus={{dwMapID=-1,nMaxDistance=0,tRelation={bAll=true,bEnemy=false,bAlly=false,},tLife={bEnable=false,szOperator="&gt;",nValue=0,},},},},</v>
      </c>
    </row>
    <row r="873" spans="3:23" x14ac:dyDescent="0.15">
      <c r="C873">
        <v>41741</v>
      </c>
      <c r="D873">
        <v>57</v>
      </c>
      <c r="U873" t="s">
        <v>3644</v>
      </c>
      <c r="V873" t="str">
        <f t="shared" si="13"/>
        <v>{dwID=41741,nFrame=57,[3]={},[4]={},aFocus={{dwMapID=-1,nMaxDistance=0,tRelation={bAll=false,bEnemy=true,bAlly=false,},tLife={bEnable=false,szOperator="&gt;",nValue=0,},},},tCountdown={{nClass=3,nIcon=13,nFrame=5,szName="石萧翼·已刷新",nTime=5,key="公共事件1",},},},</v>
      </c>
      <c r="W873" t="s">
        <v>4219</v>
      </c>
    </row>
    <row r="874" spans="3:23" x14ac:dyDescent="0.15">
      <c r="C874">
        <v>41737</v>
      </c>
      <c r="D874">
        <v>57</v>
      </c>
      <c r="I874" t="s">
        <v>4220</v>
      </c>
      <c r="U874" t="s">
        <v>4221</v>
      </c>
      <c r="V874" t="str">
        <f t="shared" si="13"/>
        <v>{dwID=41737,nFrame=57,szNote="汾桥·王菲菲",[3]={},[4]={},aFocus={{dwMapID=-1,szDisplay="王菲菲·50分",nMaxDistance=30,tRelation={bAll=true,bEnemy=false,bAlly=false,},tLife={bEnable=false,szOperator="&gt;",nValue=0,},},},},</v>
      </c>
    </row>
    <row r="875" spans="3:23" x14ac:dyDescent="0.15">
      <c r="C875">
        <v>41833</v>
      </c>
      <c r="D875">
        <v>57</v>
      </c>
      <c r="U875" t="s">
        <v>4222</v>
      </c>
      <c r="V875" t="str">
        <f t="shared" si="13"/>
        <v>{dwID=41833,nFrame=57,[3]={},[4]={},aFocus={{dwMapID=-1,szDisplay="郜孝严·60分",nMaxDistance=0,tRelation={bAll=true,bEnemy=false,bAlly=false,},tLife={bEnable=false,szOperator="&gt;",nValue=0,},},},},</v>
      </c>
    </row>
    <row r="876" spans="3:23" x14ac:dyDescent="0.15">
      <c r="C876">
        <v>41834</v>
      </c>
      <c r="D876">
        <v>57</v>
      </c>
      <c r="I876" t="s">
        <v>4223</v>
      </c>
      <c r="U876" t="s">
        <v>4224</v>
      </c>
      <c r="V876" t="str">
        <f t="shared" si="13"/>
        <v>{dwID=41834,nFrame=57,szNote="牛延阶营寨·尤肖杰",[3]={},[4]={},aFocus={{dwMapID=-1,szDisplay="尤肖杰·60分",nMaxDistance=0,tRelation={bAll=true,bEnemy=false,bAlly=false,},tLife={bEnable=false,szOperator="&gt;",nValue=0,},},},},</v>
      </c>
    </row>
    <row r="877" spans="3:23" x14ac:dyDescent="0.15">
      <c r="C877">
        <v>37336</v>
      </c>
      <c r="D877">
        <v>57</v>
      </c>
      <c r="U877" t="s">
        <v>3623</v>
      </c>
      <c r="V877" t="str">
        <f t="shared" si="13"/>
        <v>{dwID=37336,nFrame=57,[3]={},[4]={},aFocus={{dwMapID=-1,nMaxDistance=0,tRelation={bAll=true,bEnemy=false,bAlly=false,},tLife={bEnable=false,szOperator="&gt;",nValue=0,},},},},</v>
      </c>
    </row>
    <row r="878" spans="3:23" x14ac:dyDescent="0.15">
      <c r="C878">
        <v>37335</v>
      </c>
      <c r="D878">
        <v>57</v>
      </c>
      <c r="U878" t="s">
        <v>4028</v>
      </c>
      <c r="V878" t="str">
        <f t="shared" si="13"/>
        <v>{dwID=37335,nFrame=57,[3]={},[4]={},aFocus={{dwMapID=-1,nMaxDistance=20,tRelation={bAll=true,bEnemy=false,bAlly=false,},tLife={bEnable=false,szOperator="&gt;",nValue=0,},},},},</v>
      </c>
    </row>
    <row r="879" spans="3:23" x14ac:dyDescent="0.15">
      <c r="C879">
        <v>41835</v>
      </c>
      <c r="D879">
        <v>57</v>
      </c>
      <c r="I879" t="s">
        <v>4225</v>
      </c>
      <c r="U879" t="s">
        <v>4226</v>
      </c>
      <c r="V879" t="str">
        <f t="shared" si="13"/>
        <v>{dwID=41835,nFrame=57,szNote="蔡希德营寨·德霄财",[3]={},[4]={},aFocus={{dwMapID=-1,szDisplay="德霄财·60分",nMaxDistance=0,tRelation={bAll=true,bEnemy=false,bAlly=false,},tLife={bEnable=false,szOperator="&gt;",nValue=0,},},},},</v>
      </c>
    </row>
    <row r="880" spans="3:23" x14ac:dyDescent="0.15">
      <c r="C880">
        <v>37518</v>
      </c>
      <c r="D880">
        <v>57</v>
      </c>
      <c r="U880" t="s">
        <v>3623</v>
      </c>
      <c r="V880" t="str">
        <f t="shared" si="13"/>
        <v>{dwID=37518,nFrame=57,[3]={},[4]={},aFocus={{dwMapID=-1,nMaxDistance=0,tRelation={bAll=true,bEnemy=false,bAlly=false,},tLife={bEnable=false,szOperator="&gt;",nValue=0,},},},},</v>
      </c>
    </row>
    <row r="881" spans="1:22" x14ac:dyDescent="0.15">
      <c r="C881">
        <v>37979</v>
      </c>
      <c r="D881">
        <v>52</v>
      </c>
      <c r="U881" t="s">
        <v>3622</v>
      </c>
      <c r="V881" t="str">
        <f t="shared" si="13"/>
        <v>{dwID=37979,nFrame=52,[3]={},[4]={},aFocus={{dwMapID=-1,nMaxDistance=30,tRelation={bAll=true,bEnemy=false,bAlly=false,},tLife={bEnable=false,szOperator="&gt;",nValue=0,},},},},</v>
      </c>
    </row>
    <row r="882" spans="1:22" x14ac:dyDescent="0.15">
      <c r="C882">
        <v>37599</v>
      </c>
      <c r="D882">
        <v>52</v>
      </c>
      <c r="U882" t="s">
        <v>3622</v>
      </c>
      <c r="V882" t="str">
        <f t="shared" si="13"/>
        <v>{dwID=37599,nFrame=52,[3]={},[4]={},aFocus={{dwMapID=-1,nMaxDistance=30,tRelation={bAll=true,bEnemy=false,bAlly=false,},tLife={bEnable=false,szOperator="&gt;",nValue=0,},},},},</v>
      </c>
    </row>
    <row r="883" spans="1:22" x14ac:dyDescent="0.15">
      <c r="C883">
        <v>37980</v>
      </c>
      <c r="D883">
        <v>57</v>
      </c>
      <c r="U883" t="s">
        <v>3623</v>
      </c>
      <c r="V883" t="str">
        <f t="shared" si="13"/>
        <v>{dwID=37980,nFrame=57,[3]={},[4]={},aFocus={{dwMapID=-1,nMaxDistance=0,tRelation={bAll=true,bEnemy=false,bAlly=false,},tLife={bEnable=false,szOperator="&gt;",nValue=0,},},},},</v>
      </c>
    </row>
    <row r="884" spans="1:22" x14ac:dyDescent="0.15">
      <c r="C884">
        <v>37530</v>
      </c>
      <c r="D884">
        <v>57</v>
      </c>
      <c r="U884" t="s">
        <v>3623</v>
      </c>
      <c r="V884" t="str">
        <f t="shared" si="13"/>
        <v>{dwID=37530,nFrame=57,[3]={},[4]={},aFocus={{dwMapID=-1,nMaxDistance=0,tRelation={bAll=true,bEnemy=false,bAlly=false,},tLife={bEnable=false,szOperator="&gt;",nValue=0,},},},},</v>
      </c>
    </row>
    <row r="885" spans="1:22" x14ac:dyDescent="0.15">
      <c r="C885">
        <v>37529</v>
      </c>
      <c r="D885">
        <v>57</v>
      </c>
      <c r="U885" t="s">
        <v>3623</v>
      </c>
      <c r="V885" t="str">
        <f t="shared" si="13"/>
        <v>{dwID=37529,nFrame=57,[3]={},[4]={},aFocus={{dwMapID=-1,nMaxDistance=0,tRelation={bAll=true,bEnemy=false,bAlly=false,},tLife={bEnable=false,szOperator="&gt;",nValue=0,},},},},</v>
      </c>
    </row>
    <row r="886" spans="1:22" x14ac:dyDescent="0.15">
      <c r="C886">
        <v>41609</v>
      </c>
      <c r="D886">
        <v>47</v>
      </c>
      <c r="G886" t="s">
        <v>407</v>
      </c>
      <c r="U886" t="s">
        <v>4227</v>
      </c>
      <c r="V886" t="str">
        <f t="shared" si="13"/>
        <v>{dwID=41609,nFrame=47,szName="神机雷",[3]={},[4]={},aFocus={{dwMapID=-1,szDisplay="神机雷",nMaxDistance=10,tRelation={bAll=true,bEnemy=false,bAlly=false,},tLife={bEnable=false,szOperator="&gt;",nValue=0,},},},},</v>
      </c>
    </row>
    <row r="887" spans="1:22" x14ac:dyDescent="0.15">
      <c r="A887" t="s">
        <v>847</v>
      </c>
      <c r="B887">
        <v>213</v>
      </c>
      <c r="V887" t="str">
        <f t="shared" si="13"/>
        <v>},[213]={</v>
      </c>
    </row>
    <row r="888" spans="1:22" x14ac:dyDescent="0.15">
      <c r="C888">
        <v>50377</v>
      </c>
      <c r="D888">
        <v>47</v>
      </c>
      <c r="U888" t="s">
        <v>3623</v>
      </c>
      <c r="V888" t="str">
        <f t="shared" si="13"/>
        <v>{dwID=50377,nFrame=47,[3]={},[4]={},aFocus={{dwMapID=-1,nMaxDistance=0,tRelation={bAll=true,bEnemy=false,bAlly=false,},tLife={bEnable=false,szOperator="&gt;",nValue=0,},},},},</v>
      </c>
    </row>
    <row r="889" spans="1:22" x14ac:dyDescent="0.15">
      <c r="C889">
        <v>50378</v>
      </c>
      <c r="D889">
        <v>47</v>
      </c>
      <c r="U889" t="s">
        <v>3623</v>
      </c>
      <c r="V889" t="str">
        <f t="shared" si="13"/>
        <v>{dwID=50378,nFrame=47,[3]={},[4]={},aFocus={{dwMapID=-1,nMaxDistance=0,tRelation={bAll=true,bEnemy=false,bAlly=false,},tLife={bEnable=false,szOperator="&gt;",nValue=0,},},},},</v>
      </c>
    </row>
    <row r="890" spans="1:22" x14ac:dyDescent="0.15">
      <c r="C890">
        <v>50379</v>
      </c>
      <c r="D890">
        <v>47</v>
      </c>
      <c r="U890" t="s">
        <v>3623</v>
      </c>
      <c r="V890" t="str">
        <f t="shared" si="13"/>
        <v>{dwID=50379,nFrame=47,[3]={},[4]={},aFocus={{dwMapID=-1,nMaxDistance=0,tRelation={bAll=true,bEnemy=false,bAlly=false,},tLife={bEnable=false,szOperator="&gt;",nValue=0,},},},},</v>
      </c>
    </row>
    <row r="891" spans="1:22" x14ac:dyDescent="0.15">
      <c r="C891">
        <v>50380</v>
      </c>
      <c r="D891">
        <v>47</v>
      </c>
      <c r="U891" t="s">
        <v>3623</v>
      </c>
      <c r="V891" t="str">
        <f t="shared" si="13"/>
        <v>{dwID=50380,nFrame=47,[3]={},[4]={},aFocus={{dwMapID=-1,nMaxDistance=0,tRelation={bAll=true,bEnemy=false,bAlly=false,},tLife={bEnable=false,szOperator="&gt;",nValue=0,},},},},</v>
      </c>
    </row>
    <row r="892" spans="1:22" x14ac:dyDescent="0.15">
      <c r="C892">
        <v>50381</v>
      </c>
      <c r="D892">
        <v>47</v>
      </c>
      <c r="U892" t="s">
        <v>3623</v>
      </c>
      <c r="V892" t="str">
        <f t="shared" si="13"/>
        <v>{dwID=50381,nFrame=47,[3]={},[4]={},aFocus={{dwMapID=-1,nMaxDistance=0,tRelation={bAll=true,bEnemy=false,bAlly=false,},tLife={bEnable=false,szOperator="&gt;",nValue=0,},},},},</v>
      </c>
    </row>
    <row r="893" spans="1:22" x14ac:dyDescent="0.15">
      <c r="C893">
        <v>50382</v>
      </c>
      <c r="D893">
        <v>47</v>
      </c>
      <c r="U893" t="s">
        <v>3623</v>
      </c>
      <c r="V893" t="str">
        <f t="shared" si="13"/>
        <v>{dwID=50382,nFrame=47,[3]={},[4]={},aFocus={{dwMapID=-1,nMaxDistance=0,tRelation={bAll=true,bEnemy=false,bAlly=false,},tLife={bEnable=false,szOperator="&gt;",nValue=0,},},},},</v>
      </c>
    </row>
    <row r="894" spans="1:22" x14ac:dyDescent="0.15">
      <c r="C894">
        <v>50383</v>
      </c>
      <c r="D894">
        <v>47</v>
      </c>
      <c r="U894" t="s">
        <v>3623</v>
      </c>
      <c r="V894" t="str">
        <f t="shared" si="13"/>
        <v>{dwID=50383,nFrame=47,[3]={},[4]={},aFocus={{dwMapID=-1,nMaxDistance=0,tRelation={bAll=true,bEnemy=false,bAlly=false,},tLife={bEnable=false,szOperator="&gt;",nValue=0,},},},},</v>
      </c>
    </row>
    <row r="895" spans="1:22" x14ac:dyDescent="0.15">
      <c r="C895">
        <v>50384</v>
      </c>
      <c r="D895">
        <v>47</v>
      </c>
      <c r="U895" t="s">
        <v>3623</v>
      </c>
      <c r="V895" t="str">
        <f t="shared" si="13"/>
        <v>{dwID=50384,nFrame=47,[3]={},[4]={},aFocus={{dwMapID=-1,nMaxDistance=0,tRelation={bAll=true,bEnemy=false,bAlly=false,},tLife={bEnable=false,szOperator="&gt;",nValue=0,},},},},</v>
      </c>
    </row>
    <row r="896" spans="1:22" x14ac:dyDescent="0.15">
      <c r="C896">
        <v>50385</v>
      </c>
      <c r="D896">
        <v>47</v>
      </c>
      <c r="U896" t="s">
        <v>3623</v>
      </c>
      <c r="V896" t="str">
        <f t="shared" si="13"/>
        <v>{dwID=50385,nFrame=47,[3]={},[4]={},aFocus={{dwMapID=-1,nMaxDistance=0,tRelation={bAll=true,bEnemy=false,bAlly=false,},tLife={bEnable=false,szOperator="&gt;",nValue=0,},},},},</v>
      </c>
    </row>
    <row r="897" spans="1:22" x14ac:dyDescent="0.15">
      <c r="C897">
        <v>50386</v>
      </c>
      <c r="D897">
        <v>47</v>
      </c>
      <c r="U897" t="s">
        <v>3623</v>
      </c>
      <c r="V897" t="str">
        <f t="shared" si="13"/>
        <v>{dwID=50386,nFrame=47,[3]={},[4]={},aFocus={{dwMapID=-1,nMaxDistance=0,tRelation={bAll=true,bEnemy=false,bAlly=false,},tLife={bEnable=false,szOperator="&gt;",nValue=0,},},},},</v>
      </c>
    </row>
    <row r="898" spans="1:22" x14ac:dyDescent="0.15">
      <c r="C898">
        <v>50387</v>
      </c>
      <c r="D898">
        <v>47</v>
      </c>
      <c r="U898" t="s">
        <v>3623</v>
      </c>
      <c r="V898" t="str">
        <f t="shared" ref="V898:V961" si="14">IF(ISBLANK(B898)=FALSE,IF(ISBLANK(B897),"},["&amp;B898&amp;"]={","["&amp;B898&amp;"]={"),IF(AND(ISBLANK(B898),ISBLANK(D898),ISBLANK(C898),OR(ISBLANK(B897)=FALSE,ISBLANK(D897)=FALSE,ISBLANK(C897)=FALSE)),"},},}",IF(ISBLANK(C898),"","{dwID="&amp;C898&amp;","&amp;"nFrame="&amp;D898&amp;","&amp;IF(E898&gt;0,"nCount="&amp;E898&amp;",","")&amp;IF(F898&gt;0,"bAllLeave=true,","")&amp;IF(G898&lt;&gt;"","szName="""&amp;G898&amp;""",","")&amp;IF(H898&lt;&gt;"","tKungFu={"&amp;H898&amp;"},","")&amp;IF(I898&lt;&gt;"","szNote="""&amp;I898&amp;""",","")&amp;IF(J898&lt;&gt;"","col={"&amp;J898&amp;"},","")&amp;"[3]={"&amp;IF(K898&lt;&gt;"","tMark={"&amp;K898&amp;"},","")&amp;IF(L898&lt;&gt;"","szVoice="""&amp;L898&amp;""",","")&amp;IF(M898&gt;0,"bTeamChannel=true,","")&amp;IF(N898&gt;0,"bWhisperChannel=true,","")&amp;IF(O898&gt;0,"bCenterAlarm=true,","")&amp;IF(P898&gt;0,"bScreenHead=true,","")&amp;"},"&amp;"[4]={"&amp;IF(Q898&lt;&gt;"","szVoice="""&amp;Q898&amp;""",","")&amp;IF(R898&gt;0,"bTeamChannel=true,","")&amp;IF(S898&gt;0,"bWhisperChannel=true,","")&amp;IF(T898&gt;0,"bCenterAlarm=true,","")&amp;"},"&amp;IF(U898&lt;&gt;"","aFocus={"&amp;U898&amp;"},","")&amp;IF(W898&lt;&gt;"","tCountdown={"&amp;_xlfn.TEXTJOIN("",TRUE,W898:ZZ898)&amp;"},","")&amp;"},")))</f>
        <v>{dwID=50387,nFrame=47,[3]={},[4]={},aFocus={{dwMapID=-1,nMaxDistance=0,tRelation={bAll=true,bEnemy=false,bAlly=false,},tLife={bEnable=false,szOperator="&gt;",nValue=0,},},},},</v>
      </c>
    </row>
    <row r="899" spans="1:22" x14ac:dyDescent="0.15">
      <c r="C899">
        <v>50310</v>
      </c>
      <c r="D899">
        <v>47</v>
      </c>
      <c r="J899" t="s">
        <v>2168</v>
      </c>
      <c r="P899">
        <v>1</v>
      </c>
      <c r="U899" t="s">
        <v>4017</v>
      </c>
      <c r="V899" t="str">
        <f t="shared" si="14"/>
        <v>{dwID=50310,nFrame=47,col={0,255,0,},[3]={bScreenHead=true,},[4]={},aFocus={{dwMapID=-1,nMaxDistance=6,tRelation={bAll=false,bEnemy=false,bAlly=true,},tLife={bEnable=false,szOperator="&gt;",nValue=0,},},},},</v>
      </c>
    </row>
    <row r="900" spans="1:22" x14ac:dyDescent="0.15">
      <c r="C900">
        <v>45786</v>
      </c>
      <c r="D900">
        <v>47</v>
      </c>
      <c r="J900" t="s">
        <v>2168</v>
      </c>
      <c r="P900">
        <v>1</v>
      </c>
      <c r="U900" t="s">
        <v>4017</v>
      </c>
      <c r="V900" t="str">
        <f t="shared" si="14"/>
        <v>{dwID=45786,nFrame=47,col={0,255,0,},[3]={bScreenHead=true,},[4]={},aFocus={{dwMapID=-1,nMaxDistance=6,tRelation={bAll=false,bEnemy=false,bAlly=true,},tLife={bEnable=false,szOperator="&gt;",nValue=0,},},},},</v>
      </c>
    </row>
    <row r="901" spans="1:22" x14ac:dyDescent="0.15">
      <c r="C901">
        <v>45790</v>
      </c>
      <c r="D901">
        <v>50</v>
      </c>
      <c r="J901" t="s">
        <v>2676</v>
      </c>
      <c r="P901">
        <v>1</v>
      </c>
      <c r="U901" t="s">
        <v>3759</v>
      </c>
      <c r="V901" t="str">
        <f t="shared" si="14"/>
        <v>{dwID=45790,nFrame=50,col={255,50,50,},[3]={bScreenHead=true,},[4]={},aFocus={{dwMapID=-1,nMaxDistance=30,tRelation={bAll=false,bEnemy=true,bAlly=false,},tLife={bEnable=false,szOperator="&gt;",nValue=0,},},},},</v>
      </c>
    </row>
    <row r="902" spans="1:22" x14ac:dyDescent="0.15">
      <c r="C902">
        <v>50268</v>
      </c>
      <c r="D902">
        <v>57</v>
      </c>
      <c r="J902" t="s">
        <v>2676</v>
      </c>
      <c r="P902">
        <v>1</v>
      </c>
      <c r="U902" t="s">
        <v>3644</v>
      </c>
      <c r="V902" t="str">
        <f t="shared" si="14"/>
        <v>{dwID=50268,nFrame=57,col={255,50,50,},[3]={bScreenHead=true,},[4]={},aFocus={{dwMapID=-1,nMaxDistance=0,tRelation={bAll=false,bEnemy=true,bAlly=false,},tLife={bEnable=false,szOperator="&gt;",nValue=0,},},},},</v>
      </c>
    </row>
    <row r="903" spans="1:22" x14ac:dyDescent="0.15">
      <c r="C903">
        <v>50131</v>
      </c>
      <c r="D903">
        <v>57</v>
      </c>
      <c r="J903" t="s">
        <v>2676</v>
      </c>
      <c r="P903">
        <v>1</v>
      </c>
      <c r="U903" t="s">
        <v>3644</v>
      </c>
      <c r="V903" t="str">
        <f t="shared" si="14"/>
        <v>{dwID=50131,nFrame=57,col={255,50,50,},[3]={bScreenHead=true,},[4]={},aFocus={{dwMapID=-1,nMaxDistance=0,tRelation={bAll=false,bEnemy=true,bAlly=false,},tLife={bEnable=false,szOperator="&gt;",nValue=0,},},},},</v>
      </c>
    </row>
    <row r="904" spans="1:22" x14ac:dyDescent="0.15">
      <c r="C904">
        <v>50129</v>
      </c>
      <c r="D904">
        <v>57</v>
      </c>
      <c r="J904" t="s">
        <v>2676</v>
      </c>
      <c r="P904">
        <v>1</v>
      </c>
      <c r="V904" t="str">
        <f t="shared" si="14"/>
        <v>{dwID=50129,nFrame=57,col={255,50,50,},[3]={bScreenHead=true,},[4]={},},</v>
      </c>
    </row>
    <row r="905" spans="1:22" x14ac:dyDescent="0.15">
      <c r="C905">
        <v>50203</v>
      </c>
      <c r="D905">
        <v>57</v>
      </c>
      <c r="U905" t="s">
        <v>4075</v>
      </c>
      <c r="V905" t="str">
        <f t="shared" si="14"/>
        <v>{dwID=50203,nFrame=57,[3]={},[4]={},aFocus={{dwMapID=-1,nMaxDistance=60,tRelation={bAll=false,bEnemy=true,bAlly=false,},tLife={bEnable=false,szOperator="&gt;",nValue=0,},},},},</v>
      </c>
    </row>
    <row r="906" spans="1:22" x14ac:dyDescent="0.15">
      <c r="C906">
        <v>50206</v>
      </c>
      <c r="D906">
        <v>57</v>
      </c>
      <c r="U906" t="s">
        <v>4075</v>
      </c>
      <c r="V906" t="str">
        <f t="shared" si="14"/>
        <v>{dwID=50206,nFrame=57,[3]={},[4]={},aFocus={{dwMapID=-1,nMaxDistance=60,tRelation={bAll=false,bEnemy=true,bAlly=false,},tLife={bEnable=false,szOperator="&gt;",nValue=0,},},},},</v>
      </c>
    </row>
    <row r="907" spans="1:22" x14ac:dyDescent="0.15">
      <c r="A907" t="s">
        <v>252</v>
      </c>
      <c r="B907">
        <v>214</v>
      </c>
      <c r="V907" t="str">
        <f t="shared" si="14"/>
        <v>},[214]={</v>
      </c>
    </row>
    <row r="908" spans="1:22" x14ac:dyDescent="0.15">
      <c r="C908">
        <v>47749</v>
      </c>
      <c r="D908">
        <v>47</v>
      </c>
      <c r="I908" t="s">
        <v>4228</v>
      </c>
      <c r="J908" t="s">
        <v>2168</v>
      </c>
      <c r="P908">
        <v>1</v>
      </c>
      <c r="U908" t="s">
        <v>4229</v>
      </c>
      <c r="V908" t="str">
        <f t="shared" si="14"/>
        <v>{dwID=47749,nFrame=47,szNote="阴山商路",col={0,255,0,},[3]={bScreenHead=true,},[4]={},aFocus={{dwMapID=-1,szDisplay="木博·阴山商路补货",nMaxDistance=20,tRelation={bAll=true,bEnemy=false,bAlly=false,},tLife={bEnable=false,szOperator="&gt;",nValue=0,},},},},</v>
      </c>
    </row>
    <row r="909" spans="1:22" x14ac:dyDescent="0.15">
      <c r="C909">
        <v>47859</v>
      </c>
      <c r="D909">
        <v>47</v>
      </c>
      <c r="I909" t="s">
        <v>4228</v>
      </c>
      <c r="U909" t="s">
        <v>4142</v>
      </c>
      <c r="V909" t="str">
        <f t="shared" si="14"/>
        <v>{dwID=47859,nFrame=47,szNote="阴山商路",[3]={},[4]={},aFocus={{dwMapID=-1,nMaxDistance=10,tRelation={bAll=false,bEnemy=true,bAlly=false,},tLife={bEnable=false,szOperator="&gt;",nValue=0,},},},},</v>
      </c>
    </row>
    <row r="910" spans="1:22" x14ac:dyDescent="0.15">
      <c r="C910">
        <v>47032</v>
      </c>
      <c r="D910">
        <v>47</v>
      </c>
      <c r="I910" t="s">
        <v>4228</v>
      </c>
      <c r="U910" t="s">
        <v>4142</v>
      </c>
      <c r="V910" t="str">
        <f t="shared" si="14"/>
        <v>{dwID=47032,nFrame=47,szNote="阴山商路",[3]={},[4]={},aFocus={{dwMapID=-1,nMaxDistance=10,tRelation={bAll=false,bEnemy=true,bAlly=false,},tLife={bEnable=false,szOperator="&gt;",nValue=0,},},},},</v>
      </c>
    </row>
    <row r="911" spans="1:22" x14ac:dyDescent="0.15">
      <c r="C911">
        <v>47408</v>
      </c>
      <c r="D911">
        <v>47</v>
      </c>
      <c r="I911" t="s">
        <v>4228</v>
      </c>
      <c r="J911" t="s">
        <v>2168</v>
      </c>
      <c r="O911">
        <v>1</v>
      </c>
      <c r="U911" t="s">
        <v>3623</v>
      </c>
      <c r="V911" t="str">
        <f t="shared" si="14"/>
        <v>{dwID=47408,nFrame=47,szNote="阴山商路",col={0,255,0,},[3]={bCenterAlarm=true,},[4]={},aFocus={{dwMapID=-1,nMaxDistance=0,tRelation={bAll=true,bEnemy=false,bAlly=false,},tLife={bEnable=false,szOperator="&gt;",nValue=0,},},},},</v>
      </c>
    </row>
    <row r="912" spans="1:22" x14ac:dyDescent="0.15">
      <c r="C912">
        <v>46331</v>
      </c>
      <c r="D912">
        <v>47</v>
      </c>
      <c r="I912" t="s">
        <v>4230</v>
      </c>
      <c r="J912" t="s">
        <v>2168</v>
      </c>
      <c r="P912">
        <v>1</v>
      </c>
      <c r="U912" t="s">
        <v>4231</v>
      </c>
      <c r="V912" t="str">
        <f t="shared" si="14"/>
        <v>{dwID=46331,nFrame=47,szNote="无遮会·声望",col={0,255,0,},[3]={bScreenHead=true,},[4]={},aFocus={{dwMapID=-1,szDisplay="无遮会·九邬碧玉",nMaxDistance=50,tRelation={bAll=true,bEnemy=false,bAlly=false,},tLife={bEnable=false,szOperator="&gt;",nValue=0,},},},},</v>
      </c>
    </row>
    <row r="913" spans="1:22" x14ac:dyDescent="0.15">
      <c r="C913">
        <v>45845</v>
      </c>
      <c r="D913">
        <v>47</v>
      </c>
      <c r="I913" t="s">
        <v>2551</v>
      </c>
      <c r="J913" t="s">
        <v>2676</v>
      </c>
      <c r="P913">
        <v>1</v>
      </c>
      <c r="U913" t="s">
        <v>3622</v>
      </c>
      <c r="V913" t="str">
        <f t="shared" si="14"/>
        <v>{dwID=45845,nFrame=47,szNote="五台山·无遮大会",col={255,50,50,},[3]={bScreenHead=true,},[4]={},aFocus={{dwMapID=-1,nMaxDistance=30,tRelation={bAll=true,bEnemy=false,bAlly=false,},tLife={bEnable=false,szOperator="&gt;",nValue=0,},},},},</v>
      </c>
    </row>
    <row r="914" spans="1:22" x14ac:dyDescent="0.15">
      <c r="C914">
        <v>45378</v>
      </c>
      <c r="D914">
        <v>47</v>
      </c>
      <c r="I914" t="s">
        <v>2551</v>
      </c>
      <c r="J914" t="s">
        <v>2168</v>
      </c>
      <c r="P914">
        <v>1</v>
      </c>
      <c r="U914" t="s">
        <v>4232</v>
      </c>
      <c r="V914" t="str">
        <f t="shared" si="14"/>
        <v>{dwID=45378,nFrame=47,szNote="五台山·无遮大会",col={0,255,0,},[3]={bScreenHead=true,},[4]={},aFocus={{dwMapID=-1,szDisplay="无神·运势",nMaxDistance=10,tRelation={bAll=true,bEnemy=false,bAlly=false,},tLife={bEnable=false,szOperator="&gt;",nValue=0,},},},},</v>
      </c>
    </row>
    <row r="915" spans="1:22" x14ac:dyDescent="0.15">
      <c r="C915">
        <v>45200</v>
      </c>
      <c r="D915">
        <v>47</v>
      </c>
      <c r="I915" t="s">
        <v>2551</v>
      </c>
      <c r="P915">
        <v>1</v>
      </c>
      <c r="U915" t="s">
        <v>4233</v>
      </c>
      <c r="V915" t="str">
        <f t="shared" si="14"/>
        <v>{dwID=45200,nFrame=47,szNote="五台山·无遮大会",[3]={bScreenHead=true,},[4]={},aFocus={{dwMapID=-1,szDisplay="僧人·移速",nMaxDistance=20,tRelation={bAll=true,bEnemy=false,bAlly=false,},tLife={bEnable=false,szOperator="&gt;",nValue=0,},},},},</v>
      </c>
    </row>
    <row r="916" spans="1:22" x14ac:dyDescent="0.15">
      <c r="C916">
        <v>45201</v>
      </c>
      <c r="D916">
        <v>47</v>
      </c>
      <c r="I916" t="s">
        <v>2551</v>
      </c>
      <c r="P916">
        <v>1</v>
      </c>
      <c r="U916" t="s">
        <v>4234</v>
      </c>
      <c r="V916" t="str">
        <f t="shared" si="14"/>
        <v>{dwID=45201,nFrame=47,szNote="五台山·无遮大会",[3]={bScreenHead=true,},[4]={},aFocus={{dwMapID=-1,szDisplay="僧人·调息",nMaxDistance=20,tRelation={bAll=true,bEnemy=false,bAlly=false,},tLife={bEnable=false,szOperator="&gt;",nValue=0,},},},},</v>
      </c>
    </row>
    <row r="917" spans="1:22" x14ac:dyDescent="0.15">
      <c r="C917">
        <v>45195</v>
      </c>
      <c r="D917">
        <v>47</v>
      </c>
      <c r="G917" t="s">
        <v>254</v>
      </c>
      <c r="I917" t="s">
        <v>2551</v>
      </c>
      <c r="J917" t="s">
        <v>2168</v>
      </c>
      <c r="U917" t="s">
        <v>4235</v>
      </c>
      <c r="V917" t="str">
        <f t="shared" si="14"/>
        <v>{dwID=45195,nFrame=47,szName="移速",szNote="五台山·无遮大会",col={0,255,0,},[3]={},[4]={},aFocus={{dwMapID=-1,szDisplay="移速",nMaxDistance=6,tRelation={bAll=true,bEnemy=false,bAlly=false,},tLife={bEnable=false,szOperator="&gt;",nValue=0,},},},},</v>
      </c>
    </row>
    <row r="918" spans="1:22" x14ac:dyDescent="0.15">
      <c r="C918">
        <v>45196</v>
      </c>
      <c r="D918">
        <v>47</v>
      </c>
      <c r="G918" t="s">
        <v>253</v>
      </c>
      <c r="I918" t="s">
        <v>2551</v>
      </c>
      <c r="J918" t="s">
        <v>2168</v>
      </c>
      <c r="U918" t="s">
        <v>4236</v>
      </c>
      <c r="V918" t="str">
        <f t="shared" si="14"/>
        <v>{dwID=45196,nFrame=47,szName="调息",szNote="五台山·无遮大会",col={0,255,0,},[3]={},[4]={},aFocus={{dwMapID=-1,szDisplay="调息",nMaxDistance=6,tRelation={bAll=true,bEnemy=false,bAlly=false,},tLife={bEnable=false,szOperator="&gt;",nValue=0,},},},},</v>
      </c>
    </row>
    <row r="919" spans="1:22" x14ac:dyDescent="0.15">
      <c r="A919" t="s">
        <v>848</v>
      </c>
      <c r="B919">
        <v>215</v>
      </c>
      <c r="V919" t="str">
        <f t="shared" si="14"/>
        <v>},[215]={</v>
      </c>
    </row>
    <row r="920" spans="1:22" x14ac:dyDescent="0.15">
      <c r="C920">
        <v>44933</v>
      </c>
      <c r="D920">
        <v>47</v>
      </c>
      <c r="I920" t="s">
        <v>4237</v>
      </c>
      <c r="J920" t="s">
        <v>2168</v>
      </c>
      <c r="P920">
        <v>1</v>
      </c>
      <c r="U920" t="s">
        <v>4238</v>
      </c>
      <c r="V920" t="str">
        <f t="shared" si="14"/>
        <v>{dwID=44933,nFrame=47,szNote="千岛湖·温泉战倭",col={0,255,0,},[3]={bScreenHead=true,},[4]={},aFocus={{dwMapID=-1,szDisplay="上交毛巾·25个",nMaxDistance=40,tRelation={bAll=true,bEnemy=false,bAlly=false,},tLife={bEnable=false,szOperator="&gt;",nValue=0,},},},},</v>
      </c>
    </row>
    <row r="921" spans="1:22" x14ac:dyDescent="0.15">
      <c r="C921">
        <v>45218</v>
      </c>
      <c r="D921">
        <v>57</v>
      </c>
      <c r="I921" t="s">
        <v>4237</v>
      </c>
      <c r="J921" t="s">
        <v>2676</v>
      </c>
      <c r="P921">
        <v>1</v>
      </c>
      <c r="U921" t="s">
        <v>4239</v>
      </c>
      <c r="V921" t="str">
        <f t="shared" si="14"/>
        <v>{dwID=45218,nFrame=57,szNote="千岛湖·温泉战倭",col={255,50,50,},[3]={bScreenHead=true,},[4]={},aFocus={{dwMapID=-1,szDisplay="小野次郎·80分",nMaxDistance=0,tRelation={bAll=false,bEnemy=true,bAlly=false,},tLife={bEnable=false,szOperator="&gt;",nValue=0,},},},},</v>
      </c>
    </row>
    <row r="922" spans="1:22" x14ac:dyDescent="0.15">
      <c r="C922">
        <v>45217</v>
      </c>
      <c r="D922">
        <v>57</v>
      </c>
      <c r="I922" t="s">
        <v>4237</v>
      </c>
      <c r="J922" t="s">
        <v>2676</v>
      </c>
      <c r="P922">
        <v>1</v>
      </c>
      <c r="U922" t="s">
        <v>4239</v>
      </c>
      <c r="V922" t="str">
        <f t="shared" si="14"/>
        <v>{dwID=45217,nFrame=57,szNote="千岛湖·温泉战倭",col={255,50,50,},[3]={bScreenHead=true,},[4]={},aFocus={{dwMapID=-1,szDisplay="小野次郎·80分",nMaxDistance=0,tRelation={bAll=false,bEnemy=true,bAlly=false,},tLife={bEnable=false,szOperator="&gt;",nValue=0,},},},},</v>
      </c>
    </row>
    <row r="923" spans="1:22" x14ac:dyDescent="0.15">
      <c r="C923">
        <v>51338</v>
      </c>
      <c r="D923">
        <v>47</v>
      </c>
      <c r="I923" t="s">
        <v>4240</v>
      </c>
      <c r="U923" t="s">
        <v>4241</v>
      </c>
      <c r="V923" t="str">
        <f t="shared" si="14"/>
        <v>{dwID=51338,nFrame=47,szNote="沉甸甸的箱子·石敢当",[3]={},[4]={},aFocus={{dwMapID=-1,szDisplay="沉甸甸的箱子·石敢当",nMaxDistance=20,tRelation={bAll=true,bEnemy=false,bAlly=false,},tLife={bEnable=false,szOperator="&gt;",nValue=0,},},},},</v>
      </c>
    </row>
    <row r="924" spans="1:22" x14ac:dyDescent="0.15">
      <c r="C924">
        <v>48057</v>
      </c>
      <c r="D924">
        <v>47</v>
      </c>
      <c r="I924" t="s">
        <v>4242</v>
      </c>
      <c r="J924" t="s">
        <v>2152</v>
      </c>
      <c r="P924">
        <v>1</v>
      </c>
      <c r="U924" t="s">
        <v>4243</v>
      </c>
      <c r="V924" t="str">
        <f t="shared" si="14"/>
        <v>{dwID=48057,nFrame=47,szNote="胜负局·航小婷",col={0,255,255,},[3]={bScreenHead=true,},[4]={},aFocus={{dwMapID=-1,szDisplay="航小婷·胜负局",nMaxDistance=30,tRelation={bAll=true,bEnemy=false,bAlly=false,},tLife={bEnable=false,szOperator="&gt;",nValue=0,},},},},</v>
      </c>
    </row>
    <row r="925" spans="1:22" x14ac:dyDescent="0.15">
      <c r="C925">
        <v>47064</v>
      </c>
      <c r="D925">
        <v>47</v>
      </c>
      <c r="I925" t="s">
        <v>4244</v>
      </c>
      <c r="U925" t="s">
        <v>4245</v>
      </c>
      <c r="V925" t="str">
        <f t="shared" si="14"/>
        <v>{dwID=47064,nFrame=47,szNote="胜负局·封博安",[3]={},[4]={},aFocus={{dwMapID=-1,szDisplay="封博安·胜负局",nMaxDistance=60,tRelation={bAll=true,bEnemy=false,bAlly=false,},tLife={bEnable=false,szOperator="&gt;",nValue=0,},},},},</v>
      </c>
    </row>
    <row r="926" spans="1:22" x14ac:dyDescent="0.15">
      <c r="C926">
        <v>48132</v>
      </c>
      <c r="D926">
        <v>60</v>
      </c>
      <c r="I926" t="s">
        <v>4246</v>
      </c>
      <c r="U926" t="s">
        <v>4247</v>
      </c>
      <c r="V926" t="str">
        <f t="shared" si="14"/>
        <v>{dwID=48132,nFrame=60,szNote="胜负局·棋局",[3]={},[4]={},aFocus={{dwMapID=-1,szDisplay="棋局·胜负局",nMaxDistance=6,tRelation={bAll=true,bEnemy=false,bAlly=false,},tLife={bEnable=false,szOperator="&gt;",nValue=0,},},},},</v>
      </c>
    </row>
    <row r="927" spans="1:22" x14ac:dyDescent="0.15">
      <c r="C927">
        <v>47066</v>
      </c>
      <c r="D927">
        <v>47</v>
      </c>
      <c r="I927" t="s">
        <v>4248</v>
      </c>
      <c r="U927" t="s">
        <v>4249</v>
      </c>
      <c r="V927" t="str">
        <f t="shared" si="14"/>
        <v>{dwID=47066,nFrame=47,szNote="胜负局·邢簿征",[3]={},[4]={},aFocus={{dwMapID=-1,szDisplay="邢簿征·胜负局",nMaxDistance=10,tRelation={bAll=true,bEnemy=false,bAlly=false,},tLife={bEnable=false,szOperator="&gt;",nValue=0,},},},},</v>
      </c>
    </row>
    <row r="928" spans="1:22" x14ac:dyDescent="0.15">
      <c r="C928">
        <v>47065</v>
      </c>
      <c r="D928">
        <v>47</v>
      </c>
      <c r="I928" t="s">
        <v>4250</v>
      </c>
      <c r="U928" t="s">
        <v>4251</v>
      </c>
      <c r="V928" t="str">
        <f t="shared" si="14"/>
        <v>{dwID=47065,nFrame=47,szNote="胜负局·云定风",[3]={},[4]={},aFocus={{dwMapID=-1,szDisplay="云定风·胜负局",nMaxDistance=60,tRelation={bAll=true,bEnemy=false,bAlly=false,},tLife={bEnable=false,szOperator="&gt;",nValue=0,},},},},</v>
      </c>
    </row>
    <row r="929" spans="1:23" x14ac:dyDescent="0.15">
      <c r="A929" t="s">
        <v>256</v>
      </c>
      <c r="B929">
        <v>216</v>
      </c>
      <c r="V929" t="str">
        <f t="shared" si="14"/>
        <v>},[216]={</v>
      </c>
    </row>
    <row r="930" spans="1:23" x14ac:dyDescent="0.15">
      <c r="C930">
        <v>45043</v>
      </c>
      <c r="D930">
        <v>47</v>
      </c>
      <c r="H930" t="s">
        <v>2721</v>
      </c>
      <c r="J930" t="s">
        <v>2676</v>
      </c>
      <c r="P930">
        <v>1</v>
      </c>
      <c r="U930" t="s">
        <v>3623</v>
      </c>
      <c r="V930" t="str">
        <f t="shared" si="14"/>
        <v>{dwID=45043,nFrame=47,tKungFu={["SKILL#10028"]=true,["SKILL#10080"]=true,["SKILL#10176"]=true,["SKILL#10448"]=true,["SKILL#10626"]=true,},col={255,50,50,},[3]={bScreenHead=true,},[4]={},aFocus={{dwMapID=-1,nMaxDistance=0,tRelation={bAll=true,bEnemy=false,bAlly=false,},tLife={bEnable=false,szOperator="&gt;",nValue=0,},},},tCountdown={{nClass=3,nIcon=3872,nFrame=5,szName="{$N45043}·记得切心法",nTime=10,},},},</v>
      </c>
      <c r="W930" t="s">
        <v>4215</v>
      </c>
    </row>
    <row r="931" spans="1:23" x14ac:dyDescent="0.15">
      <c r="C931">
        <v>46403</v>
      </c>
      <c r="D931">
        <v>47</v>
      </c>
      <c r="J931" t="s">
        <v>2152</v>
      </c>
      <c r="O931">
        <v>1</v>
      </c>
      <c r="P931">
        <v>1</v>
      </c>
      <c r="U931" t="s">
        <v>3623</v>
      </c>
      <c r="V931" t="str">
        <f t="shared" si="14"/>
        <v>{dwID=46403,nFrame=47,col={0,255,255,},[3]={bCenterAlarm=true,bScreenHead=true,},[4]={},aFocus={{dwMapID=-1,nMaxDistance=0,tRelation={bAll=true,bEnemy=false,bAlly=false,},tLife={bEnable=false,szOperator="&gt;",nValue=0,},},},},</v>
      </c>
    </row>
    <row r="932" spans="1:23" x14ac:dyDescent="0.15">
      <c r="C932">
        <v>45099</v>
      </c>
      <c r="D932">
        <v>47</v>
      </c>
      <c r="J932" t="s">
        <v>2168</v>
      </c>
      <c r="P932">
        <v>1</v>
      </c>
      <c r="V932" t="str">
        <f t="shared" si="14"/>
        <v>{dwID=45099,nFrame=47,col={0,255,0,},[3]={bScreenHead=true,},[4]={},},</v>
      </c>
    </row>
    <row r="933" spans="1:23" x14ac:dyDescent="0.15">
      <c r="C933">
        <v>45148</v>
      </c>
      <c r="D933">
        <v>47</v>
      </c>
      <c r="J933" t="s">
        <v>2168</v>
      </c>
      <c r="P933">
        <v>1</v>
      </c>
      <c r="U933" t="s">
        <v>3733</v>
      </c>
      <c r="V933" t="str">
        <f t="shared" si="14"/>
        <v>{dwID=45148,nFrame=47,col={0,255,0,},[3]={bScreenHead=true,},[4]={},aFocus={{dwMapID=-1,nMaxDistance=60,tRelation={bAll=true,bEnemy=false,bAlly=false,},tLife={bEnable=false,szOperator="&gt;",nValue=0,},},},},</v>
      </c>
    </row>
    <row r="934" spans="1:23" x14ac:dyDescent="0.15">
      <c r="C934">
        <v>45149</v>
      </c>
      <c r="D934">
        <v>47</v>
      </c>
      <c r="J934" t="s">
        <v>2168</v>
      </c>
      <c r="P934">
        <v>1</v>
      </c>
      <c r="U934" t="s">
        <v>3733</v>
      </c>
      <c r="V934" t="str">
        <f t="shared" si="14"/>
        <v>{dwID=45149,nFrame=47,col={0,255,0,},[3]={bScreenHead=true,},[4]={},aFocus={{dwMapID=-1,nMaxDistance=60,tRelation={bAll=true,bEnemy=false,bAlly=false,},tLife={bEnable=false,szOperator="&gt;",nValue=0,},},},},</v>
      </c>
    </row>
    <row r="935" spans="1:23" x14ac:dyDescent="0.15">
      <c r="C935">
        <v>45104</v>
      </c>
      <c r="D935">
        <v>47</v>
      </c>
      <c r="J935" t="s">
        <v>2168</v>
      </c>
      <c r="P935">
        <v>1</v>
      </c>
      <c r="U935" t="s">
        <v>3622</v>
      </c>
      <c r="V935" t="str">
        <f t="shared" si="14"/>
        <v>{dwID=45104,nFrame=47,col={0,255,0,},[3]={bScreenHead=true,},[4]={},aFocus={{dwMapID=-1,nMaxDistance=30,tRelation={bAll=true,bEnemy=false,bAlly=false,},tLife={bEnable=false,szOperator="&gt;",nValue=0,},},},},</v>
      </c>
    </row>
    <row r="936" spans="1:23" x14ac:dyDescent="0.15">
      <c r="C936">
        <v>45086</v>
      </c>
      <c r="D936">
        <v>47</v>
      </c>
      <c r="J936" t="s">
        <v>2168</v>
      </c>
      <c r="P936">
        <v>1</v>
      </c>
      <c r="U936" t="s">
        <v>3622</v>
      </c>
      <c r="V936" t="str">
        <f t="shared" si="14"/>
        <v>{dwID=45086,nFrame=47,col={0,255,0,},[3]={bScreenHead=true,},[4]={},aFocus={{dwMapID=-1,nMaxDistance=30,tRelation={bAll=true,bEnemy=false,bAlly=false,},tLife={bEnable=false,szOperator="&gt;",nValue=0,},},},},</v>
      </c>
    </row>
    <row r="937" spans="1:23" x14ac:dyDescent="0.15">
      <c r="C937">
        <v>69029</v>
      </c>
      <c r="D937">
        <v>47</v>
      </c>
      <c r="J937" t="s">
        <v>2168</v>
      </c>
      <c r="O937">
        <v>1</v>
      </c>
      <c r="P937">
        <v>1</v>
      </c>
      <c r="U937" t="s">
        <v>3623</v>
      </c>
      <c r="V937" t="str">
        <f t="shared" si="14"/>
        <v>{dwID=69029,nFrame=47,col={0,255,0,},[3]={bCenterAlarm=true,bScreenHead=true,},[4]={},aFocus={{dwMapID=-1,nMaxDistance=0,tRelation={bAll=true,bEnemy=false,bAlly=false,},tLife={bEnable=false,szOperator="&gt;",nValue=0,},},},},</v>
      </c>
    </row>
    <row r="938" spans="1:23" x14ac:dyDescent="0.15">
      <c r="C938">
        <v>69006</v>
      </c>
      <c r="D938">
        <v>47</v>
      </c>
      <c r="J938" t="s">
        <v>2168</v>
      </c>
      <c r="O938">
        <v>1</v>
      </c>
      <c r="P938">
        <v>1</v>
      </c>
      <c r="T938">
        <v>1</v>
      </c>
      <c r="U938" t="s">
        <v>3623</v>
      </c>
      <c r="V938" t="str">
        <f t="shared" si="14"/>
        <v>{dwID=69006,nFrame=47,col={0,255,0,},[3]={bCenterAlarm=true,bScreenHead=true,},[4]={bCenterAlarm=true,},aFocus={{dwMapID=-1,nMaxDistance=0,tRelation={bAll=true,bEnemy=false,bAlly=false,},tLife={bEnable=false,szOperator="&gt;",nValue=0,},},},},</v>
      </c>
    </row>
    <row r="939" spans="1:23" x14ac:dyDescent="0.15">
      <c r="C939">
        <v>69010</v>
      </c>
      <c r="D939">
        <v>47</v>
      </c>
      <c r="J939" t="s">
        <v>2168</v>
      </c>
      <c r="O939">
        <v>1</v>
      </c>
      <c r="P939">
        <v>1</v>
      </c>
      <c r="T939">
        <v>1</v>
      </c>
      <c r="U939" t="s">
        <v>3623</v>
      </c>
      <c r="V939" t="str">
        <f t="shared" si="14"/>
        <v>{dwID=69010,nFrame=47,col={0,255,0,},[3]={bCenterAlarm=true,bScreenHead=true,},[4]={bCenterAlarm=true,},aFocus={{dwMapID=-1,nMaxDistance=0,tRelation={bAll=true,bEnemy=false,bAlly=false,},tLife={bEnable=false,szOperator="&gt;",nValue=0,},},},},</v>
      </c>
    </row>
    <row r="940" spans="1:23" x14ac:dyDescent="0.15">
      <c r="C940">
        <v>69001</v>
      </c>
      <c r="D940">
        <v>47</v>
      </c>
      <c r="J940" t="s">
        <v>2168</v>
      </c>
      <c r="O940">
        <v>1</v>
      </c>
      <c r="P940">
        <v>1</v>
      </c>
      <c r="T940">
        <v>1</v>
      </c>
      <c r="U940" t="s">
        <v>3623</v>
      </c>
      <c r="V940" t="str">
        <f t="shared" si="14"/>
        <v>{dwID=69001,nFrame=47,col={0,255,0,},[3]={bCenterAlarm=true,bScreenHead=true,},[4]={bCenterAlarm=true,},aFocus={{dwMapID=-1,nMaxDistance=0,tRelation={bAll=true,bEnemy=false,bAlly=false,},tLife={bEnable=false,szOperator="&gt;",nValue=0,},},},},</v>
      </c>
    </row>
    <row r="941" spans="1:23" x14ac:dyDescent="0.15">
      <c r="C941">
        <v>69002</v>
      </c>
      <c r="D941">
        <v>47</v>
      </c>
      <c r="J941" t="s">
        <v>2168</v>
      </c>
      <c r="O941">
        <v>1</v>
      </c>
      <c r="P941">
        <v>1</v>
      </c>
      <c r="T941">
        <v>1</v>
      </c>
      <c r="U941" t="s">
        <v>3623</v>
      </c>
      <c r="V941" t="str">
        <f t="shared" si="14"/>
        <v>{dwID=69002,nFrame=47,col={0,255,0,},[3]={bCenterAlarm=true,bScreenHead=true,},[4]={bCenterAlarm=true,},aFocus={{dwMapID=-1,nMaxDistance=0,tRelation={bAll=true,bEnemy=false,bAlly=false,},tLife={bEnable=false,szOperator="&gt;",nValue=0,},},},},</v>
      </c>
    </row>
    <row r="942" spans="1:23" x14ac:dyDescent="0.15">
      <c r="C942">
        <v>68998</v>
      </c>
      <c r="D942">
        <v>47</v>
      </c>
      <c r="J942" t="s">
        <v>2168</v>
      </c>
      <c r="O942">
        <v>1</v>
      </c>
      <c r="P942">
        <v>1</v>
      </c>
      <c r="T942">
        <v>1</v>
      </c>
      <c r="U942" t="s">
        <v>3623</v>
      </c>
      <c r="V942" t="str">
        <f t="shared" si="14"/>
        <v>{dwID=68998,nFrame=47,col={0,255,0,},[3]={bCenterAlarm=true,bScreenHead=true,},[4]={bCenterAlarm=true,},aFocus={{dwMapID=-1,nMaxDistance=0,tRelation={bAll=true,bEnemy=false,bAlly=false,},tLife={bEnable=false,szOperator="&gt;",nValue=0,},},},},</v>
      </c>
    </row>
    <row r="943" spans="1:23" x14ac:dyDescent="0.15">
      <c r="C943">
        <v>68993</v>
      </c>
      <c r="D943">
        <v>47</v>
      </c>
      <c r="J943" t="s">
        <v>2168</v>
      </c>
      <c r="O943">
        <v>1</v>
      </c>
      <c r="P943">
        <v>1</v>
      </c>
      <c r="T943">
        <v>1</v>
      </c>
      <c r="U943" t="s">
        <v>3623</v>
      </c>
      <c r="V943" t="str">
        <f t="shared" si="14"/>
        <v>{dwID=68993,nFrame=47,col={0,255,0,},[3]={bCenterAlarm=true,bScreenHead=true,},[4]={bCenterAlarm=true,},aFocus={{dwMapID=-1,nMaxDistance=0,tRelation={bAll=true,bEnemy=false,bAlly=false,},tLife={bEnable=false,szOperator="&gt;",nValue=0,},},},},</v>
      </c>
    </row>
    <row r="944" spans="1:23" x14ac:dyDescent="0.15">
      <c r="C944">
        <v>69013</v>
      </c>
      <c r="D944">
        <v>47</v>
      </c>
      <c r="J944" t="s">
        <v>2168</v>
      </c>
      <c r="O944">
        <v>1</v>
      </c>
      <c r="P944">
        <v>1</v>
      </c>
      <c r="T944">
        <v>1</v>
      </c>
      <c r="U944" t="s">
        <v>3623</v>
      </c>
      <c r="V944" t="str">
        <f t="shared" si="14"/>
        <v>{dwID=69013,nFrame=47,col={0,255,0,},[3]={bCenterAlarm=true,bScreenHead=true,},[4]={bCenterAlarm=true,},aFocus={{dwMapID=-1,nMaxDistance=0,tRelation={bAll=true,bEnemy=false,bAlly=false,},tLife={bEnable=false,szOperator="&gt;",nValue=0,},},},},</v>
      </c>
    </row>
    <row r="945" spans="3:22" x14ac:dyDescent="0.15">
      <c r="C945">
        <v>69228</v>
      </c>
      <c r="D945">
        <v>47</v>
      </c>
      <c r="J945" t="s">
        <v>2168</v>
      </c>
      <c r="O945">
        <v>1</v>
      </c>
      <c r="P945">
        <v>1</v>
      </c>
      <c r="T945">
        <v>1</v>
      </c>
      <c r="U945" t="s">
        <v>3623</v>
      </c>
      <c r="V945" t="str">
        <f t="shared" si="14"/>
        <v>{dwID=69228,nFrame=47,col={0,255,0,},[3]={bCenterAlarm=true,bScreenHead=true,},[4]={bCenterAlarm=true,},aFocus={{dwMapID=-1,nMaxDistance=0,tRelation={bAll=true,bEnemy=false,bAlly=false,},tLife={bEnable=false,szOperator="&gt;",nValue=0,},},},},</v>
      </c>
    </row>
    <row r="946" spans="3:22" x14ac:dyDescent="0.15">
      <c r="C946">
        <v>45044</v>
      </c>
      <c r="D946">
        <v>50</v>
      </c>
      <c r="J946" t="s">
        <v>2676</v>
      </c>
      <c r="P946">
        <v>1</v>
      </c>
      <c r="U946" t="s">
        <v>3794</v>
      </c>
      <c r="V946" t="str">
        <f t="shared" si="14"/>
        <v>{dwID=45044,nFrame=50,col={255,50,50,},[3]={bScreenHead=true,},[4]={},aFocus={{dwMapID=-1,nMaxDistance=20,tRelation={bAll=false,bEnemy=true,bAlly=false,},tLife={bEnable=false,szOperator="&gt;",nValue=0,},},},},</v>
      </c>
    </row>
    <row r="947" spans="3:22" x14ac:dyDescent="0.15">
      <c r="C947">
        <v>46398</v>
      </c>
      <c r="D947">
        <v>47</v>
      </c>
      <c r="P947">
        <v>1</v>
      </c>
      <c r="V947" t="str">
        <f t="shared" si="14"/>
        <v>{dwID=46398,nFrame=47,[3]={bScreenHead=true,},[4]={},},</v>
      </c>
    </row>
    <row r="948" spans="3:22" x14ac:dyDescent="0.15">
      <c r="C948">
        <v>44877</v>
      </c>
      <c r="D948">
        <v>47</v>
      </c>
      <c r="P948">
        <v>1</v>
      </c>
      <c r="U948" t="s">
        <v>3794</v>
      </c>
      <c r="V948" t="str">
        <f t="shared" si="14"/>
        <v>{dwID=44877,nFrame=47,[3]={bScreenHead=true,},[4]={},aFocus={{dwMapID=-1,nMaxDistance=20,tRelation={bAll=false,bEnemy=true,bAlly=false,},tLife={bEnable=false,szOperator="&gt;",nValue=0,},},},},</v>
      </c>
    </row>
    <row r="949" spans="3:22" x14ac:dyDescent="0.15">
      <c r="C949">
        <v>123946</v>
      </c>
      <c r="D949">
        <v>47</v>
      </c>
      <c r="J949" t="s">
        <v>2168</v>
      </c>
      <c r="K949" t="s">
        <v>3668</v>
      </c>
      <c r="O949">
        <v>1</v>
      </c>
      <c r="P949">
        <v>1</v>
      </c>
      <c r="U949" t="s">
        <v>3669</v>
      </c>
      <c r="V949" t="str">
        <f t="shared" si="14"/>
        <v>{dwID=123946,nFrame=47,col={0,255,0,},[3]={tMark={true,false,false,false,false,false,false,false,false,false,},bCenterAlarm=true,bScreenHead=true,},[4]={},aFocus={{dwMapID=-1,nMaxDistance=120,tRelation={bAll=false,bEnemy=false,bAlly=true,},tLife={bEnable=false,szOperator="&gt;",nValue=0,},},},},</v>
      </c>
    </row>
    <row r="950" spans="3:22" x14ac:dyDescent="0.15">
      <c r="C950">
        <v>69162</v>
      </c>
      <c r="D950">
        <v>47</v>
      </c>
      <c r="P950">
        <v>1</v>
      </c>
      <c r="V950" t="str">
        <f t="shared" si="14"/>
        <v>{dwID=69162,nFrame=47,[3]={bScreenHead=true,},[4]={},},</v>
      </c>
    </row>
    <row r="951" spans="3:22" x14ac:dyDescent="0.15">
      <c r="C951">
        <v>69163</v>
      </c>
      <c r="D951">
        <v>47</v>
      </c>
      <c r="I951" t="s">
        <v>4252</v>
      </c>
      <c r="P951">
        <v>1</v>
      </c>
      <c r="U951" t="s">
        <v>4253</v>
      </c>
      <c r="V951" t="str">
        <f t="shared" si="14"/>
        <v>{dwID=69163,nFrame=47,szNote="石林马场·捐马",[3]={bScreenHead=true,},[4]={},aFocus={{dwMapID=-1,szDisplay="石林马场·捐马",nMaxDistance=20,tRelation={bAll=true,bEnemy=false,bAlly=false,},tLife={bEnable=false,szOperator="&gt;",nValue=0,},},},},</v>
      </c>
    </row>
    <row r="952" spans="3:22" x14ac:dyDescent="0.15">
      <c r="C952">
        <v>60182</v>
      </c>
      <c r="D952">
        <v>47</v>
      </c>
      <c r="I952" t="s">
        <v>3760</v>
      </c>
      <c r="J952" t="s">
        <v>2168</v>
      </c>
      <c r="P952">
        <v>1</v>
      </c>
      <c r="U952" t="s">
        <v>3761</v>
      </c>
      <c r="V952" t="str">
        <f t="shared" si="14"/>
        <v>{dwID=60182,nFrame=47,szNote="雪雪·旅行",col={0,255,0,},[3]={bScreenHead=true,},[4]={},aFocus={{dwMapID=-1,nMaxDistance=240,tRelation={bAll=true,bEnemy=false,bAlly=false,},tLife={bEnable=false,szOperator="&gt;",nValue=0,},},},},</v>
      </c>
    </row>
    <row r="953" spans="3:22" x14ac:dyDescent="0.15">
      <c r="C953">
        <v>45147</v>
      </c>
      <c r="D953">
        <v>47</v>
      </c>
      <c r="U953" t="s">
        <v>4254</v>
      </c>
      <c r="V953" t="str">
        <f t="shared" si="14"/>
        <v>{dwID=45147,nFrame=47,[3]={},[4]={},aFocus={{dwMapID=-1,szDisplay="交金刀·面纱",nMaxDistance=40,tRelation={bAll=true,bEnemy=false,bAlly=false,},tLife={bEnable=false,szOperator="&gt;",nValue=0,},},},},</v>
      </c>
    </row>
    <row r="954" spans="3:22" x14ac:dyDescent="0.15">
      <c r="C954">
        <v>45101</v>
      </c>
      <c r="D954">
        <v>47</v>
      </c>
      <c r="I954" t="s">
        <v>4255</v>
      </c>
      <c r="U954" t="s">
        <v>4256</v>
      </c>
      <c r="V954" t="str">
        <f t="shared" si="14"/>
        <v>{dwID=45101,nFrame=47,szNote="10分",[3]={},[4]={},aFocus={{dwMapID=-1,szDisplay="交烤羊腿",nMaxDistance=40,tRelation={bAll=true,bEnemy=false,bAlly=false,},tLife={bEnable=false,szOperator="&gt;",nValue=0,},},},},</v>
      </c>
    </row>
    <row r="955" spans="3:22" x14ac:dyDescent="0.15">
      <c r="C955">
        <v>69166</v>
      </c>
      <c r="D955">
        <v>47</v>
      </c>
      <c r="I955" t="s">
        <v>4257</v>
      </c>
      <c r="J955" t="s">
        <v>2168</v>
      </c>
      <c r="P955">
        <v>1</v>
      </c>
      <c r="U955" t="s">
        <v>4258</v>
      </c>
      <c r="V955" t="str">
        <f t="shared" si="14"/>
        <v>{dwID=69166,nFrame=47,szNote="阴山大草原放牧·小小",col={0,255,0,},[3]={bScreenHead=true,},[4]={},aFocus={{dwMapID=-1,szDisplay="小小·放牧",nMaxDistance=10,tRelation={bAll=true,bEnemy=false,bAlly=false,},tLife={bEnable=false,szOperator="&gt;",nValue=0,},},},},</v>
      </c>
    </row>
    <row r="956" spans="3:22" x14ac:dyDescent="0.15">
      <c r="C956">
        <v>123840</v>
      </c>
      <c r="D956">
        <v>52</v>
      </c>
      <c r="I956" t="s">
        <v>4259</v>
      </c>
      <c r="J956" t="s">
        <v>2168</v>
      </c>
      <c r="O956">
        <v>1</v>
      </c>
      <c r="P956">
        <v>1</v>
      </c>
      <c r="U956" t="s">
        <v>4260</v>
      </c>
      <c r="V956" t="str">
        <f t="shared" si="14"/>
        <v>{dwID=123840,nFrame=52,szNote="大旗·云台营",col={0,255,0,},[3]={bCenterAlarm=true,bScreenHead=true,},[4]={},aFocus={{dwMapID=-1,szDisplay="大旗·云台营",nMaxDistance=20,tRelation={bAll=true,bEnemy=false,bAlly=false,},tLife={bEnable=false,szOperator="&gt;",nValue=0,},},},},</v>
      </c>
    </row>
    <row r="957" spans="3:22" x14ac:dyDescent="0.15">
      <c r="C957">
        <v>123841</v>
      </c>
      <c r="D957">
        <v>52</v>
      </c>
      <c r="I957" t="s">
        <v>4261</v>
      </c>
      <c r="J957" t="s">
        <v>2168</v>
      </c>
      <c r="O957">
        <v>1</v>
      </c>
      <c r="P957">
        <v>1</v>
      </c>
      <c r="U957" t="s">
        <v>4262</v>
      </c>
      <c r="V957" t="str">
        <f t="shared" si="14"/>
        <v>{dwID=123841,nFrame=52,szNote="大旗·高阳营",col={0,255,0,},[3]={bCenterAlarm=true,bScreenHead=true,},[4]={},aFocus={{dwMapID=-1,szDisplay="大旗·高阳营",nMaxDistance=20,tRelation={bAll=true,bEnemy=false,bAlly=false,},tLife={bEnable=false,szOperator="&gt;",nValue=0,},},},},</v>
      </c>
    </row>
    <row r="958" spans="3:22" x14ac:dyDescent="0.15">
      <c r="C958">
        <v>101011</v>
      </c>
      <c r="D958">
        <v>47</v>
      </c>
      <c r="I958" t="s">
        <v>4263</v>
      </c>
      <c r="J958" t="s">
        <v>3614</v>
      </c>
      <c r="P958">
        <v>1</v>
      </c>
      <c r="U958" t="s">
        <v>4264</v>
      </c>
      <c r="V958" t="str">
        <f t="shared" si="14"/>
        <v>{dwID=101011,nFrame=47,szNote="烽烟再起·蒋征南",col={100,255,255,},[3]={bScreenHead=true,},[4]={},aFocus={{dwMapID=-1,szDisplay="蒋征南·烽烟再起",nMaxDistance=10,tRelation={bAll=false,bEnemy=false,bAlly=true,},tLife={bEnable=false,szOperator="&gt;",nValue=0,},},},},</v>
      </c>
    </row>
    <row r="959" spans="3:22" x14ac:dyDescent="0.15">
      <c r="C959">
        <v>101012</v>
      </c>
      <c r="D959">
        <v>47</v>
      </c>
      <c r="I959" t="s">
        <v>4265</v>
      </c>
      <c r="J959" t="s">
        <v>2718</v>
      </c>
      <c r="P959">
        <v>1</v>
      </c>
      <c r="U959" t="s">
        <v>4266</v>
      </c>
      <c r="V959" t="str">
        <f t="shared" si="14"/>
        <v>{dwID=101012,nFrame=47,szNote="烽烟再起·郭戈",col={255,255,100,},[3]={bScreenHead=true,},[4]={},aFocus={{dwMapID=-1,szDisplay="郭戈·烽烟再起",nMaxDistance=10,tRelation={bAll=false,bEnemy=false,bAlly=true,},tLife={bEnable=false,szOperator="&gt;",nValue=0,},},},},</v>
      </c>
    </row>
    <row r="960" spans="3:22" x14ac:dyDescent="0.15">
      <c r="C960">
        <v>47859</v>
      </c>
      <c r="D960">
        <v>47</v>
      </c>
      <c r="I960" t="s">
        <v>4228</v>
      </c>
      <c r="U960" t="s">
        <v>4142</v>
      </c>
      <c r="V960" t="str">
        <f t="shared" si="14"/>
        <v>{dwID=47859,nFrame=47,szNote="阴山商路",[3]={},[4]={},aFocus={{dwMapID=-1,nMaxDistance=10,tRelation={bAll=false,bEnemy=true,bAlly=false,},tLife={bEnable=false,szOperator="&gt;",nValue=0,},},},},</v>
      </c>
    </row>
    <row r="961" spans="3:22" x14ac:dyDescent="0.15">
      <c r="C961">
        <v>47032</v>
      </c>
      <c r="D961">
        <v>47</v>
      </c>
      <c r="I961" t="s">
        <v>4228</v>
      </c>
      <c r="U961" t="s">
        <v>4142</v>
      </c>
      <c r="V961" t="str">
        <f t="shared" si="14"/>
        <v>{dwID=47032,nFrame=47,szNote="阴山商路",[3]={},[4]={},aFocus={{dwMapID=-1,nMaxDistance=10,tRelation={bAll=false,bEnemy=true,bAlly=false,},tLife={bEnable=false,szOperator="&gt;",nValue=0,},},},},</v>
      </c>
    </row>
    <row r="962" spans="3:22" x14ac:dyDescent="0.15">
      <c r="C962">
        <v>47408</v>
      </c>
      <c r="D962">
        <v>47</v>
      </c>
      <c r="I962" t="s">
        <v>4228</v>
      </c>
      <c r="J962" t="s">
        <v>2168</v>
      </c>
      <c r="O962">
        <v>1</v>
      </c>
      <c r="U962" t="s">
        <v>3623</v>
      </c>
      <c r="V962" t="str">
        <f t="shared" ref="V962:V1025" si="15">IF(ISBLANK(B962)=FALSE,IF(ISBLANK(B961),"},["&amp;B962&amp;"]={","["&amp;B962&amp;"]={"),IF(AND(ISBLANK(B962),ISBLANK(D962),ISBLANK(C962),OR(ISBLANK(B961)=FALSE,ISBLANK(D961)=FALSE,ISBLANK(C961)=FALSE)),"},},}",IF(ISBLANK(C962),"","{dwID="&amp;C962&amp;","&amp;"nFrame="&amp;D962&amp;","&amp;IF(E962&gt;0,"nCount="&amp;E962&amp;",","")&amp;IF(F962&gt;0,"bAllLeave=true,","")&amp;IF(G962&lt;&gt;"","szName="""&amp;G962&amp;""",","")&amp;IF(H962&lt;&gt;"","tKungFu={"&amp;H962&amp;"},","")&amp;IF(I962&lt;&gt;"","szNote="""&amp;I962&amp;""",","")&amp;IF(J962&lt;&gt;"","col={"&amp;J962&amp;"},","")&amp;"[3]={"&amp;IF(K962&lt;&gt;"","tMark={"&amp;K962&amp;"},","")&amp;IF(L962&lt;&gt;"","szVoice="""&amp;L962&amp;""",","")&amp;IF(M962&gt;0,"bTeamChannel=true,","")&amp;IF(N962&gt;0,"bWhisperChannel=true,","")&amp;IF(O962&gt;0,"bCenterAlarm=true,","")&amp;IF(P962&gt;0,"bScreenHead=true,","")&amp;"},"&amp;"[4]={"&amp;IF(Q962&lt;&gt;"","szVoice="""&amp;Q962&amp;""",","")&amp;IF(R962&gt;0,"bTeamChannel=true,","")&amp;IF(S962&gt;0,"bWhisperChannel=true,","")&amp;IF(T962&gt;0,"bCenterAlarm=true,","")&amp;"},"&amp;IF(U962&lt;&gt;"","aFocus={"&amp;U962&amp;"},","")&amp;IF(W962&lt;&gt;"","tCountdown={"&amp;_xlfn.TEXTJOIN("",TRUE,W962:ZZ962)&amp;"},","")&amp;"},")))</f>
        <v>{dwID=47408,nFrame=47,szNote="阴山商路",col={0,255,0,},[3]={bCenterAlarm=true,},[4]={},aFocus={{dwMapID=-1,nMaxDistance=0,tRelation={bAll=true,bEnemy=false,bAlly=false,},tLife={bEnable=false,szOperator="&gt;",nValue=0,},},},},</v>
      </c>
    </row>
    <row r="963" spans="3:22" x14ac:dyDescent="0.15">
      <c r="C963">
        <v>47888</v>
      </c>
      <c r="D963">
        <v>47</v>
      </c>
      <c r="I963" t="s">
        <v>4228</v>
      </c>
      <c r="J963" t="s">
        <v>2168</v>
      </c>
      <c r="P963">
        <v>1</v>
      </c>
      <c r="U963" t="s">
        <v>4267</v>
      </c>
      <c r="V963" t="str">
        <f t="shared" si="15"/>
        <v>{dwID=47888,nFrame=47,szNote="阴山商路",col={0,255,0,},[3]={bScreenHead=true,},[4]={},aFocus={{dwMapID=-1,szDisplay="夏洛特·阴山商路补货",nMaxDistance=20,tRelation={bAll=true,bEnemy=false,bAlly=false,},tLife={bEnable=false,szOperator="&gt;",nValue=0,},},},},</v>
      </c>
    </row>
    <row r="964" spans="3:22" x14ac:dyDescent="0.15">
      <c r="C964">
        <v>56526</v>
      </c>
      <c r="D964">
        <v>52</v>
      </c>
      <c r="I964" t="s">
        <v>3927</v>
      </c>
      <c r="P964">
        <v>1</v>
      </c>
      <c r="U964" t="s">
        <v>4268</v>
      </c>
      <c r="V964" t="str">
        <f t="shared" si="15"/>
        <v>{dwID=56526,nFrame=52,szNote="浩气牛车",[3]={bScreenHead=true,},[4]={},aFocus={{dwMapID=-1,nMaxDistance=40,tRelation={bAll=true,bEnemy=false,bAlly=false,},tLife={bEnable=false,szOperator="&gt;",nValue=0,},},},},</v>
      </c>
    </row>
    <row r="965" spans="3:22" x14ac:dyDescent="0.15">
      <c r="C965">
        <v>56527</v>
      </c>
      <c r="D965">
        <v>52</v>
      </c>
      <c r="I965" t="s">
        <v>3929</v>
      </c>
      <c r="P965">
        <v>1</v>
      </c>
      <c r="U965" t="s">
        <v>4268</v>
      </c>
      <c r="V965" t="str">
        <f t="shared" si="15"/>
        <v>{dwID=56527,nFrame=52,szNote="恶人牛车",[3]={bScreenHead=true,},[4]={},aFocus={{dwMapID=-1,nMaxDistance=40,tRelation={bAll=true,bEnemy=false,bAlly=false,},tLife={bEnable=false,szOperator="&gt;",nValue=0,},},},},</v>
      </c>
    </row>
    <row r="966" spans="3:22" x14ac:dyDescent="0.15">
      <c r="C966">
        <v>123976</v>
      </c>
      <c r="D966">
        <v>47</v>
      </c>
      <c r="I966" t="s">
        <v>4269</v>
      </c>
      <c r="P966">
        <v>1</v>
      </c>
      <c r="U966" t="s">
        <v>3648</v>
      </c>
      <c r="V966" t="str">
        <f t="shared" si="15"/>
        <v>{dwID=123976,nFrame=47,szNote="恶人谷大将",[3]={bScreenHead=true,},[4]={},aFocus={{dwMapID=-1,nMaxDistance=60,tRelation={bAll=false,bEnemy=true,bAlly=false,},tLife={bEnable=false,szOperator="&gt;",nValue=0,},},{dwMapID=-1,nMaxDistance=30,tRelation={bAll=false,bEnemy=false,bAlly=true,},tLife={bEnable=true,szOperator="&lt;",nValue=100,},},},},</v>
      </c>
    </row>
    <row r="967" spans="3:22" x14ac:dyDescent="0.15">
      <c r="C967">
        <v>123975</v>
      </c>
      <c r="D967">
        <v>47</v>
      </c>
      <c r="I967" t="s">
        <v>4270</v>
      </c>
      <c r="P967">
        <v>1</v>
      </c>
      <c r="U967" t="s">
        <v>3648</v>
      </c>
      <c r="V967" t="str">
        <f t="shared" si="15"/>
        <v>{dwID=123975,nFrame=47,szNote="浩气盟大将",[3]={bScreenHead=true,},[4]={},aFocus={{dwMapID=-1,nMaxDistance=60,tRelation={bAll=false,bEnemy=true,bAlly=false,},tLife={bEnable=false,szOperator="&gt;",nValue=0,},},{dwMapID=-1,nMaxDistance=30,tRelation={bAll=false,bEnemy=false,bAlly=true,},tLife={bEnable=true,szOperator="&lt;",nValue=100,},},},},</v>
      </c>
    </row>
    <row r="968" spans="3:22" x14ac:dyDescent="0.15">
      <c r="C968">
        <v>124280</v>
      </c>
      <c r="D968">
        <v>52</v>
      </c>
      <c r="I968" t="s">
        <v>256</v>
      </c>
      <c r="U968" t="s">
        <v>3689</v>
      </c>
      <c r="V968" t="str">
        <f t="shared" si="15"/>
        <v>{dwID=124280,nFrame=52,szNote="阴山大草原",[3]={},[4]={},aFocus={{dwMapID=-1,nMaxDistance=0,tRelation={bAll=false,bEnemy=true,bAlly=false,},tLife={bEnable=true,szOperator="&gt;=",nValue=10,},},},},</v>
      </c>
    </row>
    <row r="969" spans="3:22" x14ac:dyDescent="0.15">
      <c r="C969">
        <v>124281</v>
      </c>
      <c r="D969">
        <v>52</v>
      </c>
      <c r="I969" t="s">
        <v>256</v>
      </c>
      <c r="U969" t="s">
        <v>3689</v>
      </c>
      <c r="V969" t="str">
        <f t="shared" si="15"/>
        <v>{dwID=124281,nFrame=52,szNote="阴山大草原",[3]={},[4]={},aFocus={{dwMapID=-1,nMaxDistance=0,tRelation={bAll=false,bEnemy=true,bAlly=false,},tLife={bEnable=true,szOperator="&gt;=",nValue=10,},},},},</v>
      </c>
    </row>
    <row r="970" spans="3:22" x14ac:dyDescent="0.15">
      <c r="C970">
        <v>124290</v>
      </c>
      <c r="D970">
        <v>52</v>
      </c>
      <c r="I970" t="s">
        <v>256</v>
      </c>
      <c r="U970" t="s">
        <v>3689</v>
      </c>
      <c r="V970" t="str">
        <f t="shared" si="15"/>
        <v>{dwID=124290,nFrame=52,szNote="阴山大草原",[3]={},[4]={},aFocus={{dwMapID=-1,nMaxDistance=0,tRelation={bAll=false,bEnemy=true,bAlly=false,},tLife={bEnable=true,szOperator="&gt;=",nValue=10,},},},},</v>
      </c>
    </row>
    <row r="971" spans="3:22" x14ac:dyDescent="0.15">
      <c r="C971">
        <v>124291</v>
      </c>
      <c r="D971">
        <v>52</v>
      </c>
      <c r="I971" t="s">
        <v>256</v>
      </c>
      <c r="U971" t="s">
        <v>3689</v>
      </c>
      <c r="V971" t="str">
        <f t="shared" si="15"/>
        <v>{dwID=124291,nFrame=52,szNote="阴山大草原",[3]={},[4]={},aFocus={{dwMapID=-1,nMaxDistance=0,tRelation={bAll=false,bEnemy=true,bAlly=false,},tLife={bEnable=true,szOperator="&gt;=",nValue=10,},},},},</v>
      </c>
    </row>
    <row r="972" spans="3:22" x14ac:dyDescent="0.15">
      <c r="C972">
        <v>124109</v>
      </c>
      <c r="D972">
        <v>52</v>
      </c>
      <c r="I972" t="s">
        <v>256</v>
      </c>
      <c r="U972" t="s">
        <v>3689</v>
      </c>
      <c r="V972" t="str">
        <f t="shared" si="15"/>
        <v>{dwID=124109,nFrame=52,szNote="阴山大草原",[3]={},[4]={},aFocus={{dwMapID=-1,nMaxDistance=0,tRelation={bAll=false,bEnemy=true,bAlly=false,},tLife={bEnable=true,szOperator="&gt;=",nValue=10,},},},},</v>
      </c>
    </row>
    <row r="973" spans="3:22" x14ac:dyDescent="0.15">
      <c r="C973">
        <v>124110</v>
      </c>
      <c r="D973">
        <v>52</v>
      </c>
      <c r="I973" t="s">
        <v>256</v>
      </c>
      <c r="U973" t="s">
        <v>3689</v>
      </c>
      <c r="V973" t="str">
        <f t="shared" si="15"/>
        <v>{dwID=124110,nFrame=52,szNote="阴山大草原",[3]={},[4]={},aFocus={{dwMapID=-1,nMaxDistance=0,tRelation={bAll=false,bEnemy=true,bAlly=false,},tLife={bEnable=true,szOperator="&gt;=",nValue=10,},},},},</v>
      </c>
    </row>
    <row r="974" spans="3:22" x14ac:dyDescent="0.15">
      <c r="C974">
        <v>124111</v>
      </c>
      <c r="D974">
        <v>52</v>
      </c>
      <c r="I974" t="s">
        <v>256</v>
      </c>
      <c r="U974" t="s">
        <v>3689</v>
      </c>
      <c r="V974" t="str">
        <f t="shared" si="15"/>
        <v>{dwID=124111,nFrame=52,szNote="阴山大草原",[3]={},[4]={},aFocus={{dwMapID=-1,nMaxDistance=0,tRelation={bAll=false,bEnemy=true,bAlly=false,},tLife={bEnable=true,szOperator="&gt;=",nValue=10,},},},},</v>
      </c>
    </row>
    <row r="975" spans="3:22" x14ac:dyDescent="0.15">
      <c r="C975">
        <v>124112</v>
      </c>
      <c r="D975">
        <v>52</v>
      </c>
      <c r="I975" t="s">
        <v>256</v>
      </c>
      <c r="U975" t="s">
        <v>3689</v>
      </c>
      <c r="V975" t="str">
        <f t="shared" si="15"/>
        <v>{dwID=124112,nFrame=52,szNote="阴山大草原",[3]={},[4]={},aFocus={{dwMapID=-1,nMaxDistance=0,tRelation={bAll=false,bEnemy=true,bAlly=false,},tLife={bEnable=true,szOperator="&gt;=",nValue=10,},},},},</v>
      </c>
    </row>
    <row r="976" spans="3:22" x14ac:dyDescent="0.15">
      <c r="C976">
        <v>124113</v>
      </c>
      <c r="D976">
        <v>52</v>
      </c>
      <c r="I976" t="s">
        <v>256</v>
      </c>
      <c r="U976" t="s">
        <v>3689</v>
      </c>
      <c r="V976" t="str">
        <f t="shared" si="15"/>
        <v>{dwID=124113,nFrame=52,szNote="阴山大草原",[3]={},[4]={},aFocus={{dwMapID=-1,nMaxDistance=0,tRelation={bAll=false,bEnemy=true,bAlly=false,},tLife={bEnable=true,szOperator="&gt;=",nValue=10,},},},},</v>
      </c>
    </row>
    <row r="977" spans="3:22" x14ac:dyDescent="0.15">
      <c r="C977">
        <v>124114</v>
      </c>
      <c r="D977">
        <v>52</v>
      </c>
      <c r="I977" t="s">
        <v>256</v>
      </c>
      <c r="U977" t="s">
        <v>3689</v>
      </c>
      <c r="V977" t="str">
        <f t="shared" si="15"/>
        <v>{dwID=124114,nFrame=52,szNote="阴山大草原",[3]={},[4]={},aFocus={{dwMapID=-1,nMaxDistance=0,tRelation={bAll=false,bEnemy=true,bAlly=false,},tLife={bEnable=true,szOperator="&gt;=",nValue=10,},},},},</v>
      </c>
    </row>
    <row r="978" spans="3:22" x14ac:dyDescent="0.15">
      <c r="C978">
        <v>124115</v>
      </c>
      <c r="D978">
        <v>52</v>
      </c>
      <c r="I978" t="s">
        <v>256</v>
      </c>
      <c r="U978" t="s">
        <v>3689</v>
      </c>
      <c r="V978" t="str">
        <f t="shared" si="15"/>
        <v>{dwID=124115,nFrame=52,szNote="阴山大草原",[3]={},[4]={},aFocus={{dwMapID=-1,nMaxDistance=0,tRelation={bAll=false,bEnemy=true,bAlly=false,},tLife={bEnable=true,szOperator="&gt;=",nValue=10,},},},},</v>
      </c>
    </row>
    <row r="979" spans="3:22" x14ac:dyDescent="0.15">
      <c r="C979">
        <v>124116</v>
      </c>
      <c r="D979">
        <v>52</v>
      </c>
      <c r="I979" t="s">
        <v>256</v>
      </c>
      <c r="U979" t="s">
        <v>3689</v>
      </c>
      <c r="V979" t="str">
        <f t="shared" si="15"/>
        <v>{dwID=124116,nFrame=52,szNote="阴山大草原",[3]={},[4]={},aFocus={{dwMapID=-1,nMaxDistance=0,tRelation={bAll=false,bEnemy=true,bAlly=false,},tLife={bEnable=true,szOperator="&gt;=",nValue=10,},},},},</v>
      </c>
    </row>
    <row r="980" spans="3:22" x14ac:dyDescent="0.15">
      <c r="C980">
        <v>124117</v>
      </c>
      <c r="D980">
        <v>52</v>
      </c>
      <c r="I980" t="s">
        <v>256</v>
      </c>
      <c r="U980" t="s">
        <v>3689</v>
      </c>
      <c r="V980" t="str">
        <f t="shared" si="15"/>
        <v>{dwID=124117,nFrame=52,szNote="阴山大草原",[3]={},[4]={},aFocus={{dwMapID=-1,nMaxDistance=0,tRelation={bAll=false,bEnemy=true,bAlly=false,},tLife={bEnable=true,szOperator="&gt;=",nValue=10,},},},},</v>
      </c>
    </row>
    <row r="981" spans="3:22" x14ac:dyDescent="0.15">
      <c r="C981">
        <v>124118</v>
      </c>
      <c r="D981">
        <v>52</v>
      </c>
      <c r="I981" t="s">
        <v>256</v>
      </c>
      <c r="U981" t="s">
        <v>3689</v>
      </c>
      <c r="V981" t="str">
        <f t="shared" si="15"/>
        <v>{dwID=124118,nFrame=52,szNote="阴山大草原",[3]={},[4]={},aFocus={{dwMapID=-1,nMaxDistance=0,tRelation={bAll=false,bEnemy=true,bAlly=false,},tLife={bEnable=true,szOperator="&gt;=",nValue=10,},},},},</v>
      </c>
    </row>
    <row r="982" spans="3:22" x14ac:dyDescent="0.15">
      <c r="C982">
        <v>124119</v>
      </c>
      <c r="D982">
        <v>52</v>
      </c>
      <c r="I982" t="s">
        <v>256</v>
      </c>
      <c r="U982" t="s">
        <v>3689</v>
      </c>
      <c r="V982" t="str">
        <f t="shared" si="15"/>
        <v>{dwID=124119,nFrame=52,szNote="阴山大草原",[3]={},[4]={},aFocus={{dwMapID=-1,nMaxDistance=0,tRelation={bAll=false,bEnemy=true,bAlly=false,},tLife={bEnable=true,szOperator="&gt;=",nValue=10,},},},},</v>
      </c>
    </row>
    <row r="983" spans="3:22" x14ac:dyDescent="0.15">
      <c r="C983">
        <v>124120</v>
      </c>
      <c r="D983">
        <v>52</v>
      </c>
      <c r="I983" t="s">
        <v>256</v>
      </c>
      <c r="U983" t="s">
        <v>3689</v>
      </c>
      <c r="V983" t="str">
        <f t="shared" si="15"/>
        <v>{dwID=124120,nFrame=52,szNote="阴山大草原",[3]={},[4]={},aFocus={{dwMapID=-1,nMaxDistance=0,tRelation={bAll=false,bEnemy=true,bAlly=false,},tLife={bEnable=true,szOperator="&gt;=",nValue=10,},},},},</v>
      </c>
    </row>
    <row r="984" spans="3:22" x14ac:dyDescent="0.15">
      <c r="C984">
        <v>124121</v>
      </c>
      <c r="D984">
        <v>52</v>
      </c>
      <c r="I984" t="s">
        <v>256</v>
      </c>
      <c r="U984" t="s">
        <v>3689</v>
      </c>
      <c r="V984" t="str">
        <f t="shared" si="15"/>
        <v>{dwID=124121,nFrame=52,szNote="阴山大草原",[3]={},[4]={},aFocus={{dwMapID=-1,nMaxDistance=0,tRelation={bAll=false,bEnemy=true,bAlly=false,},tLife={bEnable=true,szOperator="&gt;=",nValue=10,},},},},</v>
      </c>
    </row>
    <row r="985" spans="3:22" x14ac:dyDescent="0.15">
      <c r="C985">
        <v>124122</v>
      </c>
      <c r="D985">
        <v>52</v>
      </c>
      <c r="I985" t="s">
        <v>256</v>
      </c>
      <c r="U985" t="s">
        <v>3689</v>
      </c>
      <c r="V985" t="str">
        <f t="shared" si="15"/>
        <v>{dwID=124122,nFrame=52,szNote="阴山大草原",[3]={},[4]={},aFocus={{dwMapID=-1,nMaxDistance=0,tRelation={bAll=false,bEnemy=true,bAlly=false,},tLife={bEnable=true,szOperator="&gt;=",nValue=10,},},},},</v>
      </c>
    </row>
    <row r="986" spans="3:22" x14ac:dyDescent="0.15">
      <c r="C986">
        <v>124123</v>
      </c>
      <c r="D986">
        <v>52</v>
      </c>
      <c r="I986" t="s">
        <v>256</v>
      </c>
      <c r="U986" t="s">
        <v>3689</v>
      </c>
      <c r="V986" t="str">
        <f t="shared" si="15"/>
        <v>{dwID=124123,nFrame=52,szNote="阴山大草原",[3]={},[4]={},aFocus={{dwMapID=-1,nMaxDistance=0,tRelation={bAll=false,bEnemy=true,bAlly=false,},tLife={bEnable=true,szOperator="&gt;=",nValue=10,},},},},</v>
      </c>
    </row>
    <row r="987" spans="3:22" x14ac:dyDescent="0.15">
      <c r="C987">
        <v>124124</v>
      </c>
      <c r="D987">
        <v>52</v>
      </c>
      <c r="I987" t="s">
        <v>256</v>
      </c>
      <c r="U987" t="s">
        <v>3689</v>
      </c>
      <c r="V987" t="str">
        <f t="shared" si="15"/>
        <v>{dwID=124124,nFrame=52,szNote="阴山大草原",[3]={},[4]={},aFocus={{dwMapID=-1,nMaxDistance=0,tRelation={bAll=false,bEnemy=true,bAlly=false,},tLife={bEnable=true,szOperator="&gt;=",nValue=10,},},},},</v>
      </c>
    </row>
    <row r="988" spans="3:22" x14ac:dyDescent="0.15">
      <c r="C988">
        <v>124260</v>
      </c>
      <c r="D988">
        <v>52</v>
      </c>
      <c r="I988" t="s">
        <v>256</v>
      </c>
      <c r="U988" t="s">
        <v>3689</v>
      </c>
      <c r="V988" t="str">
        <f t="shared" si="15"/>
        <v>{dwID=124260,nFrame=52,szNote="阴山大草原",[3]={},[4]={},aFocus={{dwMapID=-1,nMaxDistance=0,tRelation={bAll=false,bEnemy=true,bAlly=false,},tLife={bEnable=true,szOperator="&gt;=",nValue=10,},},},},</v>
      </c>
    </row>
    <row r="989" spans="3:22" x14ac:dyDescent="0.15">
      <c r="C989">
        <v>124261</v>
      </c>
      <c r="D989">
        <v>52</v>
      </c>
      <c r="I989" t="s">
        <v>256</v>
      </c>
      <c r="U989" t="s">
        <v>3689</v>
      </c>
      <c r="V989" t="str">
        <f t="shared" si="15"/>
        <v>{dwID=124261,nFrame=52,szNote="阴山大草原",[3]={},[4]={},aFocus={{dwMapID=-1,nMaxDistance=0,tRelation={bAll=false,bEnemy=true,bAlly=false,},tLife={bEnable=true,szOperator="&gt;=",nValue=10,},},},},</v>
      </c>
    </row>
    <row r="990" spans="3:22" x14ac:dyDescent="0.15">
      <c r="C990">
        <v>124270</v>
      </c>
      <c r="D990">
        <v>52</v>
      </c>
      <c r="I990" t="s">
        <v>256</v>
      </c>
      <c r="U990" t="s">
        <v>3689</v>
      </c>
      <c r="V990" t="str">
        <f t="shared" si="15"/>
        <v>{dwID=124270,nFrame=52,szNote="阴山大草原",[3]={},[4]={},aFocus={{dwMapID=-1,nMaxDistance=0,tRelation={bAll=false,bEnemy=true,bAlly=false,},tLife={bEnable=true,szOperator="&gt;=",nValue=10,},},},},</v>
      </c>
    </row>
    <row r="991" spans="3:22" x14ac:dyDescent="0.15">
      <c r="C991">
        <v>124271</v>
      </c>
      <c r="D991">
        <v>52</v>
      </c>
      <c r="I991" t="s">
        <v>256</v>
      </c>
      <c r="U991" t="s">
        <v>3689</v>
      </c>
      <c r="V991" t="str">
        <f t="shared" si="15"/>
        <v>{dwID=124271,nFrame=52,szNote="阴山大草原",[3]={},[4]={},aFocus={{dwMapID=-1,nMaxDistance=0,tRelation={bAll=false,bEnemy=true,bAlly=false,},tLife={bEnable=true,szOperator="&gt;=",nValue=10,},},},},</v>
      </c>
    </row>
    <row r="992" spans="3:22" x14ac:dyDescent="0.15">
      <c r="C992">
        <v>123871</v>
      </c>
      <c r="D992">
        <v>47</v>
      </c>
      <c r="I992" t="s">
        <v>4271</v>
      </c>
      <c r="U992" t="s">
        <v>4272</v>
      </c>
      <c r="V992" t="str">
        <f t="shared" si="15"/>
        <v>{dwID=123871,nFrame=47,szNote="小珍",[3]={},[4]={},aFocus={{dwMapID=-1,szDisplay="分线·传送",nMaxDistance=6,tRelation={bAll=false,bEnemy=false,bAlly=true,},tLife={bEnable=false,szOperator="&gt;",nValue=0,},},},},</v>
      </c>
    </row>
    <row r="993" spans="1:22" x14ac:dyDescent="0.15">
      <c r="C993">
        <v>123867</v>
      </c>
      <c r="D993">
        <v>47</v>
      </c>
      <c r="I993" t="s">
        <v>4273</v>
      </c>
      <c r="U993" t="s">
        <v>4272</v>
      </c>
      <c r="V993" t="str">
        <f t="shared" si="15"/>
        <v>{dwID=123867,nFrame=47,szNote="小曾",[3]={},[4]={},aFocus={{dwMapID=-1,szDisplay="分线·传送",nMaxDistance=6,tRelation={bAll=false,bEnemy=false,bAlly=true,},tLife={bEnable=false,szOperator="&gt;",nValue=0,},},},},</v>
      </c>
    </row>
    <row r="994" spans="1:22" x14ac:dyDescent="0.15">
      <c r="A994" t="s">
        <v>257</v>
      </c>
      <c r="B994">
        <v>217</v>
      </c>
      <c r="V994" t="str">
        <f t="shared" si="15"/>
        <v>},[217]={</v>
      </c>
    </row>
    <row r="995" spans="1:22" x14ac:dyDescent="0.15">
      <c r="C995">
        <v>69023</v>
      </c>
      <c r="D995">
        <v>47</v>
      </c>
      <c r="J995" t="s">
        <v>2168</v>
      </c>
      <c r="O995">
        <v>1</v>
      </c>
      <c r="P995">
        <v>1</v>
      </c>
      <c r="U995" t="s">
        <v>3623</v>
      </c>
      <c r="V995" t="str">
        <f t="shared" si="15"/>
        <v>{dwID=69023,nFrame=47,col={0,255,0,},[3]={bCenterAlarm=true,bScreenHead=true,},[4]={},aFocus={{dwMapID=-1,nMaxDistance=0,tRelation={bAll=true,bEnemy=false,bAlly=false,},tLife={bEnable=false,szOperator="&gt;",nValue=0,},},},},</v>
      </c>
    </row>
    <row r="996" spans="1:22" x14ac:dyDescent="0.15">
      <c r="C996">
        <v>69003</v>
      </c>
      <c r="D996">
        <v>47</v>
      </c>
      <c r="J996" t="s">
        <v>2168</v>
      </c>
      <c r="O996">
        <v>1</v>
      </c>
      <c r="P996">
        <v>1</v>
      </c>
      <c r="U996" t="s">
        <v>3623</v>
      </c>
      <c r="V996" t="str">
        <f t="shared" si="15"/>
        <v>{dwID=69003,nFrame=47,col={0,255,0,},[3]={bCenterAlarm=true,bScreenHead=true,},[4]={},aFocus={{dwMapID=-1,nMaxDistance=0,tRelation={bAll=true,bEnemy=false,bAlly=false,},tLife={bEnable=false,szOperator="&gt;",nValue=0,},},},},</v>
      </c>
    </row>
    <row r="997" spans="1:22" x14ac:dyDescent="0.15">
      <c r="C997">
        <v>69004</v>
      </c>
      <c r="D997">
        <v>47</v>
      </c>
      <c r="J997" t="s">
        <v>2168</v>
      </c>
      <c r="O997">
        <v>1</v>
      </c>
      <c r="P997">
        <v>1</v>
      </c>
      <c r="T997">
        <v>1</v>
      </c>
      <c r="U997" t="s">
        <v>3623</v>
      </c>
      <c r="V997" t="str">
        <f t="shared" si="15"/>
        <v>{dwID=69004,nFrame=47,col={0,255,0,},[3]={bCenterAlarm=true,bScreenHead=true,},[4]={bCenterAlarm=true,},aFocus={{dwMapID=-1,nMaxDistance=0,tRelation={bAll=true,bEnemy=false,bAlly=false,},tLife={bEnable=false,szOperator="&gt;",nValue=0,},},},},</v>
      </c>
    </row>
    <row r="998" spans="1:22" x14ac:dyDescent="0.15">
      <c r="C998">
        <v>69007</v>
      </c>
      <c r="D998">
        <v>47</v>
      </c>
      <c r="J998" t="s">
        <v>2168</v>
      </c>
      <c r="O998">
        <v>1</v>
      </c>
      <c r="P998">
        <v>1</v>
      </c>
      <c r="T998">
        <v>1</v>
      </c>
      <c r="U998" t="s">
        <v>3623</v>
      </c>
      <c r="V998" t="str">
        <f t="shared" si="15"/>
        <v>{dwID=69007,nFrame=47,col={0,255,0,},[3]={bCenterAlarm=true,bScreenHead=true,},[4]={bCenterAlarm=true,},aFocus={{dwMapID=-1,nMaxDistance=0,tRelation={bAll=true,bEnemy=false,bAlly=false,},tLife={bEnable=false,szOperator="&gt;",nValue=0,},},},},</v>
      </c>
    </row>
    <row r="999" spans="1:22" x14ac:dyDescent="0.15">
      <c r="C999">
        <v>68999</v>
      </c>
      <c r="D999">
        <v>47</v>
      </c>
      <c r="J999" t="s">
        <v>2168</v>
      </c>
      <c r="O999">
        <v>1</v>
      </c>
      <c r="P999">
        <v>1</v>
      </c>
      <c r="T999">
        <v>1</v>
      </c>
      <c r="U999" t="s">
        <v>3623</v>
      </c>
      <c r="V999" t="str">
        <f t="shared" si="15"/>
        <v>{dwID=68999,nFrame=47,col={0,255,0,},[3]={bCenterAlarm=true,bScreenHead=true,},[4]={bCenterAlarm=true,},aFocus={{dwMapID=-1,nMaxDistance=0,tRelation={bAll=true,bEnemy=false,bAlly=false,},tLife={bEnable=false,szOperator="&gt;",nValue=0,},},},},</v>
      </c>
    </row>
    <row r="1000" spans="1:22" x14ac:dyDescent="0.15">
      <c r="C1000">
        <v>68995</v>
      </c>
      <c r="D1000">
        <v>47</v>
      </c>
      <c r="J1000" t="s">
        <v>2168</v>
      </c>
      <c r="O1000">
        <v>1</v>
      </c>
      <c r="P1000">
        <v>1</v>
      </c>
      <c r="T1000">
        <v>1</v>
      </c>
      <c r="U1000" t="s">
        <v>3623</v>
      </c>
      <c r="V1000" t="str">
        <f t="shared" si="15"/>
        <v>{dwID=68995,nFrame=47,col={0,255,0,},[3]={bCenterAlarm=true,bScreenHead=true,},[4]={bCenterAlarm=true,},aFocus={{dwMapID=-1,nMaxDistance=0,tRelation={bAll=true,bEnemy=false,bAlly=false,},tLife={bEnable=false,szOperator="&gt;",nValue=0,},},},},</v>
      </c>
    </row>
    <row r="1001" spans="1:22" x14ac:dyDescent="0.15">
      <c r="C1001">
        <v>68992</v>
      </c>
      <c r="D1001">
        <v>47</v>
      </c>
      <c r="J1001" t="s">
        <v>2168</v>
      </c>
      <c r="O1001">
        <v>1</v>
      </c>
      <c r="P1001">
        <v>1</v>
      </c>
      <c r="T1001">
        <v>1</v>
      </c>
      <c r="U1001" t="s">
        <v>3623</v>
      </c>
      <c r="V1001" t="str">
        <f t="shared" si="15"/>
        <v>{dwID=68992,nFrame=47,col={0,255,0,},[3]={bCenterAlarm=true,bScreenHead=true,},[4]={bCenterAlarm=true,},aFocus={{dwMapID=-1,nMaxDistance=0,tRelation={bAll=true,bEnemy=false,bAlly=false,},tLife={bEnable=false,szOperator="&gt;",nValue=0,},},},},</v>
      </c>
    </row>
    <row r="1002" spans="1:22" x14ac:dyDescent="0.15">
      <c r="C1002">
        <v>68991</v>
      </c>
      <c r="D1002">
        <v>47</v>
      </c>
      <c r="J1002" t="s">
        <v>2168</v>
      </c>
      <c r="O1002">
        <v>1</v>
      </c>
      <c r="P1002">
        <v>1</v>
      </c>
      <c r="T1002">
        <v>1</v>
      </c>
      <c r="U1002" t="s">
        <v>3623</v>
      </c>
      <c r="V1002" t="str">
        <f t="shared" si="15"/>
        <v>{dwID=68991,nFrame=47,col={0,255,0,},[3]={bCenterAlarm=true,bScreenHead=true,},[4]={bCenterAlarm=true,},aFocus={{dwMapID=-1,nMaxDistance=0,tRelation={bAll=true,bEnemy=false,bAlly=false,},tLife={bEnable=false,szOperator="&gt;",nValue=0,},},},},</v>
      </c>
    </row>
    <row r="1003" spans="1:22" x14ac:dyDescent="0.15">
      <c r="C1003">
        <v>69011</v>
      </c>
      <c r="D1003">
        <v>47</v>
      </c>
      <c r="J1003" t="s">
        <v>2168</v>
      </c>
      <c r="O1003">
        <v>1</v>
      </c>
      <c r="P1003">
        <v>1</v>
      </c>
      <c r="T1003">
        <v>1</v>
      </c>
      <c r="U1003" t="s">
        <v>3623</v>
      </c>
      <c r="V1003" t="str">
        <f t="shared" si="15"/>
        <v>{dwID=69011,nFrame=47,col={0,255,0,},[3]={bCenterAlarm=true,bScreenHead=true,},[4]={bCenterAlarm=true,},aFocus={{dwMapID=-1,nMaxDistance=0,tRelation={bAll=true,bEnemy=false,bAlly=false,},tLife={bEnable=false,szOperator="&gt;",nValue=0,},},},},</v>
      </c>
    </row>
    <row r="1004" spans="1:22" x14ac:dyDescent="0.15">
      <c r="C1004">
        <v>69228</v>
      </c>
      <c r="D1004">
        <v>47</v>
      </c>
      <c r="J1004" t="s">
        <v>2168</v>
      </c>
      <c r="O1004">
        <v>1</v>
      </c>
      <c r="P1004">
        <v>1</v>
      </c>
      <c r="T1004">
        <v>1</v>
      </c>
      <c r="U1004" t="s">
        <v>3623</v>
      </c>
      <c r="V1004" t="str">
        <f t="shared" si="15"/>
        <v>{dwID=69228,nFrame=47,col={0,255,0,},[3]={bCenterAlarm=true,bScreenHead=true,},[4]={bCenterAlarm=true,},aFocus={{dwMapID=-1,nMaxDistance=0,tRelation={bAll=true,bEnemy=false,bAlly=false,},tLife={bEnable=false,szOperator="&gt;",nValue=0,},},},},</v>
      </c>
    </row>
    <row r="1005" spans="1:22" x14ac:dyDescent="0.15">
      <c r="C1005">
        <v>47857</v>
      </c>
      <c r="D1005">
        <v>47</v>
      </c>
      <c r="I1005" t="s">
        <v>4274</v>
      </c>
      <c r="J1005" t="s">
        <v>2168</v>
      </c>
      <c r="P1005">
        <v>1</v>
      </c>
      <c r="U1005" t="s">
        <v>4275</v>
      </c>
      <c r="V1005" t="str">
        <f t="shared" si="15"/>
        <v>{dwID=47857,nFrame=47,szNote="黑水城·九邬碧玉",col={0,255,0,},[3]={bScreenHead=true,},[4]={},aFocus={{dwMapID=-1,szDisplay="黑水城·九邬碧玉",nMaxDistance=60,tRelation={bAll=true,bEnemy=false,bAlly=false,},tLife={bEnable=false,szOperator="&gt;",nValue=0,},},},},</v>
      </c>
    </row>
    <row r="1006" spans="1:22" x14ac:dyDescent="0.15">
      <c r="C1006">
        <v>46997</v>
      </c>
      <c r="D1006">
        <v>47</v>
      </c>
      <c r="G1006" t="s">
        <v>4276</v>
      </c>
      <c r="U1006" t="s">
        <v>4277</v>
      </c>
      <c r="V1006" t="str">
        <f t="shared" si="15"/>
        <v>{dwID=46997,nFrame=47,szName="草堆46997{$N46997}",[3]={},[4]={},aFocus={{dwMapID=-1,szDisplay="草堆",nMaxDistance=20,tRelation={bAll=true,bEnemy=false,bAlly=false,},tLife={bEnable=false,szOperator="&gt;",nValue=0,},},},},</v>
      </c>
    </row>
    <row r="1007" spans="1:22" x14ac:dyDescent="0.15">
      <c r="C1007">
        <v>46995</v>
      </c>
      <c r="D1007">
        <v>47</v>
      </c>
      <c r="G1007" t="s">
        <v>4278</v>
      </c>
      <c r="U1007" t="s">
        <v>4277</v>
      </c>
      <c r="V1007" t="str">
        <f t="shared" si="15"/>
        <v>{dwID=46995,nFrame=47,szName="草堆46995{$N46995}",[3]={},[4]={},aFocus={{dwMapID=-1,szDisplay="草堆",nMaxDistance=20,tRelation={bAll=true,bEnemy=false,bAlly=false,},tLife={bEnable=false,szOperator="&gt;",nValue=0,},},},},</v>
      </c>
    </row>
    <row r="1008" spans="1:22" x14ac:dyDescent="0.15">
      <c r="C1008">
        <v>123946</v>
      </c>
      <c r="D1008">
        <v>47</v>
      </c>
      <c r="J1008" t="s">
        <v>2168</v>
      </c>
      <c r="K1008" t="s">
        <v>3668</v>
      </c>
      <c r="O1008">
        <v>1</v>
      </c>
      <c r="P1008">
        <v>1</v>
      </c>
      <c r="U1008" t="s">
        <v>3669</v>
      </c>
      <c r="V1008" t="str">
        <f t="shared" si="15"/>
        <v>{dwID=123946,nFrame=47,col={0,255,0,},[3]={tMark={true,false,false,false,false,false,false,false,false,false,},bCenterAlarm=true,bScreenHead=true,},[4]={},aFocus={{dwMapID=-1,nMaxDistance=120,tRelation={bAll=false,bEnemy=false,bAlly=true,},tLife={bEnable=false,szOperator="&gt;",nValue=0,},},},},</v>
      </c>
    </row>
    <row r="1009" spans="1:22" x14ac:dyDescent="0.15">
      <c r="C1009">
        <v>69150</v>
      </c>
      <c r="D1009">
        <v>47</v>
      </c>
      <c r="J1009" t="s">
        <v>2718</v>
      </c>
      <c r="P1009">
        <v>1</v>
      </c>
      <c r="V1009" t="str">
        <f t="shared" si="15"/>
        <v>{dwID=69150,nFrame=47,col={255,255,100,},[3]={bScreenHead=true,},[4]={},},</v>
      </c>
    </row>
    <row r="1010" spans="1:22" x14ac:dyDescent="0.15">
      <c r="C1010">
        <v>69048</v>
      </c>
      <c r="D1010">
        <v>47</v>
      </c>
      <c r="I1010" t="s">
        <v>4279</v>
      </c>
      <c r="J1010" t="s">
        <v>2348</v>
      </c>
      <c r="P1010">
        <v>1</v>
      </c>
      <c r="U1010" t="s">
        <v>4280</v>
      </c>
      <c r="V1010" t="str">
        <f t="shared" si="15"/>
        <v>{dwID=69048,nFrame=47,szNote="大唐军马场·捐马",col={255,255,50,},[3]={bScreenHead=true,},[4]={},aFocus={{dwMapID=-1,szDisplay="大唐军马场·捐马",nMaxDistance=20,tRelation={bAll=true,bEnemy=false,bAlly=false,},tLife={bEnable=false,szOperator="&gt;",nValue=0,},},},},</v>
      </c>
    </row>
    <row r="1011" spans="1:22" x14ac:dyDescent="0.15">
      <c r="C1011">
        <v>69153</v>
      </c>
      <c r="D1011">
        <v>47</v>
      </c>
      <c r="I1011" t="s">
        <v>4281</v>
      </c>
      <c r="J1011" t="s">
        <v>2168</v>
      </c>
      <c r="P1011">
        <v>1</v>
      </c>
      <c r="U1011" t="s">
        <v>4282</v>
      </c>
      <c r="V1011" t="str">
        <f t="shared" si="15"/>
        <v>{dwID=69153,nFrame=47,szNote="黑戈壁放牧·李戈",col={0,255,0,},[3]={bScreenHead=true,},[4]={},aFocus={{dwMapID=-1,szDisplay="李戈·放牧",nMaxDistance=10,tRelation={bAll=true,bEnemy=false,bAlly=false,},tLife={bEnable=false,szOperator="&gt;",nValue=0,},},},},</v>
      </c>
    </row>
    <row r="1012" spans="1:22" x14ac:dyDescent="0.15">
      <c r="C1012">
        <v>101012</v>
      </c>
      <c r="D1012">
        <v>47</v>
      </c>
      <c r="I1012" t="s">
        <v>4265</v>
      </c>
      <c r="J1012" t="s">
        <v>2718</v>
      </c>
      <c r="P1012">
        <v>1</v>
      </c>
      <c r="U1012" t="s">
        <v>4266</v>
      </c>
      <c r="V1012" t="str">
        <f t="shared" si="15"/>
        <v>{dwID=101012,nFrame=47,szNote="烽烟再起·郭戈",col={255,255,100,},[3]={bScreenHead=true,},[4]={},aFocus={{dwMapID=-1,szDisplay="郭戈·烽烟再起",nMaxDistance=10,tRelation={bAll=false,bEnemy=false,bAlly=true,},tLife={bEnable=false,szOperator="&gt;",nValue=0,},},},},</v>
      </c>
    </row>
    <row r="1013" spans="1:22" x14ac:dyDescent="0.15">
      <c r="C1013">
        <v>101011</v>
      </c>
      <c r="D1013">
        <v>47</v>
      </c>
      <c r="I1013" t="s">
        <v>4263</v>
      </c>
      <c r="J1013" t="s">
        <v>3614</v>
      </c>
      <c r="P1013">
        <v>1</v>
      </c>
      <c r="U1013" t="s">
        <v>4264</v>
      </c>
      <c r="V1013" t="str">
        <f t="shared" si="15"/>
        <v>{dwID=101011,nFrame=47,szNote="烽烟再起·蒋征南",col={100,255,255,},[3]={bScreenHead=true,},[4]={},aFocus={{dwMapID=-1,szDisplay="蒋征南·烽烟再起",nMaxDistance=10,tRelation={bAll=false,bEnemy=false,bAlly=true,},tLife={bEnable=false,szOperator="&gt;",nValue=0,},},},},</v>
      </c>
    </row>
    <row r="1014" spans="1:22" x14ac:dyDescent="0.15">
      <c r="C1014">
        <v>47744</v>
      </c>
      <c r="D1014">
        <v>47</v>
      </c>
      <c r="I1014" t="s">
        <v>4283</v>
      </c>
      <c r="J1014" t="s">
        <v>2663</v>
      </c>
      <c r="P1014">
        <v>1</v>
      </c>
      <c r="U1014" t="s">
        <v>4284</v>
      </c>
      <c r="V1014" t="str">
        <f t="shared" si="15"/>
        <v>{dwID=47744,nFrame=47,szNote="谷艾",col={255,255,31,},[3]={bScreenHead=true,},[4]={},aFocus={{dwMapID=-1,szDisplay="谷艾·阴山商路主簿",nMaxDistance=20,tRelation={bAll=false,bEnemy=false,bAlly=true,},tLife={bEnable=false,szOperator="&gt;",nValue=0,},},},},</v>
      </c>
    </row>
    <row r="1015" spans="1:22" x14ac:dyDescent="0.15">
      <c r="C1015">
        <v>47858</v>
      </c>
      <c r="D1015">
        <v>47</v>
      </c>
      <c r="I1015" t="s">
        <v>4285</v>
      </c>
      <c r="J1015" t="s">
        <v>2663</v>
      </c>
      <c r="P1015">
        <v>1</v>
      </c>
      <c r="U1015" t="s">
        <v>4286</v>
      </c>
      <c r="V1015" t="str">
        <f t="shared" si="15"/>
        <v>{dwID=47858,nFrame=47,szNote="宋涛",col={255,255,31,},[3]={bScreenHead=true,},[4]={},aFocus={{dwMapID=-1,szDisplay="宋涛·阴山商路主簿",nMaxDistance=20,tRelation={bAll=false,bEnemy=false,bAlly=true,},tLife={bEnable=false,szOperator="&gt;",nValue=0,},},},},</v>
      </c>
    </row>
    <row r="1016" spans="1:22" x14ac:dyDescent="0.15">
      <c r="C1016">
        <v>47408</v>
      </c>
      <c r="D1016">
        <v>47</v>
      </c>
      <c r="I1016" t="s">
        <v>4228</v>
      </c>
      <c r="J1016" t="s">
        <v>2168</v>
      </c>
      <c r="O1016">
        <v>1</v>
      </c>
      <c r="U1016" t="s">
        <v>3623</v>
      </c>
      <c r="V1016" t="str">
        <f t="shared" si="15"/>
        <v>{dwID=47408,nFrame=47,szNote="阴山商路",col={0,255,0,},[3]={bCenterAlarm=true,},[4]={},aFocus={{dwMapID=-1,nMaxDistance=0,tRelation={bAll=true,bEnemy=false,bAlly=false,},tLife={bEnable=false,szOperator="&gt;",nValue=0,},},},},</v>
      </c>
    </row>
    <row r="1017" spans="1:22" x14ac:dyDescent="0.15">
      <c r="A1017" t="s">
        <v>258</v>
      </c>
      <c r="B1017">
        <v>239</v>
      </c>
      <c r="V1017" t="str">
        <f t="shared" si="15"/>
        <v>},[239]={</v>
      </c>
    </row>
    <row r="1018" spans="1:22" x14ac:dyDescent="0.15">
      <c r="C1018">
        <v>53379</v>
      </c>
      <c r="D1018">
        <v>47</v>
      </c>
      <c r="I1018" t="s">
        <v>4287</v>
      </c>
      <c r="J1018" t="s">
        <v>2168</v>
      </c>
      <c r="P1018">
        <v>1</v>
      </c>
      <c r="U1018" t="s">
        <v>4288</v>
      </c>
      <c r="V1018" t="str">
        <f t="shared" si="15"/>
        <v>{dwID=53379,nFrame=47,szNote="精金阁·神都玉佩",col={0,255,0,},[3]={bScreenHead=true,},[4]={},aFocus={{dwMapID=-1,szDisplay="精金阁·神都玉佩",nMaxDistance=60,tRelation={bAll=true,bEnemy=false,bAlly=false,},tLife={bEnable=false,szOperator="&gt;",nValue=0,},},},},</v>
      </c>
    </row>
    <row r="1019" spans="1:22" x14ac:dyDescent="0.15">
      <c r="C1019">
        <v>53593</v>
      </c>
      <c r="D1019">
        <v>47</v>
      </c>
      <c r="I1019" t="s">
        <v>4289</v>
      </c>
      <c r="J1019" t="s">
        <v>2168</v>
      </c>
      <c r="P1019">
        <v>1</v>
      </c>
      <c r="U1019" t="s">
        <v>4290</v>
      </c>
      <c r="V1019" t="str">
        <f t="shared" si="15"/>
        <v>{dwID=53593,nFrame=47,szNote="郭子仪部·靖武",col={0,255,0,},[3]={bScreenHead=true,},[4]={},aFocus={{dwMapID=-1,szDisplay="郭子仪部·靖武·神都玉佩",nMaxDistance=60,tRelation={bAll=true,bEnemy=false,bAlly=false,},tLife={bEnable=false,szOperator="&gt;",nValue=0,},},},},</v>
      </c>
    </row>
    <row r="1020" spans="1:22" x14ac:dyDescent="0.15">
      <c r="C1020">
        <v>53269</v>
      </c>
      <c r="D1020">
        <v>57</v>
      </c>
      <c r="J1020" t="s">
        <v>2676</v>
      </c>
      <c r="P1020">
        <v>1</v>
      </c>
      <c r="U1020" t="s">
        <v>3794</v>
      </c>
      <c r="V1020" t="str">
        <f t="shared" si="15"/>
        <v>{dwID=53269,nFrame=57,col={255,50,50,},[3]={bScreenHead=true,},[4]={},aFocus={{dwMapID=-1,nMaxDistance=20,tRelation={bAll=false,bEnemy=true,bAlly=false,},tLife={bEnable=false,szOperator="&gt;",nValue=0,},},},},</v>
      </c>
    </row>
    <row r="1021" spans="1:22" x14ac:dyDescent="0.15">
      <c r="C1021">
        <v>53267</v>
      </c>
      <c r="D1021">
        <v>57</v>
      </c>
      <c r="J1021" t="s">
        <v>2676</v>
      </c>
      <c r="P1021">
        <v>1</v>
      </c>
      <c r="U1021" t="s">
        <v>3794</v>
      </c>
      <c r="V1021" t="str">
        <f t="shared" si="15"/>
        <v>{dwID=53267,nFrame=57,col={255,50,50,},[3]={bScreenHead=true,},[4]={},aFocus={{dwMapID=-1,nMaxDistance=20,tRelation={bAll=false,bEnemy=true,bAlly=false,},tLife={bEnable=false,szOperator="&gt;",nValue=0,},},},},</v>
      </c>
    </row>
    <row r="1022" spans="1:22" x14ac:dyDescent="0.15">
      <c r="C1022">
        <v>53036</v>
      </c>
      <c r="D1022">
        <v>47</v>
      </c>
      <c r="I1022" t="s">
        <v>4291</v>
      </c>
      <c r="J1022" t="s">
        <v>2168</v>
      </c>
      <c r="P1022">
        <v>1</v>
      </c>
      <c r="U1022" t="s">
        <v>4292</v>
      </c>
      <c r="V1022" t="str">
        <f t="shared" si="15"/>
        <v>{dwID=53036,nFrame=47,szNote="狼牙军服·5:1",col={0,255,0,},[3]={bScreenHead=true,},[4]={},aFocus={{dwMapID=-1,szDisplay="瑶瑶·狼牙军服·20件",nMaxDistance=30,tRelation={bAll=true,bEnemy=false,bAlly=false,},tLife={bEnable=false,szOperator="&gt;",nValue=0,},},},},</v>
      </c>
    </row>
    <row r="1023" spans="1:22" x14ac:dyDescent="0.15">
      <c r="C1023">
        <v>55038</v>
      </c>
      <c r="D1023">
        <v>47</v>
      </c>
      <c r="J1023" t="s">
        <v>2168</v>
      </c>
      <c r="P1023">
        <v>1</v>
      </c>
      <c r="U1023" t="s">
        <v>4028</v>
      </c>
      <c r="V1023" t="str">
        <f t="shared" si="15"/>
        <v>{dwID=55038,nFrame=47,col={0,255,0,},[3]={bScreenHead=true,},[4]={},aFocus={{dwMapID=-1,nMaxDistance=20,tRelation={bAll=true,bEnemy=false,bAlly=false,},tLife={bEnable=false,szOperator="&gt;",nValue=0,},},},},</v>
      </c>
    </row>
    <row r="1024" spans="1:22" x14ac:dyDescent="0.15">
      <c r="C1024">
        <v>55042</v>
      </c>
      <c r="D1024">
        <v>47</v>
      </c>
      <c r="I1024" t="s">
        <v>380</v>
      </c>
      <c r="J1024" t="s">
        <v>2168</v>
      </c>
      <c r="P1024">
        <v>1</v>
      </c>
      <c r="U1024" t="s">
        <v>3868</v>
      </c>
      <c r="V1024" t="str">
        <f t="shared" si="15"/>
        <v>{dwID=55042,nFrame=47,szNote="跟随",col={0,255,0,},[3]={bScreenHead=true,},[4]={},aFocus={{dwMapID=-1,nMaxDistance=20,tRelation={bAll=false,bEnemy=false,bAlly=true,},tLife={bEnable=false,szOperator="&gt;",nValue=0,},},},},</v>
      </c>
    </row>
    <row r="1025" spans="1:24" x14ac:dyDescent="0.15">
      <c r="C1025">
        <v>54149</v>
      </c>
      <c r="D1025">
        <v>47</v>
      </c>
      <c r="P1025">
        <v>1</v>
      </c>
      <c r="V1025" t="str">
        <f t="shared" si="15"/>
        <v>{dwID=54149,nFrame=47,[3]={bScreenHead=true,},[4]={},},</v>
      </c>
    </row>
    <row r="1026" spans="1:24" x14ac:dyDescent="0.15">
      <c r="C1026">
        <v>54119</v>
      </c>
      <c r="D1026">
        <v>47</v>
      </c>
      <c r="P1026">
        <v>1</v>
      </c>
      <c r="V1026" t="str">
        <f t="shared" ref="V1026:V1089" si="16">IF(ISBLANK(B1026)=FALSE,IF(ISBLANK(B1025),"},["&amp;B1026&amp;"]={","["&amp;B1026&amp;"]={"),IF(AND(ISBLANK(B1026),ISBLANK(D1026),ISBLANK(C1026),OR(ISBLANK(B1025)=FALSE,ISBLANK(D1025)=FALSE,ISBLANK(C1025)=FALSE)),"},},}",IF(ISBLANK(C1026),"","{dwID="&amp;C1026&amp;","&amp;"nFrame="&amp;D1026&amp;","&amp;IF(E1026&gt;0,"nCount="&amp;E1026&amp;",","")&amp;IF(F1026&gt;0,"bAllLeave=true,","")&amp;IF(G1026&lt;&gt;"","szName="""&amp;G1026&amp;""",","")&amp;IF(H1026&lt;&gt;"","tKungFu={"&amp;H1026&amp;"},","")&amp;IF(I1026&lt;&gt;"","szNote="""&amp;I1026&amp;""",","")&amp;IF(J1026&lt;&gt;"","col={"&amp;J1026&amp;"},","")&amp;"[3]={"&amp;IF(K1026&lt;&gt;"","tMark={"&amp;K1026&amp;"},","")&amp;IF(L1026&lt;&gt;"","szVoice="""&amp;L1026&amp;""",","")&amp;IF(M1026&gt;0,"bTeamChannel=true,","")&amp;IF(N1026&gt;0,"bWhisperChannel=true,","")&amp;IF(O1026&gt;0,"bCenterAlarm=true,","")&amp;IF(P1026&gt;0,"bScreenHead=true,","")&amp;"},"&amp;"[4]={"&amp;IF(Q1026&lt;&gt;"","szVoice="""&amp;Q1026&amp;""",","")&amp;IF(R1026&gt;0,"bTeamChannel=true,","")&amp;IF(S1026&gt;0,"bWhisperChannel=true,","")&amp;IF(T1026&gt;0,"bCenterAlarm=true,","")&amp;"},"&amp;IF(U1026&lt;&gt;"","aFocus={"&amp;U1026&amp;"},","")&amp;IF(W1026&lt;&gt;"","tCountdown={"&amp;_xlfn.TEXTJOIN("",TRUE,W1026:ZZ1026)&amp;"},","")&amp;"},")))</f>
        <v>{dwID=54119,nFrame=47,[3]={bScreenHead=true,},[4]={},},</v>
      </c>
    </row>
    <row r="1027" spans="1:24" x14ac:dyDescent="0.15">
      <c r="C1027">
        <v>54151</v>
      </c>
      <c r="D1027">
        <v>47</v>
      </c>
      <c r="P1027">
        <v>1</v>
      </c>
      <c r="V1027" t="str">
        <f t="shared" si="16"/>
        <v>{dwID=54151,nFrame=47,[3]={bScreenHead=true,},[4]={},},</v>
      </c>
    </row>
    <row r="1028" spans="1:24" x14ac:dyDescent="0.15">
      <c r="C1028">
        <v>54147</v>
      </c>
      <c r="D1028">
        <v>47</v>
      </c>
      <c r="P1028">
        <v>1</v>
      </c>
      <c r="V1028" t="str">
        <f t="shared" si="16"/>
        <v>{dwID=54147,nFrame=47,[3]={bScreenHead=true,},[4]={},},</v>
      </c>
    </row>
    <row r="1029" spans="1:24" x14ac:dyDescent="0.15">
      <c r="C1029">
        <v>58030</v>
      </c>
      <c r="D1029">
        <v>52</v>
      </c>
      <c r="I1029" t="s">
        <v>4293</v>
      </c>
      <c r="O1029">
        <v>1</v>
      </c>
      <c r="U1029" t="s">
        <v>3623</v>
      </c>
      <c r="V1029" t="str">
        <f t="shared" si="16"/>
        <v>{dwID=58030,nFrame=52,szNote="洛阳神兵暗角逐",[3]={bCenterAlarm=true,},[4]={},aFocus={{dwMapID=-1,nMaxDistance=0,tRelation={bAll=true,bEnemy=false,bAlly=false,},tLife={bEnable=false,szOperator="&gt;",nValue=0,},},},},</v>
      </c>
    </row>
    <row r="1030" spans="1:24" x14ac:dyDescent="0.15">
      <c r="C1030">
        <v>58031</v>
      </c>
      <c r="D1030">
        <v>52</v>
      </c>
      <c r="I1030" t="s">
        <v>4293</v>
      </c>
      <c r="O1030">
        <v>1</v>
      </c>
      <c r="U1030" t="s">
        <v>3623</v>
      </c>
      <c r="V1030" t="str">
        <f t="shared" si="16"/>
        <v>{dwID=58031,nFrame=52,szNote="洛阳神兵暗角逐",[3]={bCenterAlarm=true,},[4]={},aFocus={{dwMapID=-1,nMaxDistance=0,tRelation={bAll=true,bEnemy=false,bAlly=false,},tLife={bEnable=false,szOperator="&gt;",nValue=0,},},},},</v>
      </c>
    </row>
    <row r="1031" spans="1:24" x14ac:dyDescent="0.15">
      <c r="C1031">
        <v>57926</v>
      </c>
      <c r="D1031">
        <v>47</v>
      </c>
      <c r="I1031" t="s">
        <v>4293</v>
      </c>
      <c r="U1031" t="s">
        <v>4075</v>
      </c>
      <c r="V1031" t="str">
        <f t="shared" si="16"/>
        <v>{dwID=57926,nFrame=47,szNote="洛阳神兵暗角逐",[3]={},[4]={},aFocus={{dwMapID=-1,nMaxDistance=60,tRelation={bAll=false,bEnemy=true,bAlly=false,},tLife={bEnable=false,szOperator="&gt;",nValue=0,},},},},</v>
      </c>
    </row>
    <row r="1032" spans="1:24" x14ac:dyDescent="0.15">
      <c r="A1032" t="s">
        <v>259</v>
      </c>
      <c r="B1032">
        <v>243</v>
      </c>
      <c r="V1032" t="str">
        <f t="shared" si="16"/>
        <v>},[243]={</v>
      </c>
    </row>
    <row r="1033" spans="1:24" x14ac:dyDescent="0.15">
      <c r="C1033">
        <v>55356</v>
      </c>
      <c r="D1033">
        <v>50</v>
      </c>
      <c r="I1033" t="s">
        <v>2503</v>
      </c>
      <c r="J1033" t="s">
        <v>2676</v>
      </c>
      <c r="P1033">
        <v>1</v>
      </c>
      <c r="U1033" t="s">
        <v>3623</v>
      </c>
      <c r="V1033" t="str">
        <f t="shared" si="16"/>
        <v>{dwID=55356,nFrame=50,szNote="门派事件",col={255,50,50,},[3]={bScreenHead=true,},[4]={},aFocus={{dwMapID=-1,nMaxDistance=0,tRelation={bAll=true,bEnemy=false,bAlly=false,},tLife={bEnable=false,szOperator="&gt;",nValue=0,},},},tCountdown={{nClass=12,nIcon=17135,nFrame=5,szName="门派事件·{$N55356}",nTime=0,key="门派事件·{$N55356}",},{nClass=11,nIcon=17135,nFrame=5,szName="门派事件·{$N55356}",nTime=0,key="门派事件·{$N55356}",},},},</v>
      </c>
      <c r="W1033" t="s">
        <v>4294</v>
      </c>
      <c r="X1033" t="s">
        <v>4295</v>
      </c>
    </row>
    <row r="1034" spans="1:24" x14ac:dyDescent="0.15">
      <c r="C1034">
        <v>55326</v>
      </c>
      <c r="D1034">
        <v>47</v>
      </c>
      <c r="I1034" t="s">
        <v>2503</v>
      </c>
      <c r="J1034" t="s">
        <v>2143</v>
      </c>
      <c r="P1034">
        <v>1</v>
      </c>
      <c r="U1034" t="s">
        <v>3627</v>
      </c>
      <c r="V1034" t="str">
        <f t="shared" si="16"/>
        <v>{dwID=55326,nFrame=47,szNote="门派事件",col={255,255,0,},[3]={bScreenHead=true,},[4]={},aFocus={{dwMapID=-1,nMaxDistance=10,tRelation={bAll=true,bEnemy=false,bAlly=false,},tLife={bEnable=false,szOperator="&gt;",nValue=0,},},},},</v>
      </c>
    </row>
    <row r="1035" spans="1:24" x14ac:dyDescent="0.15">
      <c r="C1035">
        <v>55344</v>
      </c>
      <c r="D1035">
        <v>50</v>
      </c>
      <c r="I1035" t="s">
        <v>2503</v>
      </c>
      <c r="J1035" t="s">
        <v>2676</v>
      </c>
      <c r="P1035">
        <v>1</v>
      </c>
      <c r="U1035" t="s">
        <v>4028</v>
      </c>
      <c r="V1035" t="str">
        <f t="shared" si="16"/>
        <v>{dwID=55344,nFrame=50,szNote="门派事件",col={255,50,50,},[3]={bScreenHead=true,},[4]={},aFocus={{dwMapID=-1,nMaxDistance=20,tRelation={bAll=true,bEnemy=false,bAlly=false,},tLife={bEnable=false,szOperator="&gt;",nValue=0,},},},},</v>
      </c>
    </row>
    <row r="1036" spans="1:24" x14ac:dyDescent="0.15">
      <c r="C1036">
        <v>55324</v>
      </c>
      <c r="D1036">
        <v>47</v>
      </c>
      <c r="I1036" t="s">
        <v>2503</v>
      </c>
      <c r="J1036" t="s">
        <v>2168</v>
      </c>
      <c r="P1036">
        <v>1</v>
      </c>
      <c r="U1036" t="s">
        <v>4296</v>
      </c>
      <c r="V1036" t="str">
        <f t="shared" si="16"/>
        <v>{dwID=55324,nFrame=47,szNote="门派事件",col={0,255,0,},[3]={bScreenHead=true,},[4]={},aFocus={{dwMapID=-1,szDisplay="柳辰苇·门派事件",nMaxDistance=20,tRelation={bAll=true,bEnemy=false,bAlly=false,},tLife={bEnable=false,szOperator="&gt;",nValue=0,},},},},</v>
      </c>
    </row>
    <row r="1037" spans="1:24" x14ac:dyDescent="0.15">
      <c r="C1037">
        <v>55319</v>
      </c>
      <c r="D1037">
        <v>50</v>
      </c>
      <c r="I1037" t="s">
        <v>2503</v>
      </c>
      <c r="J1037" t="s">
        <v>2676</v>
      </c>
      <c r="P1037">
        <v>1</v>
      </c>
      <c r="V1037" t="str">
        <f t="shared" si="16"/>
        <v>{dwID=55319,nFrame=50,szNote="门派事件",col={255,50,50,},[3]={bScreenHead=true,},[4]={},},</v>
      </c>
    </row>
    <row r="1038" spans="1:24" x14ac:dyDescent="0.15">
      <c r="C1038">
        <v>55317</v>
      </c>
      <c r="D1038">
        <v>60</v>
      </c>
      <c r="I1038" t="s">
        <v>2503</v>
      </c>
      <c r="J1038" t="s">
        <v>2676</v>
      </c>
      <c r="P1038">
        <v>1</v>
      </c>
      <c r="V1038" t="str">
        <f t="shared" si="16"/>
        <v>{dwID=55317,nFrame=60,szNote="门派事件",col={255,50,50,},[3]={bScreenHead=true,},[4]={},},</v>
      </c>
    </row>
    <row r="1039" spans="1:24" x14ac:dyDescent="0.15">
      <c r="C1039">
        <v>55315</v>
      </c>
      <c r="D1039">
        <v>67</v>
      </c>
      <c r="I1039" t="s">
        <v>2503</v>
      </c>
      <c r="J1039" t="s">
        <v>2676</v>
      </c>
      <c r="P1039">
        <v>1</v>
      </c>
      <c r="V1039" t="str">
        <f t="shared" si="16"/>
        <v>{dwID=55315,nFrame=67,szNote="门派事件",col={255,50,50,},[3]={bScreenHead=true,},[4]={},},</v>
      </c>
    </row>
    <row r="1040" spans="1:24" x14ac:dyDescent="0.15">
      <c r="C1040">
        <v>55318</v>
      </c>
      <c r="D1040">
        <v>65</v>
      </c>
      <c r="I1040" t="s">
        <v>2503</v>
      </c>
      <c r="J1040" t="s">
        <v>2168</v>
      </c>
      <c r="P1040">
        <v>1</v>
      </c>
      <c r="V1040" t="str">
        <f t="shared" si="16"/>
        <v>{dwID=55318,nFrame=65,szNote="门派事件",col={0,255,0,},[3]={bScreenHead=true,},[4]={},},</v>
      </c>
    </row>
    <row r="1041" spans="1:22" x14ac:dyDescent="0.15">
      <c r="C1041">
        <v>55316</v>
      </c>
      <c r="D1041">
        <v>65</v>
      </c>
      <c r="I1041" t="s">
        <v>2503</v>
      </c>
      <c r="J1041" t="s">
        <v>2168</v>
      </c>
      <c r="P1041">
        <v>1</v>
      </c>
      <c r="V1041" t="str">
        <f t="shared" si="16"/>
        <v>{dwID=55316,nFrame=65,szNote="门派事件",col={0,255,0,},[3]={bScreenHead=true,},[4]={},},</v>
      </c>
    </row>
    <row r="1042" spans="1:22" x14ac:dyDescent="0.15">
      <c r="C1042">
        <v>55320</v>
      </c>
      <c r="D1042">
        <v>65</v>
      </c>
      <c r="I1042" t="s">
        <v>2503</v>
      </c>
      <c r="J1042" t="s">
        <v>2168</v>
      </c>
      <c r="P1042">
        <v>1</v>
      </c>
      <c r="V1042" t="str">
        <f t="shared" si="16"/>
        <v>{dwID=55320,nFrame=65,szNote="门派事件",col={0,255,0,},[3]={bScreenHead=true,},[4]={},},</v>
      </c>
    </row>
    <row r="1043" spans="1:22" x14ac:dyDescent="0.15">
      <c r="C1043">
        <v>55336</v>
      </c>
      <c r="D1043">
        <v>52</v>
      </c>
      <c r="I1043" t="s">
        <v>2503</v>
      </c>
      <c r="J1043" t="s">
        <v>2676</v>
      </c>
      <c r="P1043">
        <v>1</v>
      </c>
      <c r="V1043" t="str">
        <f t="shared" si="16"/>
        <v>{dwID=55336,nFrame=52,szNote="门派事件",col={255,50,50,},[3]={bScreenHead=true,},[4]={},},</v>
      </c>
    </row>
    <row r="1044" spans="1:22" x14ac:dyDescent="0.15">
      <c r="C1044">
        <v>55377</v>
      </c>
      <c r="D1044">
        <v>52</v>
      </c>
      <c r="I1044" t="s">
        <v>2503</v>
      </c>
      <c r="J1044" t="s">
        <v>2676</v>
      </c>
      <c r="P1044">
        <v>1</v>
      </c>
      <c r="V1044" t="str">
        <f t="shared" si="16"/>
        <v>{dwID=55377,nFrame=52,szNote="门派事件",col={255,50,50,},[3]={bScreenHead=true,},[4]={},},</v>
      </c>
    </row>
    <row r="1045" spans="1:22" x14ac:dyDescent="0.15">
      <c r="C1045">
        <v>55379</v>
      </c>
      <c r="D1045">
        <v>52</v>
      </c>
      <c r="I1045" t="s">
        <v>2503</v>
      </c>
      <c r="J1045" t="s">
        <v>2676</v>
      </c>
      <c r="P1045">
        <v>1</v>
      </c>
      <c r="V1045" t="str">
        <f t="shared" si="16"/>
        <v>{dwID=55379,nFrame=52,szNote="门派事件",col={255,50,50,},[3]={bScreenHead=true,},[4]={},},</v>
      </c>
    </row>
    <row r="1046" spans="1:22" x14ac:dyDescent="0.15">
      <c r="C1046">
        <v>55398</v>
      </c>
      <c r="D1046">
        <v>47</v>
      </c>
      <c r="I1046" t="s">
        <v>2503</v>
      </c>
      <c r="J1046" t="s">
        <v>2168</v>
      </c>
      <c r="P1046">
        <v>1</v>
      </c>
      <c r="U1046" t="s">
        <v>4297</v>
      </c>
      <c r="V1046" t="str">
        <f t="shared" si="16"/>
        <v>{dwID=55398,nFrame=47,szNote="门派事件",col={0,255,0,},[3]={bScreenHead=true,},[4]={},aFocus={{dwMapID=-1,szDisplay="柳辰芦·门派事件",nMaxDistance=20,tRelation={bAll=true,bEnemy=false,bAlly=false,},tLife={bEnable=false,szOperator="&gt;",nValue=0,},},},},</v>
      </c>
    </row>
    <row r="1047" spans="1:22" x14ac:dyDescent="0.15">
      <c r="C1047">
        <v>55339</v>
      </c>
      <c r="D1047">
        <v>47</v>
      </c>
      <c r="I1047" t="s">
        <v>2503</v>
      </c>
      <c r="J1047" t="s">
        <v>2676</v>
      </c>
      <c r="O1047">
        <v>1</v>
      </c>
      <c r="P1047">
        <v>1</v>
      </c>
      <c r="U1047" t="s">
        <v>4298</v>
      </c>
      <c r="V1047" t="str">
        <f t="shared" si="16"/>
        <v>{dwID=55339,nFrame=47,szNote="门派事件",col={255,50,50,},[3]={bCenterAlarm=true,bScreenHead=true,},[4]={},aFocus={{dwMapID=-1,szDisplay="唐花·门派事件",nMaxDistance=0,tRelation={bAll=true,bEnemy=false,bAlly=false,},tLife={bEnable=false,szOperator="&gt;",nValue=0,},},},},</v>
      </c>
    </row>
    <row r="1048" spans="1:22" x14ac:dyDescent="0.15">
      <c r="C1048">
        <v>55340</v>
      </c>
      <c r="D1048">
        <v>47</v>
      </c>
      <c r="I1048" t="s">
        <v>2503</v>
      </c>
      <c r="J1048" t="s">
        <v>2676</v>
      </c>
      <c r="O1048">
        <v>1</v>
      </c>
      <c r="P1048">
        <v>1</v>
      </c>
      <c r="U1048" t="s">
        <v>4299</v>
      </c>
      <c r="V1048" t="str">
        <f t="shared" si="16"/>
        <v>{dwID=55340,nFrame=47,szNote="门派事件",col={255,50,50,},[3]={bCenterAlarm=true,bScreenHead=true,},[4]={},aFocus={{dwMapID=-1,szDisplay="重楼子·门派事件",nMaxDistance=0,tRelation={bAll=true,bEnemy=false,bAlly=false,},tLife={bEnable=false,szOperator="&gt;",nValue=0,},},},},</v>
      </c>
    </row>
    <row r="1049" spans="1:22" x14ac:dyDescent="0.15">
      <c r="C1049">
        <v>55347</v>
      </c>
      <c r="D1049">
        <v>57</v>
      </c>
      <c r="I1049" t="s">
        <v>2503</v>
      </c>
      <c r="J1049" t="s">
        <v>2676</v>
      </c>
      <c r="O1049">
        <v>1</v>
      </c>
      <c r="P1049">
        <v>1</v>
      </c>
      <c r="U1049" t="s">
        <v>3623</v>
      </c>
      <c r="V1049" t="str">
        <f t="shared" si="16"/>
        <v>{dwID=55347,nFrame=57,szNote="门派事件",col={255,50,50,},[3]={bCenterAlarm=true,bScreenHead=true,},[4]={},aFocus={{dwMapID=-1,nMaxDistance=0,tRelation={bAll=true,bEnemy=false,bAlly=false,},tLife={bEnable=false,szOperator="&gt;",nValue=0,},},},},</v>
      </c>
    </row>
    <row r="1050" spans="1:22" x14ac:dyDescent="0.15">
      <c r="A1050" t="s">
        <v>876</v>
      </c>
      <c r="B1050">
        <v>249</v>
      </c>
      <c r="V1050" t="str">
        <f t="shared" si="16"/>
        <v>},[249]={</v>
      </c>
    </row>
    <row r="1051" spans="1:22" x14ac:dyDescent="0.15">
      <c r="C1051">
        <v>54034</v>
      </c>
      <c r="D1051">
        <v>47</v>
      </c>
      <c r="P1051">
        <v>1</v>
      </c>
      <c r="U1051" t="s">
        <v>4300</v>
      </c>
      <c r="V1051" t="str">
        <f t="shared" si="16"/>
        <v>{dwID=54034,nFrame=47,[3]={bScreenHead=true,},[4]={},aFocus={{dwMapID=-1,szDisplay="李承恩·剧情",nMaxDistance=90,tRelation={bAll=true,bEnemy=false,bAlly=false,},tLife={bEnable=false,szOperator="&gt;",nValue=0,},},},},</v>
      </c>
    </row>
    <row r="1052" spans="1:22" x14ac:dyDescent="0.15">
      <c r="C1052">
        <v>54073</v>
      </c>
      <c r="D1052">
        <v>47</v>
      </c>
      <c r="J1052" t="s">
        <v>2168</v>
      </c>
      <c r="P1052">
        <v>1</v>
      </c>
      <c r="U1052" t="s">
        <v>4301</v>
      </c>
      <c r="V1052" t="str">
        <f t="shared" si="16"/>
        <v>{dwID=54073,nFrame=47,col={0,255,0,},[3]={bScreenHead=true,},[4]={},aFocus={{dwMapID=-1,szDisplay="李斩鸿·剧情",nMaxDistance=0,tRelation={bAll=true,bEnemy=false,bAlly=false,},tLife={bEnable=false,szOperator="&gt;",nValue=0,},},},},</v>
      </c>
    </row>
    <row r="1053" spans="1:22" x14ac:dyDescent="0.15">
      <c r="C1053">
        <v>54047</v>
      </c>
      <c r="D1053">
        <v>57</v>
      </c>
      <c r="J1053" t="s">
        <v>2676</v>
      </c>
      <c r="P1053">
        <v>1</v>
      </c>
      <c r="U1053" t="s">
        <v>3623</v>
      </c>
      <c r="V1053" t="str">
        <f t="shared" si="16"/>
        <v>{dwID=54047,nFrame=57,col={255,50,50,},[3]={bScreenHead=true,},[4]={},aFocus={{dwMapID=-1,nMaxDistance=0,tRelation={bAll=true,bEnemy=false,bAlly=false,},tLife={bEnable=false,szOperator="&gt;",nValue=0,},},},},</v>
      </c>
    </row>
    <row r="1054" spans="1:22" x14ac:dyDescent="0.15">
      <c r="C1054">
        <v>54050</v>
      </c>
      <c r="D1054">
        <v>47</v>
      </c>
      <c r="P1054">
        <v>1</v>
      </c>
      <c r="U1054" t="s">
        <v>3644</v>
      </c>
      <c r="V1054" t="str">
        <f t="shared" si="16"/>
        <v>{dwID=54050,nFrame=47,[3]={bScreenHead=true,},[4]={},aFocus={{dwMapID=-1,nMaxDistance=0,tRelation={bAll=false,bEnemy=true,bAlly=false,},tLife={bEnable=false,szOperator="&gt;",nValue=0,},},},},</v>
      </c>
    </row>
    <row r="1055" spans="1:22" x14ac:dyDescent="0.15">
      <c r="A1055" t="s">
        <v>902</v>
      </c>
      <c r="B1055">
        <v>285</v>
      </c>
      <c r="V1055" t="str">
        <f t="shared" si="16"/>
        <v>},[285]={</v>
      </c>
    </row>
    <row r="1056" spans="1:22" x14ac:dyDescent="0.15">
      <c r="C1056">
        <v>59270</v>
      </c>
      <c r="D1056">
        <v>57</v>
      </c>
      <c r="U1056" t="s">
        <v>3622</v>
      </c>
      <c r="V1056" t="str">
        <f t="shared" si="16"/>
        <v>{dwID=59270,nFrame=57,[3]={},[4]={},aFocus={{dwMapID=-1,nMaxDistance=30,tRelation={bAll=true,bEnemy=false,bAlly=false,},tLife={bEnable=false,szOperator="&gt;",nValue=0,},},},},</v>
      </c>
    </row>
    <row r="1057" spans="1:31" x14ac:dyDescent="0.15">
      <c r="A1057" t="s">
        <v>260</v>
      </c>
      <c r="B1057">
        <v>302</v>
      </c>
      <c r="V1057" t="str">
        <f t="shared" si="16"/>
        <v>},[302]={</v>
      </c>
    </row>
    <row r="1058" spans="1:31" x14ac:dyDescent="0.15">
      <c r="C1058">
        <v>60182</v>
      </c>
      <c r="D1058">
        <v>47</v>
      </c>
      <c r="I1058" t="s">
        <v>260</v>
      </c>
      <c r="J1058" t="s">
        <v>2168</v>
      </c>
      <c r="P1058">
        <v>1</v>
      </c>
      <c r="U1058" t="s">
        <v>4302</v>
      </c>
      <c r="V1058" t="str">
        <f t="shared" si="16"/>
        <v>{dwID=60182,nFrame=47,szNote="云梦幽泽",col={0,255,0,},[3]={bScreenHead=true,},[4]={},aFocus={{dwMapID=302,nMaxDistance=-1,tRelation={bAll=false,bEnemy=false,bAlly=true,},tLife={bEnable=true,szOperator="&lt;",nValue=100,},},},tCountdown={{nClass=3,nIcon=1259,nFrame=5,szName="雪雪学会后逢年过节会送",nTime=10,nRefresh=3600,key="做菜提示N",},{nClass=3,nIcon=100,nFrame=5,szName="稻 香 饼 ·恢复气血2点",nTime=10,nRefresh=3600,key="做菜提示·稻香饼N",},{nClass=3,nIcon=259,nFrame=5,szName="鲜肉包子·恢复内力2点",nTime=10,nRefresh=3600,key="做菜提示·鲜肉包子N",},{nClass=3,nIcon=545,nFrame=5,szName=" 混 　沌 ·恢复精力5点",nTime=10,nRefresh=3600,key="做菜提示·混沌N",},{nClass=3,nIcon=7635,nFrame=5,szName="肉馅团子·体质",nTime=10,nRefresh=3600,key="做菜提示·肉馅团子N",},{nClass=3,nIcon=7622,nFrame=5,szName="冬瓜烧肉·根骨",nTime=10,nRefresh=3600,key="做菜提示·冬瓜烧肉N",},{nClass=3,nIcon=7533,nFrame=5,szName="黄瓜烧肉·力道",nTime=10,nRefresh=3600,key="做菜提示·黄瓜烧肉N",},{nClass=3,nIcon=7659,nFrame=5,szName=" 肉 　粥 ·元气",nTime=10,nRefresh=3600,key="做菜提示·肉粥N",},{nClass=3,nIcon=7613,nFrame=5,szName="蘑菇炖肉·身法",nTime=10,nRefresh=3600,key="做菜提示·蘑菇炖肉N",},},},</v>
      </c>
      <c r="W1058" t="s">
        <v>4303</v>
      </c>
      <c r="X1058" t="s">
        <v>4304</v>
      </c>
      <c r="Y1058" t="s">
        <v>4305</v>
      </c>
      <c r="Z1058" t="s">
        <v>4306</v>
      </c>
      <c r="AA1058" t="s">
        <v>4307</v>
      </c>
      <c r="AB1058" t="s">
        <v>4308</v>
      </c>
      <c r="AC1058" t="s">
        <v>4309</v>
      </c>
      <c r="AD1058" t="s">
        <v>4310</v>
      </c>
      <c r="AE1058" t="s">
        <v>4311</v>
      </c>
    </row>
    <row r="1059" spans="1:31" x14ac:dyDescent="0.15">
      <c r="C1059">
        <v>60165</v>
      </c>
      <c r="D1059">
        <v>52</v>
      </c>
      <c r="U1059" t="s">
        <v>3627</v>
      </c>
      <c r="V1059" t="str">
        <f t="shared" si="16"/>
        <v>{dwID=60165,nFrame=52,[3]={},[4]={},aFocus={{dwMapID=-1,nMaxDistance=10,tRelation={bAll=true,bEnemy=false,bAlly=false,},tLife={bEnable=false,szOperator="&gt;",nValue=0,},},},},</v>
      </c>
    </row>
    <row r="1060" spans="1:31" x14ac:dyDescent="0.15">
      <c r="C1060">
        <v>60506</v>
      </c>
      <c r="D1060">
        <v>47</v>
      </c>
      <c r="I1060" t="s">
        <v>3818</v>
      </c>
      <c r="J1060" t="s">
        <v>2168</v>
      </c>
      <c r="P1060">
        <v>1</v>
      </c>
      <c r="U1060" t="s">
        <v>3819</v>
      </c>
      <c r="V1060" t="str">
        <f t="shared" si="16"/>
        <v>{dwID=60506,nFrame=47,szNote="雪雪·剧情",col={0,255,0,},[3]={bScreenHead=true,},[4]={},aFocus={{dwMapID=-1,szDisplay="雪雪·剧情",nMaxDistance=0,tRelation={bAll=true,bEnemy=false,bAlly=false,},tLife={bEnable=false,szOperator="&gt;",nValue=0,},},},},</v>
      </c>
    </row>
    <row r="1061" spans="1:31" x14ac:dyDescent="0.15">
      <c r="C1061">
        <v>60287</v>
      </c>
      <c r="D1061">
        <v>47</v>
      </c>
      <c r="I1061" t="s">
        <v>3818</v>
      </c>
      <c r="J1061" t="s">
        <v>2168</v>
      </c>
      <c r="P1061">
        <v>1</v>
      </c>
      <c r="U1061" t="s">
        <v>3819</v>
      </c>
      <c r="V1061" t="str">
        <f t="shared" si="16"/>
        <v>{dwID=60287,nFrame=47,szNote="雪雪·剧情",col={0,255,0,},[3]={bScreenHead=true,},[4]={},aFocus={{dwMapID=-1,szDisplay="雪雪·剧情",nMaxDistance=0,tRelation={bAll=true,bEnemy=false,bAlly=false,},tLife={bEnable=false,szOperator="&gt;",nValue=0,},},},},</v>
      </c>
    </row>
    <row r="1062" spans="1:31" x14ac:dyDescent="0.15">
      <c r="C1062">
        <v>60530</v>
      </c>
      <c r="D1062">
        <v>47</v>
      </c>
      <c r="I1062" t="s">
        <v>3818</v>
      </c>
      <c r="J1062" t="s">
        <v>2168</v>
      </c>
      <c r="P1062">
        <v>1</v>
      </c>
      <c r="U1062" t="s">
        <v>3819</v>
      </c>
      <c r="V1062" t="str">
        <f t="shared" si="16"/>
        <v>{dwID=60530,nFrame=47,szNote="雪雪·剧情",col={0,255,0,},[3]={bScreenHead=true,},[4]={},aFocus={{dwMapID=-1,szDisplay="雪雪·剧情",nMaxDistance=0,tRelation={bAll=true,bEnemy=false,bAlly=false,},tLife={bEnable=false,szOperator="&gt;",nValue=0,},},},},</v>
      </c>
    </row>
    <row r="1063" spans="1:31" x14ac:dyDescent="0.15">
      <c r="C1063">
        <v>60548</v>
      </c>
      <c r="D1063">
        <v>47</v>
      </c>
      <c r="I1063" t="s">
        <v>4312</v>
      </c>
      <c r="J1063" t="s">
        <v>2168</v>
      </c>
      <c r="P1063">
        <v>1</v>
      </c>
      <c r="V1063" t="str">
        <f t="shared" si="16"/>
        <v>{dwID=60548,nFrame=47,szNote="雪雪·剧情3",col={0,255,0,},[3]={bScreenHead=true,},[4]={},},</v>
      </c>
    </row>
    <row r="1064" spans="1:31" x14ac:dyDescent="0.15">
      <c r="C1064">
        <v>60546</v>
      </c>
      <c r="D1064">
        <v>52</v>
      </c>
      <c r="I1064" t="s">
        <v>4312</v>
      </c>
      <c r="U1064" t="s">
        <v>3733</v>
      </c>
      <c r="V1064" t="str">
        <f t="shared" si="16"/>
        <v>{dwID=60546,nFrame=52,szNote="雪雪·剧情3",[3]={},[4]={},aFocus={{dwMapID=-1,nMaxDistance=60,tRelation={bAll=true,bEnemy=false,bAlly=false,},tLife={bEnable=false,szOperator="&gt;",nValue=0,},},},},</v>
      </c>
    </row>
    <row r="1065" spans="1:31" x14ac:dyDescent="0.15">
      <c r="A1065" t="s">
        <v>939</v>
      </c>
      <c r="B1065">
        <v>325</v>
      </c>
      <c r="V1065" t="str">
        <f t="shared" si="16"/>
        <v>},[325]={</v>
      </c>
    </row>
    <row r="1066" spans="1:31" x14ac:dyDescent="0.15">
      <c r="C1066">
        <v>61955</v>
      </c>
      <c r="D1066">
        <v>52</v>
      </c>
      <c r="I1066" t="s">
        <v>4313</v>
      </c>
      <c r="J1066" t="s">
        <v>2676</v>
      </c>
      <c r="P1066">
        <v>1</v>
      </c>
      <c r="U1066" t="s">
        <v>3622</v>
      </c>
      <c r="V1066" t="str">
        <f t="shared" si="16"/>
        <v>{dwID=61955,nFrame=52,szNote="洞天福地·守卫泥兰",col={255,50,50,},[3]={bScreenHead=true,},[4]={},aFocus={{dwMapID=-1,nMaxDistance=30,tRelation={bAll=true,bEnemy=false,bAlly=false,},tLife={bEnable=false,szOperator="&gt;",nValue=0,},},},},</v>
      </c>
    </row>
    <row r="1067" spans="1:31" x14ac:dyDescent="0.15">
      <c r="C1067">
        <v>61954</v>
      </c>
      <c r="D1067">
        <v>52</v>
      </c>
      <c r="I1067" t="s">
        <v>4313</v>
      </c>
      <c r="J1067" t="s">
        <v>2676</v>
      </c>
      <c r="P1067">
        <v>1</v>
      </c>
      <c r="U1067" t="s">
        <v>3759</v>
      </c>
      <c r="V1067" t="str">
        <f t="shared" si="16"/>
        <v>{dwID=61954,nFrame=52,szNote="洞天福地·守卫泥兰",col={255,50,50,},[3]={bScreenHead=true,},[4]={},aFocus={{dwMapID=-1,nMaxDistance=30,tRelation={bAll=false,bEnemy=true,bAlly=false,},tLife={bEnable=false,szOperator="&gt;",nValue=0,},},},},</v>
      </c>
    </row>
    <row r="1068" spans="1:31" x14ac:dyDescent="0.15">
      <c r="C1068">
        <v>61976</v>
      </c>
      <c r="D1068">
        <v>47</v>
      </c>
      <c r="I1068" t="s">
        <v>4313</v>
      </c>
      <c r="J1068" t="s">
        <v>2676</v>
      </c>
      <c r="P1068">
        <v>1</v>
      </c>
      <c r="V1068" t="str">
        <f t="shared" si="16"/>
        <v>{dwID=61976,nFrame=47,szNote="洞天福地·守卫泥兰",col={255,50,50,},[3]={bScreenHead=true,},[4]={},},</v>
      </c>
    </row>
    <row r="1069" spans="1:31" x14ac:dyDescent="0.15">
      <c r="C1069">
        <v>61977</v>
      </c>
      <c r="D1069">
        <v>47</v>
      </c>
      <c r="I1069" t="s">
        <v>4313</v>
      </c>
      <c r="J1069" t="s">
        <v>2676</v>
      </c>
      <c r="P1069">
        <v>1</v>
      </c>
      <c r="U1069" t="s">
        <v>3623</v>
      </c>
      <c r="V1069" t="str">
        <f t="shared" si="16"/>
        <v>{dwID=61977,nFrame=47,szNote="洞天福地·守卫泥兰",col={255,50,50,},[3]={bScreenHead=true,},[4]={},aFocus={{dwMapID=-1,nMaxDistance=0,tRelation={bAll=true,bEnemy=false,bAlly=false,},tLife={bEnable=false,szOperator="&gt;",nValue=0,},},},},</v>
      </c>
    </row>
    <row r="1070" spans="1:31" x14ac:dyDescent="0.15">
      <c r="C1070">
        <v>61877</v>
      </c>
      <c r="D1070">
        <v>47</v>
      </c>
      <c r="I1070" t="s">
        <v>4314</v>
      </c>
      <c r="J1070" t="s">
        <v>4315</v>
      </c>
      <c r="P1070">
        <v>1</v>
      </c>
      <c r="U1070" t="s">
        <v>4316</v>
      </c>
      <c r="V1070" t="str">
        <f t="shared" si="16"/>
        <v>{dwID=61877,nFrame=47,szNote="康氏泥兰园·声望",col={0,225,0,},[3]={bScreenHead=true,},[4]={},aFocus={{dwMapID=-1,szDisplay="康氏泥兰园·沧海珠贝",nMaxDistance=10,tRelation={bAll=true,bEnemy=false,bAlly=false,},tLife={bEnable=false,szOperator="&gt;",nValue=0,},},},},</v>
      </c>
    </row>
    <row r="1071" spans="1:31" x14ac:dyDescent="0.15">
      <c r="C1071">
        <v>64367</v>
      </c>
      <c r="D1071">
        <v>47</v>
      </c>
      <c r="J1071" t="s">
        <v>2168</v>
      </c>
      <c r="P1071">
        <v>1</v>
      </c>
      <c r="U1071" t="s">
        <v>4317</v>
      </c>
      <c r="V1071" t="str">
        <f t="shared" si="16"/>
        <v>{dwID=64367,nFrame=47,col={0,255,0,},[3]={bScreenHead=true,},[4]={},aFocus={{dwMapID=-1,nMaxDistance=60,tRelation={bAll=false,bEnemy=false,bAlly=true,},tLife={bEnable=true,szOperator="&lt;",nValue=99,},},{dwMapID=-1,nMaxDistance=6,tRelation={bAll=false,bEnemy=false,bAlly=true,},tLife={bEnable=false,szOperator="&gt;",nValue=0,},},},},</v>
      </c>
    </row>
    <row r="1072" spans="1:31" x14ac:dyDescent="0.15">
      <c r="A1072" t="s">
        <v>261</v>
      </c>
      <c r="B1072">
        <v>330</v>
      </c>
      <c r="V1072" t="str">
        <f t="shared" si="16"/>
        <v>},[330]={</v>
      </c>
    </row>
    <row r="1073" spans="1:22" x14ac:dyDescent="0.15">
      <c r="C1073">
        <v>63946</v>
      </c>
      <c r="D1073">
        <v>47</v>
      </c>
      <c r="J1073" t="s">
        <v>2152</v>
      </c>
      <c r="P1073">
        <v>1</v>
      </c>
      <c r="U1073" t="s">
        <v>3623</v>
      </c>
      <c r="V1073" t="str">
        <f t="shared" si="16"/>
        <v>{dwID=63946,nFrame=47,col={0,255,255,},[3]={bScreenHead=true,},[4]={},aFocus={{dwMapID=-1,nMaxDistance=0,tRelation={bAll=true,bEnemy=false,bAlly=false,},tLife={bEnable=false,szOperator="&gt;",nValue=0,},},},},</v>
      </c>
    </row>
    <row r="1074" spans="1:22" x14ac:dyDescent="0.15">
      <c r="C1074">
        <v>64677</v>
      </c>
      <c r="D1074">
        <v>47</v>
      </c>
      <c r="I1074" t="s">
        <v>4318</v>
      </c>
      <c r="U1074" t="s">
        <v>4319</v>
      </c>
      <c r="V1074" t="str">
        <f t="shared" si="16"/>
        <v>{dwID=64677,nFrame=47,szNote="雪国冬猎·贺多多",[3]={},[4]={},aFocus={{dwMapID=-1,szDisplay="贺多多·雪国冬猎",nMaxDistance=20,tRelation={bAll=true,bEnemy=false,bAlly=false,},tLife={bEnable=false,szOperator="&gt;",nValue=0,},},},},</v>
      </c>
    </row>
    <row r="1075" spans="1:22" x14ac:dyDescent="0.15">
      <c r="C1075">
        <v>61748</v>
      </c>
      <c r="D1075">
        <v>47</v>
      </c>
      <c r="I1075" t="s">
        <v>4320</v>
      </c>
      <c r="U1075" t="s">
        <v>4321</v>
      </c>
      <c r="V1075" t="str">
        <f t="shared" si="16"/>
        <v>{dwID=61748,nFrame=47,szNote="雪国冬猎·贺沛福",[3]={},[4]={},aFocus={{dwMapID=-1,szDisplay="贺沛福·雪国冬猎",nMaxDistance=20,tRelation={bAll=true,bEnemy=false,bAlly=false,},tLife={bEnable=false,szOperator="&gt;",nValue=0,},},},},</v>
      </c>
    </row>
    <row r="1076" spans="1:22" x14ac:dyDescent="0.15">
      <c r="C1076">
        <v>61772</v>
      </c>
      <c r="D1076">
        <v>50</v>
      </c>
      <c r="I1076" t="s">
        <v>3405</v>
      </c>
      <c r="U1076" t="s">
        <v>4322</v>
      </c>
      <c r="V1076" t="str">
        <f t="shared" si="16"/>
        <v>{dwID=61772,nFrame=50,szNote="雪国冬猎",[3]={},[4]={},aFocus={{dwMapID=-1,szDisplay="雪原鹿·10分",nMaxDistance=30,tRelation={bAll=true,bEnemy=false,bAlly=false,},tLife={bEnable=false,szOperator="&gt;",nValue=0,},},},},</v>
      </c>
    </row>
    <row r="1077" spans="1:22" x14ac:dyDescent="0.15">
      <c r="C1077">
        <v>62408</v>
      </c>
      <c r="D1077">
        <v>65</v>
      </c>
      <c r="I1077" t="s">
        <v>3405</v>
      </c>
      <c r="U1077" t="s">
        <v>4323</v>
      </c>
      <c r="V1077" t="str">
        <f t="shared" si="16"/>
        <v>{dwID=62408,nFrame=65,szNote="雪国冬猎",[3]={},[4]={},aFocus={{dwMapID=-1,szDisplay="雪原兔·6分",nMaxDistance=30,tRelation={bAll=true,bEnemy=false,bAlly=false,},tLife={bEnable=false,szOperator="&gt;",nValue=0,},},},},</v>
      </c>
    </row>
    <row r="1078" spans="1:22" x14ac:dyDescent="0.15">
      <c r="C1078">
        <v>61773</v>
      </c>
      <c r="D1078">
        <v>65</v>
      </c>
      <c r="I1078" t="s">
        <v>3405</v>
      </c>
      <c r="U1078" t="s">
        <v>4324</v>
      </c>
      <c r="V1078" t="str">
        <f t="shared" si="16"/>
        <v>{dwID=61773,nFrame=65,szNote="雪国冬猎",[3]={},[4]={},aFocus={{dwMapID=-1,szDisplay="雪原貂·2.5分",nMaxDistance=20,tRelation={bAll=true,bEnemy=false,bAlly=false,},tLife={bEnable=false,szOperator="&gt;",nValue=0,},},},},</v>
      </c>
    </row>
    <row r="1079" spans="1:22" x14ac:dyDescent="0.15">
      <c r="C1079">
        <v>62432</v>
      </c>
      <c r="D1079">
        <v>50</v>
      </c>
      <c r="G1079" t="s">
        <v>4325</v>
      </c>
      <c r="I1079" t="s">
        <v>3405</v>
      </c>
      <c r="U1079" t="s">
        <v>4326</v>
      </c>
      <c r="V1079" t="str">
        <f t="shared" si="16"/>
        <v>{dwID=62432,nFrame=50,szName="鱼·1.5分",szNote="雪国冬猎",[3]={},[4]={},aFocus={{dwMapID=-1,szDisplay="鱼·1.5分",nMaxDistance=10,tRelation={bAll=true,bEnemy=false,bAlly=false,},tLife={bEnable=false,szOperator="&gt;",nValue=0,},},},},</v>
      </c>
    </row>
    <row r="1080" spans="1:22" x14ac:dyDescent="0.15">
      <c r="C1080">
        <v>62565</v>
      </c>
      <c r="D1080">
        <v>47</v>
      </c>
      <c r="G1080" t="s">
        <v>4327</v>
      </c>
      <c r="I1080" t="s">
        <v>4328</v>
      </c>
      <c r="V1080" t="str">
        <f t="shared" si="16"/>
        <v>{dwID=62565,nFrame=47,szName="鱼叉",szNote="雪国冬猎·鱼叉",[3]={},[4]={},},</v>
      </c>
    </row>
    <row r="1081" spans="1:22" x14ac:dyDescent="0.15">
      <c r="C1081">
        <v>64460</v>
      </c>
      <c r="D1081">
        <v>47</v>
      </c>
      <c r="I1081" t="s">
        <v>4329</v>
      </c>
      <c r="J1081" t="s">
        <v>2168</v>
      </c>
      <c r="P1081">
        <v>1</v>
      </c>
      <c r="U1081" t="s">
        <v>4330</v>
      </c>
      <c r="V1081" t="str">
        <f t="shared" si="16"/>
        <v>{dwID=64460,nFrame=47,szNote="贺氏商会·贺全学",col={0,255,0,},[3]={bScreenHead=true,},[4]={},aFocus={{dwMapID=-1,szDisplay="贺氏商会·沧海珠贝",nMaxDistance=10,tRelation={bAll=true,bEnemy=false,bAlly=false,},tLife={bEnable=false,szOperator="&gt;",nValue=0,},},},},</v>
      </c>
    </row>
    <row r="1082" spans="1:22" x14ac:dyDescent="0.15">
      <c r="A1082" t="s">
        <v>940</v>
      </c>
      <c r="B1082">
        <v>331</v>
      </c>
      <c r="V1082" t="str">
        <f t="shared" si="16"/>
        <v>},[331]={</v>
      </c>
    </row>
    <row r="1083" spans="1:22" x14ac:dyDescent="0.15">
      <c r="C1083">
        <v>60182</v>
      </c>
      <c r="D1083">
        <v>47</v>
      </c>
      <c r="I1083" t="s">
        <v>3760</v>
      </c>
      <c r="J1083" t="s">
        <v>2168</v>
      </c>
      <c r="P1083">
        <v>1</v>
      </c>
      <c r="U1083" t="s">
        <v>3761</v>
      </c>
      <c r="V1083" t="str">
        <f t="shared" si="16"/>
        <v>{dwID=60182,nFrame=47,szNote="雪雪·旅行",col={0,255,0,},[3]={bScreenHead=true,},[4]={},aFocus={{dwMapID=-1,nMaxDistance=240,tRelation={bAll=true,bEnemy=false,bAlly=false,},tLife={bEnable=false,szOperator="&gt;",nValue=0,},},},},</v>
      </c>
    </row>
    <row r="1084" spans="1:22" x14ac:dyDescent="0.15">
      <c r="A1084" t="s">
        <v>941</v>
      </c>
      <c r="B1084">
        <v>332</v>
      </c>
      <c r="V1084" t="str">
        <f t="shared" si="16"/>
        <v>},[332]={</v>
      </c>
    </row>
    <row r="1085" spans="1:22" x14ac:dyDescent="0.15">
      <c r="C1085">
        <v>64200</v>
      </c>
      <c r="D1085">
        <v>47</v>
      </c>
      <c r="J1085" t="s">
        <v>2152</v>
      </c>
      <c r="O1085">
        <v>1</v>
      </c>
      <c r="P1085">
        <v>1</v>
      </c>
      <c r="U1085" t="s">
        <v>3623</v>
      </c>
      <c r="V1085" t="str">
        <f t="shared" si="16"/>
        <v>{dwID=64200,nFrame=47,col={0,255,255,},[3]={bCenterAlarm=true,bScreenHead=true,},[4]={},aFocus={{dwMapID=-1,nMaxDistance=0,tRelation={bAll=true,bEnemy=false,bAlly=false,},tLife={bEnable=false,szOperator="&gt;",nValue=0,},},},},</v>
      </c>
    </row>
    <row r="1086" spans="1:22" x14ac:dyDescent="0.15">
      <c r="C1086">
        <v>63046</v>
      </c>
      <c r="D1086">
        <v>69</v>
      </c>
      <c r="P1086">
        <v>1</v>
      </c>
      <c r="U1086" t="s">
        <v>3733</v>
      </c>
      <c r="V1086" t="str">
        <f t="shared" si="16"/>
        <v>{dwID=63046,nFrame=69,[3]={bScreenHead=true,},[4]={},aFocus={{dwMapID=-1,nMaxDistance=60,tRelation={bAll=true,bEnemy=false,bAlly=false,},tLife={bEnable=false,szOperator="&gt;",nValue=0,},},},},</v>
      </c>
    </row>
    <row r="1087" spans="1:22" x14ac:dyDescent="0.15">
      <c r="C1087">
        <v>63053</v>
      </c>
      <c r="D1087">
        <v>69</v>
      </c>
      <c r="P1087">
        <v>1</v>
      </c>
      <c r="U1087" t="s">
        <v>3733</v>
      </c>
      <c r="V1087" t="str">
        <f t="shared" si="16"/>
        <v>{dwID=63053,nFrame=69,[3]={bScreenHead=true,},[4]={},aFocus={{dwMapID=-1,nMaxDistance=60,tRelation={bAll=true,bEnemy=false,bAlly=false,},tLife={bEnable=false,szOperator="&gt;",nValue=0,},},},},</v>
      </c>
    </row>
    <row r="1088" spans="1:22" x14ac:dyDescent="0.15">
      <c r="C1088">
        <v>63054</v>
      </c>
      <c r="D1088">
        <v>69</v>
      </c>
      <c r="P1088">
        <v>1</v>
      </c>
      <c r="U1088" t="s">
        <v>3733</v>
      </c>
      <c r="V1088" t="str">
        <f t="shared" si="16"/>
        <v>{dwID=63054,nFrame=69,[3]={bScreenHead=true,},[4]={},aFocus={{dwMapID=-1,nMaxDistance=60,tRelation={bAll=true,bEnemy=false,bAlly=false,},tLife={bEnable=false,szOperator="&gt;",nValue=0,},},},},</v>
      </c>
    </row>
    <row r="1089" spans="1:25" x14ac:dyDescent="0.15">
      <c r="C1089">
        <v>63055</v>
      </c>
      <c r="D1089">
        <v>69</v>
      </c>
      <c r="P1089">
        <v>1</v>
      </c>
      <c r="U1089" t="s">
        <v>3733</v>
      </c>
      <c r="V1089" t="str">
        <f t="shared" si="16"/>
        <v>{dwID=63055,nFrame=69,[3]={bScreenHead=true,},[4]={},aFocus={{dwMapID=-1,nMaxDistance=60,tRelation={bAll=true,bEnemy=false,bAlly=false,},tLife={bEnable=false,szOperator="&gt;",nValue=0,},},},},</v>
      </c>
    </row>
    <row r="1090" spans="1:25" x14ac:dyDescent="0.15">
      <c r="C1090">
        <v>63044</v>
      </c>
      <c r="D1090">
        <v>54</v>
      </c>
      <c r="P1090">
        <v>1</v>
      </c>
      <c r="U1090" t="s">
        <v>3623</v>
      </c>
      <c r="V1090" t="str">
        <f t="shared" ref="V1090:V1153" si="17">IF(ISBLANK(B1090)=FALSE,IF(ISBLANK(B1089),"},["&amp;B1090&amp;"]={","["&amp;B1090&amp;"]={"),IF(AND(ISBLANK(B1090),ISBLANK(D1090),ISBLANK(C1090),OR(ISBLANK(B1089)=FALSE,ISBLANK(D1089)=FALSE,ISBLANK(C1089)=FALSE)),"},},}",IF(ISBLANK(C1090),"","{dwID="&amp;C1090&amp;","&amp;"nFrame="&amp;D1090&amp;","&amp;IF(E1090&gt;0,"nCount="&amp;E1090&amp;",","")&amp;IF(F1090&gt;0,"bAllLeave=true,","")&amp;IF(G1090&lt;&gt;"","szName="""&amp;G1090&amp;""",","")&amp;IF(H1090&lt;&gt;"","tKungFu={"&amp;H1090&amp;"},","")&amp;IF(I1090&lt;&gt;"","szNote="""&amp;I1090&amp;""",","")&amp;IF(J1090&lt;&gt;"","col={"&amp;J1090&amp;"},","")&amp;"[3]={"&amp;IF(K1090&lt;&gt;"","tMark={"&amp;K1090&amp;"},","")&amp;IF(L1090&lt;&gt;"","szVoice="""&amp;L1090&amp;""",","")&amp;IF(M1090&gt;0,"bTeamChannel=true,","")&amp;IF(N1090&gt;0,"bWhisperChannel=true,","")&amp;IF(O1090&gt;0,"bCenterAlarm=true,","")&amp;IF(P1090&gt;0,"bScreenHead=true,","")&amp;"},"&amp;"[4]={"&amp;IF(Q1090&lt;&gt;"","szVoice="""&amp;Q1090&amp;""",","")&amp;IF(R1090&gt;0,"bTeamChannel=true,","")&amp;IF(S1090&gt;0,"bWhisperChannel=true,","")&amp;IF(T1090&gt;0,"bCenterAlarm=true,","")&amp;"},"&amp;IF(U1090&lt;&gt;"","aFocus={"&amp;U1090&amp;"},","")&amp;IF(W1090&lt;&gt;"","tCountdown={"&amp;_xlfn.TEXTJOIN("",TRUE,W1090:ZZ1090)&amp;"},","")&amp;"},")))</f>
        <v>{dwID=63044,nFrame=54,[3]={bScreenHead=true,},[4]={},aFocus={{dwMapID=-1,nMaxDistance=0,tRelation={bAll=true,bEnemy=false,bAlly=false,},tLife={bEnable=false,szOperator="&gt;",nValue=0,},},},},</v>
      </c>
    </row>
    <row r="1091" spans="1:25" x14ac:dyDescent="0.15">
      <c r="C1091">
        <v>63754</v>
      </c>
      <c r="D1091">
        <v>47</v>
      </c>
      <c r="I1091" t="s">
        <v>4331</v>
      </c>
      <c r="U1091" t="s">
        <v>4332</v>
      </c>
      <c r="V1091" t="str">
        <f t="shared" si="17"/>
        <v>{dwID=63754,nFrame=47,szNote="侠客岛·姜氏·云霞",[3]={},[4]={},aFocus={{dwMapID=-1,szDisplay="侠客岛姜氏·沧海珠贝",nMaxDistance=10,tRelation={bAll=true,bEnemy=false,bAlly=false,},tLife={bEnable=false,szOperator="&gt;",nValue=0,},},},},</v>
      </c>
    </row>
    <row r="1092" spans="1:25" x14ac:dyDescent="0.15">
      <c r="A1092" t="s">
        <v>262</v>
      </c>
      <c r="B1092">
        <v>334</v>
      </c>
      <c r="V1092" t="str">
        <f t="shared" si="17"/>
        <v>},[334]={</v>
      </c>
    </row>
    <row r="1093" spans="1:25" x14ac:dyDescent="0.15">
      <c r="C1093">
        <v>64556</v>
      </c>
      <c r="D1093">
        <v>47</v>
      </c>
      <c r="J1093" t="s">
        <v>2168</v>
      </c>
      <c r="P1093">
        <v>1</v>
      </c>
      <c r="U1093" t="s">
        <v>4333</v>
      </c>
      <c r="V1093" t="str">
        <f t="shared" si="17"/>
        <v>{dwID=64556,nFrame=47,col={0,255,0,},[3]={bScreenHead=true,},[4]={},aFocus={{dwMapID=-1,szDisplay="东海丐帮分舵·沧海珠贝",nMaxDistance=3,tRelation={bAll=true,bEnemy=false,bAlly=false,},tLife={bEnable=false,szOperator="&gt;",nValue=0,},},},},</v>
      </c>
    </row>
    <row r="1094" spans="1:25" x14ac:dyDescent="0.15">
      <c r="C1094">
        <v>63116</v>
      </c>
      <c r="D1094">
        <v>47</v>
      </c>
      <c r="P1094">
        <v>1</v>
      </c>
      <c r="U1094" t="s">
        <v>4334</v>
      </c>
      <c r="V1094" t="str">
        <f t="shared" si="17"/>
        <v>{dwID=63116,nFrame=47,[3]={bScreenHead=true,},[4]={},aFocus={{dwMapID=-1,nMaxDistance=30,tRelation={bAll=false,bEnemy=true,bAlly=false,},tLife={bEnable=false,szOperator="&gt;",nValue=0,},},{dwMapID=-1,nMaxDistance=15,tRelation={bAll=true,bEnemy=false,bAlly=false,},tLife={bEnable=false,szOperator="&gt;",nValue=0,},},},},</v>
      </c>
    </row>
    <row r="1095" spans="1:25" x14ac:dyDescent="0.15">
      <c r="C1095">
        <v>63111</v>
      </c>
      <c r="D1095">
        <v>50</v>
      </c>
      <c r="I1095" t="s">
        <v>4335</v>
      </c>
      <c r="K1095" t="s">
        <v>4336</v>
      </c>
      <c r="U1095" t="s">
        <v>3644</v>
      </c>
      <c r="V1095" t="str">
        <f t="shared" si="17"/>
        <v>{dwID=63111,nFrame=50,szNote="越海珠贝·海中巨鲨",[3]={tMark={false,true,false,false,false,false,false,false,false,false,},},[4]={},aFocus={{dwMapID=-1,nMaxDistance=0,tRelation={bAll=false,bEnemy=true,bAlly=false,},tLife={bEnable=false,szOperator="&gt;",nValue=0,},},},tCountdown={{nClass=3,nIcon=17135,nFrame=6,szName="击退·巡逻恶鲨·刷新巨鲨",nTime=5,key="越海珠贝·海中巨鲨",},{nClass=12,nIcon=17135,nFrame=6,szName="海中巨鲨·即将刷新",nTime=10,key="越海珠贝·海中巨鲨",},},},</v>
      </c>
      <c r="W1095" t="s">
        <v>4337</v>
      </c>
      <c r="X1095" t="s">
        <v>4338</v>
      </c>
    </row>
    <row r="1096" spans="1:25" x14ac:dyDescent="0.15">
      <c r="C1096">
        <v>64029</v>
      </c>
      <c r="D1096">
        <v>60</v>
      </c>
      <c r="J1096" t="s">
        <v>2676</v>
      </c>
      <c r="K1096" t="s">
        <v>3668</v>
      </c>
      <c r="P1096">
        <v>1</v>
      </c>
      <c r="U1096" t="s">
        <v>3623</v>
      </c>
      <c r="V1096" t="str">
        <f t="shared" si="17"/>
        <v>{dwID=64029,nFrame=60,col={255,50,50,},[3]={tMark={true,false,false,false,false,false,false,false,false,false,},bScreenHead=true,},[4]={},aFocus={{dwMapID=-1,nMaxDistance=0,tRelation={bAll=true,bEnemy=false,bAlly=false,},tLife={bEnable=false,szOperator="&gt;",nValue=0,},},},tCountdown={{nClass=12,nIcon=17135,nFrame=4,szName="巨鲨·刷新剩余",nTime="330,巨鲨·刷新剩余;340,击退·巡逻恶鲨·刷新巨鲨",nRefresh=330,key="越海珠贝·海中巨鲨",},{nClass=3,nIcon=17135,nFrame=6,szName="越海珠贝·海中巨鲨",nTime=0,key="越海珠贝·海中巨鲨",},{nClass=3,nIcon=17135,nFrame=6,szName="海中巨鲨·已刷新",nTime=5,key="越海珠贝·海中巨鲨",},},},</v>
      </c>
      <c r="W1096" t="s">
        <v>4339</v>
      </c>
      <c r="X1096" t="s">
        <v>4340</v>
      </c>
      <c r="Y1096" t="s">
        <v>4341</v>
      </c>
    </row>
    <row r="1097" spans="1:25" x14ac:dyDescent="0.15">
      <c r="A1097" t="s">
        <v>946</v>
      </c>
      <c r="B1097">
        <v>340</v>
      </c>
      <c r="V1097" t="str">
        <f t="shared" si="17"/>
        <v>},[340]={</v>
      </c>
    </row>
    <row r="1098" spans="1:25" x14ac:dyDescent="0.15">
      <c r="C1098">
        <v>63785</v>
      </c>
      <c r="D1098">
        <v>47</v>
      </c>
      <c r="U1098" t="s">
        <v>4342</v>
      </c>
      <c r="V1098" t="str">
        <f t="shared" si="17"/>
        <v>{dwID=63785,nFrame=47,[3]={},[4]={},aFocus={{dwMapID=-1,szDisplay="救我狗命",nMaxDistance=30,tRelation={bAll=true,bEnemy=false,bAlly=false,},tLife={bEnable=false,szOperator="&gt;",nValue=0,},},},},</v>
      </c>
    </row>
    <row r="1099" spans="1:25" x14ac:dyDescent="0.15">
      <c r="A1099" t="s">
        <v>947</v>
      </c>
      <c r="B1099">
        <v>341</v>
      </c>
      <c r="V1099" t="str">
        <f t="shared" si="17"/>
        <v>},[341]={</v>
      </c>
    </row>
    <row r="1100" spans="1:25" x14ac:dyDescent="0.15">
      <c r="C1100">
        <v>64755</v>
      </c>
      <c r="D1100">
        <v>67</v>
      </c>
      <c r="J1100" t="s">
        <v>2152</v>
      </c>
      <c r="P1100">
        <v>1</v>
      </c>
      <c r="U1100" t="s">
        <v>4021</v>
      </c>
      <c r="V1100" t="str">
        <f t="shared" si="17"/>
        <v>{dwID=64755,nFrame=67,col={0,255,255,},[3]={bScreenHead=true,},[4]={},aFocus={{dwMapID=-1,nMaxDistance=90,tRelation={bAll=true,bEnemy=false,bAlly=false,},tLife={bEnable=false,szOperator="&gt;",nValue=0,},},},},</v>
      </c>
    </row>
    <row r="1101" spans="1:25" x14ac:dyDescent="0.15">
      <c r="A1101" t="s">
        <v>955</v>
      </c>
      <c r="B1101">
        <v>354</v>
      </c>
      <c r="V1101" t="str">
        <f t="shared" si="17"/>
        <v>},[354]={</v>
      </c>
    </row>
    <row r="1102" spans="1:25" x14ac:dyDescent="0.15">
      <c r="C1102">
        <v>64755</v>
      </c>
      <c r="D1102">
        <v>67</v>
      </c>
      <c r="J1102" t="s">
        <v>2152</v>
      </c>
      <c r="P1102">
        <v>1</v>
      </c>
      <c r="U1102" t="s">
        <v>4021</v>
      </c>
      <c r="V1102" t="str">
        <f t="shared" si="17"/>
        <v>{dwID=64755,nFrame=67,col={0,255,255,},[3]={bScreenHead=true,},[4]={},aFocus={{dwMapID=-1,nMaxDistance=90,tRelation={bAll=true,bEnemy=false,bAlly=false,},tLife={bEnable=false,szOperator="&gt;",nValue=0,},},},},</v>
      </c>
    </row>
    <row r="1103" spans="1:25" x14ac:dyDescent="0.15">
      <c r="A1103" t="s">
        <v>961</v>
      </c>
      <c r="B1103">
        <v>360</v>
      </c>
      <c r="V1103" t="str">
        <f t="shared" si="17"/>
        <v>},[360]={</v>
      </c>
    </row>
    <row r="1104" spans="1:25" x14ac:dyDescent="0.15">
      <c r="C1104">
        <v>64755</v>
      </c>
      <c r="D1104">
        <v>67</v>
      </c>
      <c r="J1104" t="s">
        <v>2152</v>
      </c>
      <c r="P1104">
        <v>1</v>
      </c>
      <c r="U1104" t="s">
        <v>4021</v>
      </c>
      <c r="V1104" t="str">
        <f t="shared" si="17"/>
        <v>{dwID=64755,nFrame=67,col={0,255,255,},[3]={bScreenHead=true,},[4]={},aFocus={{dwMapID=-1,nMaxDistance=90,tRelation={bAll=true,bEnemy=false,bAlly=false,},tLife={bEnable=false,szOperator="&gt;",nValue=0,},},},},</v>
      </c>
    </row>
    <row r="1105" spans="1:22" x14ac:dyDescent="0.15">
      <c r="A1105" t="s">
        <v>970</v>
      </c>
      <c r="B1105">
        <v>406</v>
      </c>
      <c r="V1105" t="str">
        <f t="shared" si="17"/>
        <v>},[406]={</v>
      </c>
    </row>
    <row r="1106" spans="1:22" x14ac:dyDescent="0.15">
      <c r="C1106">
        <v>65460</v>
      </c>
      <c r="D1106">
        <v>57</v>
      </c>
      <c r="U1106" t="s">
        <v>3733</v>
      </c>
      <c r="V1106" t="str">
        <f t="shared" si="17"/>
        <v>{dwID=65460,nFrame=57,[3]={},[4]={},aFocus={{dwMapID=-1,nMaxDistance=60,tRelation={bAll=true,bEnemy=false,bAlly=false,},tLife={bEnable=false,szOperator="&gt;",nValue=0,},},},},</v>
      </c>
    </row>
    <row r="1107" spans="1:22" x14ac:dyDescent="0.15">
      <c r="A1107" t="s">
        <v>971</v>
      </c>
      <c r="B1107">
        <v>407</v>
      </c>
      <c r="V1107" t="str">
        <f t="shared" si="17"/>
        <v>},[407]={</v>
      </c>
    </row>
    <row r="1108" spans="1:22" x14ac:dyDescent="0.15">
      <c r="C1108">
        <v>65844</v>
      </c>
      <c r="D1108">
        <v>57</v>
      </c>
      <c r="U1108" t="s">
        <v>4343</v>
      </c>
      <c r="V1108" t="str">
        <f t="shared" si="17"/>
        <v>{dwID=65844,nFrame=57,[3]={},[4]={},aFocus={{dwMapID=-1,nMaxDistance=50,tRelation={bAll=true,bEnemy=false,bAlly=false,},tLife={bEnable=false,szOperator="&gt;",nValue=0,},},},},</v>
      </c>
    </row>
    <row r="1109" spans="1:22" x14ac:dyDescent="0.15">
      <c r="C1109">
        <v>65847</v>
      </c>
      <c r="D1109">
        <v>57</v>
      </c>
      <c r="U1109" t="s">
        <v>3733</v>
      </c>
      <c r="V1109" t="str">
        <f t="shared" si="17"/>
        <v>{dwID=65847,nFrame=57,[3]={},[4]={},aFocus={{dwMapID=-1,nMaxDistance=60,tRelation={bAll=true,bEnemy=false,bAlly=false,},tLife={bEnable=false,szOperator="&gt;",nValue=0,},},},},</v>
      </c>
    </row>
    <row r="1110" spans="1:22" x14ac:dyDescent="0.15">
      <c r="A1110" t="s">
        <v>264</v>
      </c>
      <c r="B1110">
        <v>411</v>
      </c>
      <c r="V1110" t="str">
        <f t="shared" si="17"/>
        <v>},[411]={</v>
      </c>
    </row>
    <row r="1111" spans="1:22" x14ac:dyDescent="0.15">
      <c r="C1111">
        <v>69035</v>
      </c>
      <c r="D1111">
        <v>47</v>
      </c>
      <c r="J1111" t="s">
        <v>2168</v>
      </c>
      <c r="O1111">
        <v>1</v>
      </c>
      <c r="P1111">
        <v>1</v>
      </c>
      <c r="U1111" t="s">
        <v>3623</v>
      </c>
      <c r="V1111" t="str">
        <f t="shared" si="17"/>
        <v>{dwID=69035,nFrame=47,col={0,255,0,},[3]={bCenterAlarm=true,bScreenHead=true,},[4]={},aFocus={{dwMapID=-1,nMaxDistance=0,tRelation={bAll=true,bEnemy=false,bAlly=false,},tLife={bEnable=false,szOperator="&gt;",nValue=0,},},},},</v>
      </c>
    </row>
    <row r="1112" spans="1:22" x14ac:dyDescent="0.15">
      <c r="C1112">
        <v>69005</v>
      </c>
      <c r="D1112">
        <v>47</v>
      </c>
      <c r="J1112" t="s">
        <v>2168</v>
      </c>
      <c r="O1112">
        <v>1</v>
      </c>
      <c r="P1112">
        <v>1</v>
      </c>
      <c r="T1112">
        <v>1</v>
      </c>
      <c r="U1112" t="s">
        <v>3623</v>
      </c>
      <c r="V1112" t="str">
        <f t="shared" si="17"/>
        <v>{dwID=69005,nFrame=47,col={0,255,0,},[3]={bCenterAlarm=true,bScreenHead=true,},[4]={bCenterAlarm=true,},aFocus={{dwMapID=-1,nMaxDistance=0,tRelation={bAll=true,bEnemy=false,bAlly=false,},tLife={bEnable=false,szOperator="&gt;",nValue=0,},},},},</v>
      </c>
    </row>
    <row r="1113" spans="1:22" x14ac:dyDescent="0.15">
      <c r="C1113">
        <v>69009</v>
      </c>
      <c r="D1113">
        <v>47</v>
      </c>
      <c r="J1113" t="s">
        <v>2168</v>
      </c>
      <c r="O1113">
        <v>1</v>
      </c>
      <c r="P1113">
        <v>1</v>
      </c>
      <c r="T1113">
        <v>1</v>
      </c>
      <c r="U1113" t="s">
        <v>3623</v>
      </c>
      <c r="V1113" t="str">
        <f t="shared" si="17"/>
        <v>{dwID=69009,nFrame=47,col={0,255,0,},[3]={bCenterAlarm=true,bScreenHead=true,},[4]={bCenterAlarm=true,},aFocus={{dwMapID=-1,nMaxDistance=0,tRelation={bAll=true,bEnemy=false,bAlly=false,},tLife={bEnable=false,szOperator="&gt;",nValue=0,},},},},</v>
      </c>
    </row>
    <row r="1114" spans="1:22" x14ac:dyDescent="0.15">
      <c r="C1114">
        <v>69008</v>
      </c>
      <c r="D1114">
        <v>47</v>
      </c>
      <c r="J1114" t="s">
        <v>2168</v>
      </c>
      <c r="O1114">
        <v>1</v>
      </c>
      <c r="P1114">
        <v>1</v>
      </c>
      <c r="T1114">
        <v>1</v>
      </c>
      <c r="U1114" t="s">
        <v>3623</v>
      </c>
      <c r="V1114" t="str">
        <f t="shared" si="17"/>
        <v>{dwID=69008,nFrame=47,col={0,255,0,},[3]={bCenterAlarm=true,bScreenHead=true,},[4]={bCenterAlarm=true,},aFocus={{dwMapID=-1,nMaxDistance=0,tRelation={bAll=true,bEnemy=false,bAlly=false,},tLife={bEnable=false,szOperator="&gt;",nValue=0,},},},},</v>
      </c>
    </row>
    <row r="1115" spans="1:22" x14ac:dyDescent="0.15">
      <c r="C1115">
        <v>69000</v>
      </c>
      <c r="D1115">
        <v>47</v>
      </c>
      <c r="J1115" t="s">
        <v>2168</v>
      </c>
      <c r="O1115">
        <v>1</v>
      </c>
      <c r="P1115">
        <v>1</v>
      </c>
      <c r="T1115">
        <v>1</v>
      </c>
      <c r="U1115" t="s">
        <v>3623</v>
      </c>
      <c r="V1115" t="str">
        <f t="shared" si="17"/>
        <v>{dwID=69000,nFrame=47,col={0,255,0,},[3]={bCenterAlarm=true,bScreenHead=true,},[4]={bCenterAlarm=true,},aFocus={{dwMapID=-1,nMaxDistance=0,tRelation={bAll=true,bEnemy=false,bAlly=false,},tLife={bEnable=false,szOperator="&gt;",nValue=0,},},},},</v>
      </c>
    </row>
    <row r="1116" spans="1:22" x14ac:dyDescent="0.15">
      <c r="C1116">
        <v>68997</v>
      </c>
      <c r="D1116">
        <v>47</v>
      </c>
      <c r="J1116" t="s">
        <v>2168</v>
      </c>
      <c r="O1116">
        <v>1</v>
      </c>
      <c r="P1116">
        <v>1</v>
      </c>
      <c r="T1116">
        <v>1</v>
      </c>
      <c r="U1116" t="s">
        <v>3623</v>
      </c>
      <c r="V1116" t="str">
        <f t="shared" si="17"/>
        <v>{dwID=68997,nFrame=47,col={0,255,0,},[3]={bCenterAlarm=true,bScreenHead=true,},[4]={bCenterAlarm=true,},aFocus={{dwMapID=-1,nMaxDistance=0,tRelation={bAll=true,bEnemy=false,bAlly=false,},tLife={bEnable=false,szOperator="&gt;",nValue=0,},},},},</v>
      </c>
    </row>
    <row r="1117" spans="1:22" x14ac:dyDescent="0.15">
      <c r="C1117">
        <v>68996</v>
      </c>
      <c r="D1117">
        <v>47</v>
      </c>
      <c r="J1117" t="s">
        <v>2168</v>
      </c>
      <c r="O1117">
        <v>1</v>
      </c>
      <c r="P1117">
        <v>1</v>
      </c>
      <c r="T1117">
        <v>1</v>
      </c>
      <c r="U1117" t="s">
        <v>3623</v>
      </c>
      <c r="V1117" t="str">
        <f t="shared" si="17"/>
        <v>{dwID=68996,nFrame=47,col={0,255,0,},[3]={bCenterAlarm=true,bScreenHead=true,},[4]={bCenterAlarm=true,},aFocus={{dwMapID=-1,nMaxDistance=0,tRelation={bAll=true,bEnemy=false,bAlly=false,},tLife={bEnable=false,szOperator="&gt;",nValue=0,},},},},</v>
      </c>
    </row>
    <row r="1118" spans="1:22" x14ac:dyDescent="0.15">
      <c r="C1118">
        <v>68994</v>
      </c>
      <c r="D1118">
        <v>47</v>
      </c>
      <c r="J1118" t="s">
        <v>2168</v>
      </c>
      <c r="O1118">
        <v>1</v>
      </c>
      <c r="P1118">
        <v>1</v>
      </c>
      <c r="T1118">
        <v>1</v>
      </c>
      <c r="U1118" t="s">
        <v>3623</v>
      </c>
      <c r="V1118" t="str">
        <f t="shared" si="17"/>
        <v>{dwID=68994,nFrame=47,col={0,255,0,},[3]={bCenterAlarm=true,bScreenHead=true,},[4]={bCenterAlarm=true,},aFocus={{dwMapID=-1,nMaxDistance=0,tRelation={bAll=true,bEnemy=false,bAlly=false,},tLife={bEnable=false,szOperator="&gt;",nValue=0,},},},},</v>
      </c>
    </row>
    <row r="1119" spans="1:22" x14ac:dyDescent="0.15">
      <c r="C1119">
        <v>69012</v>
      </c>
      <c r="D1119">
        <v>47</v>
      </c>
      <c r="J1119" t="s">
        <v>2168</v>
      </c>
      <c r="O1119">
        <v>1</v>
      </c>
      <c r="P1119">
        <v>1</v>
      </c>
      <c r="T1119">
        <v>1</v>
      </c>
      <c r="U1119" t="s">
        <v>3623</v>
      </c>
      <c r="V1119" t="str">
        <f t="shared" si="17"/>
        <v>{dwID=69012,nFrame=47,col={0,255,0,},[3]={bCenterAlarm=true,bScreenHead=true,},[4]={bCenterAlarm=true,},aFocus={{dwMapID=-1,nMaxDistance=0,tRelation={bAll=true,bEnemy=false,bAlly=false,},tLife={bEnable=false,szOperator="&gt;",nValue=0,},},},},</v>
      </c>
    </row>
    <row r="1120" spans="1:22" x14ac:dyDescent="0.15">
      <c r="C1120">
        <v>69228</v>
      </c>
      <c r="D1120">
        <v>47</v>
      </c>
      <c r="J1120" t="s">
        <v>2168</v>
      </c>
      <c r="O1120">
        <v>1</v>
      </c>
      <c r="P1120">
        <v>1</v>
      </c>
      <c r="T1120">
        <v>1</v>
      </c>
      <c r="U1120" t="s">
        <v>3623</v>
      </c>
      <c r="V1120" t="str">
        <f t="shared" si="17"/>
        <v>{dwID=69228,nFrame=47,col={0,255,0,},[3]={bCenterAlarm=true,bScreenHead=true,},[4]={bCenterAlarm=true,},aFocus={{dwMapID=-1,nMaxDistance=0,tRelation={bAll=true,bEnemy=false,bAlly=false,},tLife={bEnable=false,szOperator="&gt;",nValue=0,},},},},</v>
      </c>
    </row>
    <row r="1121" spans="1:22" x14ac:dyDescent="0.15">
      <c r="C1121">
        <v>69156</v>
      </c>
      <c r="D1121">
        <v>47</v>
      </c>
      <c r="J1121" t="s">
        <v>2718</v>
      </c>
      <c r="P1121">
        <v>1</v>
      </c>
      <c r="V1121" t="str">
        <f t="shared" si="17"/>
        <v>{dwID=69156,nFrame=47,col={255,255,100,},[3]={bScreenHead=true,},[4]={},},</v>
      </c>
    </row>
    <row r="1122" spans="1:22" x14ac:dyDescent="0.15">
      <c r="C1122">
        <v>69157</v>
      </c>
      <c r="D1122">
        <v>47</v>
      </c>
      <c r="I1122" t="s">
        <v>4344</v>
      </c>
      <c r="J1122" t="s">
        <v>2348</v>
      </c>
      <c r="P1122">
        <v>1</v>
      </c>
      <c r="U1122" t="s">
        <v>4345</v>
      </c>
      <c r="V1122" t="str">
        <f t="shared" si="17"/>
        <v>{dwID=69157,nFrame=47,szNote="霸王马场·捐马",col={255,255,50,},[3]={bScreenHead=true,},[4]={},aFocus={{dwMapID=-1,szDisplay="霸王马场·捐马",nMaxDistance=10,tRelation={bAll=true,bEnemy=false,bAlly=false,},tLife={bEnable=false,szOperator="&gt;",nValue=0,},},},},</v>
      </c>
    </row>
    <row r="1123" spans="1:22" x14ac:dyDescent="0.15">
      <c r="C1123">
        <v>123946</v>
      </c>
      <c r="D1123">
        <v>47</v>
      </c>
      <c r="J1123" t="s">
        <v>2168</v>
      </c>
      <c r="K1123" t="s">
        <v>3668</v>
      </c>
      <c r="O1123">
        <v>1</v>
      </c>
      <c r="P1123">
        <v>1</v>
      </c>
      <c r="U1123" t="s">
        <v>3669</v>
      </c>
      <c r="V1123" t="str">
        <f t="shared" si="17"/>
        <v>{dwID=123946,nFrame=47,col={0,255,0,},[3]={tMark={true,false,false,false,false,false,false,false,false,false,},bCenterAlarm=true,bScreenHead=true,},[4]={},aFocus={{dwMapID=-1,nMaxDistance=120,tRelation={bAll=false,bEnemy=false,bAlly=true,},tLife={bEnable=false,szOperator="&gt;",nValue=0,},},},},</v>
      </c>
    </row>
    <row r="1124" spans="1:22" x14ac:dyDescent="0.15">
      <c r="C1124">
        <v>69160</v>
      </c>
      <c r="D1124">
        <v>47</v>
      </c>
      <c r="I1124" t="s">
        <v>4346</v>
      </c>
      <c r="J1124" t="s">
        <v>2168</v>
      </c>
      <c r="P1124">
        <v>1</v>
      </c>
      <c r="U1124" t="s">
        <v>4347</v>
      </c>
      <c r="V1124" t="str">
        <f t="shared" si="17"/>
        <v>{dwID=69160,nFrame=47,szNote="鲲鹏岛放牧·方依",col={0,255,0,},[3]={bScreenHead=true,},[4]={},aFocus={{dwMapID=-1,szDisplay="方依·放牧",nMaxDistance=10,tRelation={bAll=true,bEnemy=false,bAlly=false,},tLife={bEnable=false,szOperator="&gt;",nValue=0,},},},},</v>
      </c>
    </row>
    <row r="1125" spans="1:22" x14ac:dyDescent="0.15">
      <c r="A1125" t="s">
        <v>1002</v>
      </c>
      <c r="B1125">
        <v>444</v>
      </c>
      <c r="V1125" t="str">
        <f t="shared" si="17"/>
        <v>},[444]={</v>
      </c>
    </row>
    <row r="1126" spans="1:22" x14ac:dyDescent="0.15">
      <c r="C1126">
        <v>64200</v>
      </c>
      <c r="D1126">
        <v>47</v>
      </c>
      <c r="J1126" t="s">
        <v>2152</v>
      </c>
      <c r="O1126">
        <v>1</v>
      </c>
      <c r="P1126">
        <v>1</v>
      </c>
      <c r="U1126" t="s">
        <v>3623</v>
      </c>
      <c r="V1126" t="str">
        <f t="shared" si="17"/>
        <v>{dwID=64200,nFrame=47,col={0,255,255,},[3]={bCenterAlarm=true,bScreenHead=true,},[4]={},aFocus={{dwMapID=-1,nMaxDistance=0,tRelation={bAll=true,bEnemy=false,bAlly=false,},tLife={bEnable=false,szOperator="&gt;",nValue=0,},},},},</v>
      </c>
    </row>
    <row r="1127" spans="1:22" x14ac:dyDescent="0.15">
      <c r="A1127" t="s">
        <v>265</v>
      </c>
      <c r="B1127">
        <v>451</v>
      </c>
      <c r="V1127" t="str">
        <f t="shared" si="17"/>
        <v>},[451]={</v>
      </c>
    </row>
    <row r="1128" spans="1:22" x14ac:dyDescent="0.15">
      <c r="C1128">
        <v>69137</v>
      </c>
      <c r="D1128">
        <v>47</v>
      </c>
      <c r="J1128" t="s">
        <v>2168</v>
      </c>
      <c r="P1128">
        <v>1</v>
      </c>
      <c r="U1128" t="s">
        <v>3733</v>
      </c>
      <c r="V1128" t="str">
        <f t="shared" si="17"/>
        <v>{dwID=69137,nFrame=47,col={0,255,0,},[3]={bScreenHead=true,},[4]={},aFocus={{dwMapID=-1,nMaxDistance=60,tRelation={bAll=true,bEnemy=false,bAlly=false,},tLife={bEnable=false,szOperator="&gt;",nValue=0,},},},},</v>
      </c>
    </row>
    <row r="1129" spans="1:22" x14ac:dyDescent="0.15">
      <c r="C1129">
        <v>126568</v>
      </c>
      <c r="D1129">
        <v>47</v>
      </c>
      <c r="J1129" t="s">
        <v>2168</v>
      </c>
      <c r="P1129">
        <v>1</v>
      </c>
      <c r="U1129" t="s">
        <v>3731</v>
      </c>
      <c r="V1129" t="str">
        <f t="shared" si="17"/>
        <v>{dwID=126568,nFrame=47,col={0,255,0,},[3]={bScreenHead=true,},[4]={},aFocus={{dwMapID=-1,nMaxDistance=3,tRelation={bAll=true,bEnemy=false,bAlly=false,},tLife={bEnable=false,szOperator="&gt;",nValue=0,},},},},</v>
      </c>
    </row>
    <row r="1130" spans="1:22" x14ac:dyDescent="0.15">
      <c r="C1130">
        <v>126515</v>
      </c>
      <c r="D1130">
        <v>47</v>
      </c>
      <c r="J1130" t="s">
        <v>2168</v>
      </c>
      <c r="P1130">
        <v>1</v>
      </c>
      <c r="U1130" t="s">
        <v>3731</v>
      </c>
      <c r="V1130" t="str">
        <f t="shared" si="17"/>
        <v>{dwID=126515,nFrame=47,col={0,255,0,},[3]={bScreenHead=true,},[4]={},aFocus={{dwMapID=-1,nMaxDistance=3,tRelation={bAll=true,bEnemy=false,bAlly=false,},tLife={bEnable=false,szOperator="&gt;",nValue=0,},},},},</v>
      </c>
    </row>
    <row r="1131" spans="1:22" x14ac:dyDescent="0.15">
      <c r="C1131">
        <v>126516</v>
      </c>
      <c r="D1131">
        <v>47</v>
      </c>
      <c r="J1131" t="s">
        <v>2168</v>
      </c>
      <c r="P1131">
        <v>1</v>
      </c>
      <c r="U1131" t="s">
        <v>3731</v>
      </c>
      <c r="V1131" t="str">
        <f t="shared" si="17"/>
        <v>{dwID=126516,nFrame=47,col={0,255,0,},[3]={bScreenHead=true,},[4]={},aFocus={{dwMapID=-1,nMaxDistance=3,tRelation={bAll=true,bEnemy=false,bAlly=false,},tLife={bEnable=false,szOperator="&gt;",nValue=0,},},},},</v>
      </c>
    </row>
    <row r="1132" spans="1:22" x14ac:dyDescent="0.15">
      <c r="C1132">
        <v>126569</v>
      </c>
      <c r="D1132">
        <v>47</v>
      </c>
      <c r="J1132" t="s">
        <v>2168</v>
      </c>
      <c r="P1132">
        <v>1</v>
      </c>
      <c r="U1132" t="s">
        <v>3731</v>
      </c>
      <c r="V1132" t="str">
        <f t="shared" si="17"/>
        <v>{dwID=126569,nFrame=47,col={0,255,0,},[3]={bScreenHead=true,},[4]={},aFocus={{dwMapID=-1,nMaxDistance=3,tRelation={bAll=true,bEnemy=false,bAlly=false,},tLife={bEnable=false,szOperator="&gt;",nValue=0,},},},},</v>
      </c>
    </row>
    <row r="1133" spans="1:22" x14ac:dyDescent="0.15">
      <c r="C1133">
        <v>126570</v>
      </c>
      <c r="D1133">
        <v>47</v>
      </c>
      <c r="J1133" t="s">
        <v>2168</v>
      </c>
      <c r="P1133">
        <v>1</v>
      </c>
      <c r="U1133" t="s">
        <v>3731</v>
      </c>
      <c r="V1133" t="str">
        <f t="shared" si="17"/>
        <v>{dwID=126570,nFrame=47,col={0,255,0,},[3]={bScreenHead=true,},[4]={},aFocus={{dwMapID=-1,nMaxDistance=3,tRelation={bAll=true,bEnemy=false,bAlly=false,},tLife={bEnable=false,szOperator="&gt;",nValue=0,},},},},</v>
      </c>
    </row>
    <row r="1134" spans="1:22" x14ac:dyDescent="0.15">
      <c r="A1134" t="s">
        <v>1028</v>
      </c>
      <c r="B1134">
        <v>475</v>
      </c>
      <c r="V1134" t="str">
        <f t="shared" si="17"/>
        <v>},[475]={</v>
      </c>
    </row>
    <row r="1135" spans="1:22" x14ac:dyDescent="0.15">
      <c r="C1135">
        <v>101191</v>
      </c>
      <c r="D1135">
        <v>47</v>
      </c>
      <c r="J1135" t="s">
        <v>2152</v>
      </c>
      <c r="O1135">
        <v>1</v>
      </c>
      <c r="P1135">
        <v>1</v>
      </c>
      <c r="U1135" t="s">
        <v>3623</v>
      </c>
      <c r="V1135" t="str">
        <f t="shared" si="17"/>
        <v>{dwID=101191,nFrame=47,col={0,255,255,},[3]={bCenterAlarm=true,bScreenHead=true,},[4]={},aFocus={{dwMapID=-1,nMaxDistance=0,tRelation={bAll=true,bEnemy=false,bAlly=false,},tLife={bEnable=false,szOperator="&gt;",nValue=0,},},},},</v>
      </c>
    </row>
    <row r="1136" spans="1:22" x14ac:dyDescent="0.15">
      <c r="C1136">
        <v>110046</v>
      </c>
      <c r="D1136">
        <v>47</v>
      </c>
      <c r="J1136" t="s">
        <v>2168</v>
      </c>
      <c r="P1136">
        <v>1</v>
      </c>
      <c r="V1136" t="str">
        <f t="shared" si="17"/>
        <v>{dwID=110046,nFrame=47,col={0,255,0,},[3]={bScreenHead=true,},[4]={},},</v>
      </c>
    </row>
    <row r="1137" spans="1:22" x14ac:dyDescent="0.15">
      <c r="C1137">
        <v>110047</v>
      </c>
      <c r="D1137">
        <v>47</v>
      </c>
      <c r="J1137" t="s">
        <v>2168</v>
      </c>
      <c r="P1137">
        <v>1</v>
      </c>
      <c r="V1137" t="str">
        <f t="shared" si="17"/>
        <v>{dwID=110047,nFrame=47,col={0,255,0,},[3]={bScreenHead=true,},[4]={},},</v>
      </c>
    </row>
    <row r="1138" spans="1:22" x14ac:dyDescent="0.15">
      <c r="A1138" t="s">
        <v>1107</v>
      </c>
      <c r="B1138">
        <v>563</v>
      </c>
      <c r="V1138" t="str">
        <f t="shared" si="17"/>
        <v>},[563]={</v>
      </c>
    </row>
    <row r="1139" spans="1:22" x14ac:dyDescent="0.15">
      <c r="C1139">
        <v>106622</v>
      </c>
      <c r="D1139">
        <v>47</v>
      </c>
      <c r="J1139" t="s">
        <v>2152</v>
      </c>
      <c r="P1139">
        <v>1</v>
      </c>
      <c r="U1139" t="s">
        <v>4348</v>
      </c>
      <c r="V1139" t="str">
        <f t="shared" si="17"/>
        <v>{dwID=106622,nFrame=47,col={0,255,255,},[3]={bScreenHead=true,},[4]={},aFocus={{dwMapID=-1,szDisplay="齐芍·剧情",nMaxDistance=0,tRelation={bAll=true,bEnemy=false,bAlly=false,},tLife={bEnable=false,szOperator="&gt;",nValue=0,},},},},</v>
      </c>
    </row>
    <row r="1140" spans="1:22" x14ac:dyDescent="0.15">
      <c r="A1140" t="s">
        <v>1108</v>
      </c>
      <c r="B1140">
        <v>564</v>
      </c>
      <c r="V1140" t="str">
        <f t="shared" si="17"/>
        <v>},[564]={</v>
      </c>
    </row>
    <row r="1141" spans="1:22" x14ac:dyDescent="0.15">
      <c r="C1141">
        <v>106613</v>
      </c>
      <c r="D1141">
        <v>47</v>
      </c>
      <c r="J1141" t="s">
        <v>2152</v>
      </c>
      <c r="P1141">
        <v>1</v>
      </c>
      <c r="U1141" t="s">
        <v>4348</v>
      </c>
      <c r="V1141" t="str">
        <f t="shared" si="17"/>
        <v>{dwID=106613,nFrame=47,col={0,255,255,},[3]={bScreenHead=true,},[4]={},aFocus={{dwMapID=-1,szDisplay="齐芍·剧情",nMaxDistance=0,tRelation={bAll=true,bEnemy=false,bAlly=false,},tLife={bEnable=false,szOperator="&gt;",nValue=0,},},},},</v>
      </c>
    </row>
    <row r="1142" spans="1:22" x14ac:dyDescent="0.15">
      <c r="A1142" t="s">
        <v>1109</v>
      </c>
      <c r="B1142">
        <v>565</v>
      </c>
      <c r="V1142" t="str">
        <f t="shared" si="17"/>
        <v>},[565]={</v>
      </c>
    </row>
    <row r="1143" spans="1:22" x14ac:dyDescent="0.15">
      <c r="C1143">
        <v>108196</v>
      </c>
      <c r="D1143">
        <v>65</v>
      </c>
      <c r="J1143" t="s">
        <v>2676</v>
      </c>
      <c r="P1143">
        <v>1</v>
      </c>
      <c r="U1143" t="s">
        <v>3733</v>
      </c>
      <c r="V1143" t="str">
        <f t="shared" si="17"/>
        <v>{dwID=108196,nFrame=65,col={255,50,50,},[3]={bScreenHead=true,},[4]={},aFocus={{dwMapID=-1,nMaxDistance=60,tRelation={bAll=true,bEnemy=false,bAlly=false,},tLife={bEnable=false,szOperator="&gt;",nValue=0,},},},},</v>
      </c>
    </row>
    <row r="1144" spans="1:22" x14ac:dyDescent="0.15">
      <c r="C1144">
        <v>106317</v>
      </c>
      <c r="D1144">
        <v>47</v>
      </c>
      <c r="J1144" t="s">
        <v>2168</v>
      </c>
      <c r="P1144">
        <v>1</v>
      </c>
      <c r="U1144" t="s">
        <v>3623</v>
      </c>
      <c r="V1144" t="str">
        <f t="shared" si="17"/>
        <v>{dwID=106317,nFrame=47,col={0,255,0,},[3]={bScreenHead=true,},[4]={},aFocus={{dwMapID=-1,nMaxDistance=0,tRelation={bAll=true,bEnemy=false,bAlly=false,},tLife={bEnable=false,szOperator="&gt;",nValue=0,},},},},</v>
      </c>
    </row>
    <row r="1145" spans="1:22" x14ac:dyDescent="0.15">
      <c r="A1145" t="s">
        <v>1111</v>
      </c>
      <c r="B1145">
        <v>567</v>
      </c>
      <c r="V1145" t="str">
        <f t="shared" si="17"/>
        <v>},[567]={</v>
      </c>
    </row>
    <row r="1146" spans="1:22" x14ac:dyDescent="0.15">
      <c r="C1146">
        <v>106032</v>
      </c>
      <c r="D1146">
        <v>57</v>
      </c>
      <c r="U1146" t="s">
        <v>4349</v>
      </c>
      <c r="V1146" t="str">
        <f t="shared" si="17"/>
        <v>{dwID=106032,nFrame=57,[3]={},[4]={},aFocus={{dwMapID=-1,nMaxDistance=60,tRelation={bAll=false,bEnemy=true,bAlly=false,},tLife={bEnable=true,szOperator="&gt;",nValue=0,},},},},</v>
      </c>
    </row>
    <row r="1147" spans="1:22" x14ac:dyDescent="0.15">
      <c r="C1147">
        <v>106033</v>
      </c>
      <c r="D1147">
        <v>57</v>
      </c>
      <c r="U1147" t="s">
        <v>4349</v>
      </c>
      <c r="V1147" t="str">
        <f t="shared" si="17"/>
        <v>{dwID=106033,nFrame=57,[3]={},[4]={},aFocus={{dwMapID=-1,nMaxDistance=60,tRelation={bAll=false,bEnemy=true,bAlly=false,},tLife={bEnable=true,szOperator="&gt;",nValue=0,},},},},</v>
      </c>
    </row>
    <row r="1148" spans="1:22" x14ac:dyDescent="0.15">
      <c r="C1148">
        <v>106034</v>
      </c>
      <c r="D1148">
        <v>57</v>
      </c>
      <c r="U1148" t="s">
        <v>4349</v>
      </c>
      <c r="V1148" t="str">
        <f t="shared" si="17"/>
        <v>{dwID=106034,nFrame=57,[3]={},[4]={},aFocus={{dwMapID=-1,nMaxDistance=60,tRelation={bAll=false,bEnemy=true,bAlly=false,},tLife={bEnable=true,szOperator="&gt;",nValue=0,},},},},</v>
      </c>
    </row>
    <row r="1149" spans="1:22" x14ac:dyDescent="0.15">
      <c r="C1149">
        <v>106035</v>
      </c>
      <c r="D1149">
        <v>57</v>
      </c>
      <c r="U1149" t="s">
        <v>4349</v>
      </c>
      <c r="V1149" t="str">
        <f t="shared" si="17"/>
        <v>{dwID=106035,nFrame=57,[3]={},[4]={},aFocus={{dwMapID=-1,nMaxDistance=60,tRelation={bAll=false,bEnemy=true,bAlly=false,},tLife={bEnable=true,szOperator="&gt;",nValue=0,},},},},</v>
      </c>
    </row>
    <row r="1150" spans="1:22" x14ac:dyDescent="0.15">
      <c r="C1150">
        <v>106036</v>
      </c>
      <c r="D1150">
        <v>57</v>
      </c>
      <c r="U1150" t="s">
        <v>4349</v>
      </c>
      <c r="V1150" t="str">
        <f t="shared" si="17"/>
        <v>{dwID=106036,nFrame=57,[3]={},[4]={},aFocus={{dwMapID=-1,nMaxDistance=60,tRelation={bAll=false,bEnemy=true,bAlly=false,},tLife={bEnable=true,szOperator="&gt;",nValue=0,},},},},</v>
      </c>
    </row>
    <row r="1151" spans="1:22" x14ac:dyDescent="0.15">
      <c r="C1151">
        <v>106037</v>
      </c>
      <c r="D1151">
        <v>57</v>
      </c>
      <c r="U1151" t="s">
        <v>4349</v>
      </c>
      <c r="V1151" t="str">
        <f t="shared" si="17"/>
        <v>{dwID=106037,nFrame=57,[3]={},[4]={},aFocus={{dwMapID=-1,nMaxDistance=60,tRelation={bAll=false,bEnemy=true,bAlly=false,},tLife={bEnable=true,szOperator="&gt;",nValue=0,},},},},</v>
      </c>
    </row>
    <row r="1152" spans="1:22" x14ac:dyDescent="0.15">
      <c r="C1152">
        <v>106038</v>
      </c>
      <c r="D1152">
        <v>57</v>
      </c>
      <c r="J1152" t="s">
        <v>2676</v>
      </c>
      <c r="K1152" t="s">
        <v>4013</v>
      </c>
      <c r="P1152">
        <v>1</v>
      </c>
      <c r="U1152" t="s">
        <v>4350</v>
      </c>
      <c r="V1152" t="str">
        <f t="shared" si="17"/>
        <v>{dwID=106038,nFrame=57,col={255,50,50,},[3]={tMark={false,false,false,false,false,false,false,false,false,true,},bScreenHead=true,},[4]={},aFocus={{dwMapID=-1,nMaxDistance=0,tRelation={bAll=false,bEnemy=true,bAlly=false,},tLife={bEnable=true,szOperator="&gt;",nValue=0,},},},},</v>
      </c>
    </row>
    <row r="1153" spans="1:22" x14ac:dyDescent="0.15">
      <c r="C1153">
        <v>106418</v>
      </c>
      <c r="D1153">
        <v>47</v>
      </c>
      <c r="G1153" t="s">
        <v>4351</v>
      </c>
      <c r="U1153" t="s">
        <v>4352</v>
      </c>
      <c r="V1153" t="str">
        <f t="shared" si="17"/>
        <v>{dwID=106418,nFrame=47,szName="池生萤灯草",[3]={},[4]={},aFocus={{dwMapID=-1,szDisplay="池生萤灯草",nMaxDistance=6,tRelation={bAll=true,bEnemy=false,bAlly=false,},tLife={bEnable=false,szOperator="&gt;",nValue=0,},},},},</v>
      </c>
    </row>
    <row r="1154" spans="1:22" x14ac:dyDescent="0.15">
      <c r="C1154">
        <v>106419</v>
      </c>
      <c r="D1154">
        <v>47</v>
      </c>
      <c r="G1154" t="s">
        <v>4353</v>
      </c>
      <c r="U1154" t="s">
        <v>4354</v>
      </c>
      <c r="V1154" t="str">
        <f t="shared" ref="V1154:V1217" si="18">IF(ISBLANK(B1154)=FALSE,IF(ISBLANK(B1153),"},["&amp;B1154&amp;"]={","["&amp;B1154&amp;"]={"),IF(AND(ISBLANK(B1154),ISBLANK(D1154),ISBLANK(C1154),OR(ISBLANK(B1153)=FALSE,ISBLANK(D1153)=FALSE,ISBLANK(C1153)=FALSE)),"},},}",IF(ISBLANK(C1154),"","{dwID="&amp;C1154&amp;","&amp;"nFrame="&amp;D1154&amp;","&amp;IF(E1154&gt;0,"nCount="&amp;E1154&amp;",","")&amp;IF(F1154&gt;0,"bAllLeave=true,","")&amp;IF(G1154&lt;&gt;"","szName="""&amp;G1154&amp;""",","")&amp;IF(H1154&lt;&gt;"","tKungFu={"&amp;H1154&amp;"},","")&amp;IF(I1154&lt;&gt;"","szNote="""&amp;I1154&amp;""",","")&amp;IF(J1154&lt;&gt;"","col={"&amp;J1154&amp;"},","")&amp;"[3]={"&amp;IF(K1154&lt;&gt;"","tMark={"&amp;K1154&amp;"},","")&amp;IF(L1154&lt;&gt;"","szVoice="""&amp;L1154&amp;""",","")&amp;IF(M1154&gt;0,"bTeamChannel=true,","")&amp;IF(N1154&gt;0,"bWhisperChannel=true,","")&amp;IF(O1154&gt;0,"bCenterAlarm=true,","")&amp;IF(P1154&gt;0,"bScreenHead=true,","")&amp;"},"&amp;"[4]={"&amp;IF(Q1154&lt;&gt;"","szVoice="""&amp;Q1154&amp;""",","")&amp;IF(R1154&gt;0,"bTeamChannel=true,","")&amp;IF(S1154&gt;0,"bWhisperChannel=true,","")&amp;IF(T1154&gt;0,"bCenterAlarm=true,","")&amp;"},"&amp;IF(U1154&lt;&gt;"","aFocus={"&amp;U1154&amp;"},","")&amp;IF(W1154&lt;&gt;"","tCountdown={"&amp;_xlfn.TEXTJOIN("",TRUE,W1154:ZZ1154)&amp;"},","")&amp;"},")))</f>
        <v>{dwID=106419,nFrame=47,szName="野蕈晴雨盖·染",[3]={},[4]={},aFocus={{dwMapID=-1,szDisplay="野蕈晴雨盖·染",nMaxDistance=6,tRelation={bAll=true,bEnemy=false,bAlly=false,},tLife={bEnable=false,szOperator="&gt;",nValue=0,},},},},</v>
      </c>
    </row>
    <row r="1155" spans="1:22" x14ac:dyDescent="0.15">
      <c r="C1155">
        <v>106422</v>
      </c>
      <c r="D1155">
        <v>47</v>
      </c>
      <c r="G1155" t="s">
        <v>4355</v>
      </c>
      <c r="U1155" t="s">
        <v>4356</v>
      </c>
      <c r="V1155" t="str">
        <f t="shared" si="18"/>
        <v>{dwID=106422,nFrame=47,szName="南瓜",[3]={},[4]={},aFocus={{dwMapID=-1,szDisplay="南瓜",nMaxDistance=10,tRelation={bAll=true,bEnemy=false,bAlly=false,},tLife={bEnable=false,szOperator="&gt;",nValue=0,},},},},</v>
      </c>
    </row>
    <row r="1156" spans="1:22" x14ac:dyDescent="0.15">
      <c r="C1156">
        <v>106421</v>
      </c>
      <c r="D1156">
        <v>47</v>
      </c>
      <c r="G1156" t="s">
        <v>4357</v>
      </c>
      <c r="U1156" t="s">
        <v>4358</v>
      </c>
      <c r="V1156" t="str">
        <f t="shared" si="18"/>
        <v>{dwID=106421,nFrame=47,szName="西瓜",[3]={},[4]={},aFocus={{dwMapID=-1,szDisplay="西瓜",nMaxDistance=10,tRelation={bAll=true,bEnemy=false,bAlly=false,},tLife={bEnable=false,szOperator="&gt;",nValue=0,},},},},</v>
      </c>
    </row>
    <row r="1157" spans="1:22" x14ac:dyDescent="0.15">
      <c r="C1157">
        <v>106420</v>
      </c>
      <c r="D1157">
        <v>47</v>
      </c>
      <c r="U1157" t="s">
        <v>4028</v>
      </c>
      <c r="V1157" t="str">
        <f t="shared" si="18"/>
        <v>{dwID=106420,nFrame=47,[3]={},[4]={},aFocus={{dwMapID=-1,nMaxDistance=20,tRelation={bAll=true,bEnemy=false,bAlly=false,},tLife={bEnable=false,szOperator="&gt;",nValue=0,},},},},</v>
      </c>
    </row>
    <row r="1158" spans="1:22" x14ac:dyDescent="0.15">
      <c r="C1158">
        <v>107361</v>
      </c>
      <c r="D1158">
        <v>47</v>
      </c>
      <c r="G1158" t="s">
        <v>4359</v>
      </c>
      <c r="U1158" t="s">
        <v>4360</v>
      </c>
      <c r="V1158" t="str">
        <f t="shared" si="18"/>
        <v>{dwID=107361,nFrame=47,szName="荧彩菌",[3]={},[4]={},aFocus={{dwMapID=-1,szDisplay="荧彩菌",nMaxDistance=10,tRelation={bAll=true,bEnemy=false,bAlly=false,},tLife={bEnable=false,szOperator="&gt;",nValue=0,},},},},</v>
      </c>
    </row>
    <row r="1159" spans="1:22" x14ac:dyDescent="0.15">
      <c r="A1159" t="s">
        <v>1122</v>
      </c>
      <c r="B1159">
        <v>578</v>
      </c>
      <c r="V1159" t="str">
        <f t="shared" si="18"/>
        <v>},[578]={</v>
      </c>
    </row>
    <row r="1160" spans="1:22" x14ac:dyDescent="0.15">
      <c r="C1160">
        <v>109597</v>
      </c>
      <c r="D1160">
        <v>57</v>
      </c>
      <c r="I1160" t="s">
        <v>4361</v>
      </c>
      <c r="J1160" t="s">
        <v>2676</v>
      </c>
      <c r="P1160">
        <v>1</v>
      </c>
      <c r="U1160" t="s">
        <v>4362</v>
      </c>
      <c r="V1160" t="str">
        <f t="shared" si="18"/>
        <v>{dwID=109597,nFrame=57,szNote="侠义",col={255,50,50,},[3]={bScreenHead=true,},[4]={},aFocus={{dwMapID=-1,szDisplay="侠义！刀宗",nMaxDistance=120,tRelation={bAll=false,bEnemy=true,bAlly=false,},tLife={bEnable=false,szOperator="&gt;",nValue=0,},},},},</v>
      </c>
    </row>
    <row r="1161" spans="1:22" x14ac:dyDescent="0.15">
      <c r="A1161" t="s">
        <v>1123</v>
      </c>
      <c r="B1161">
        <v>579</v>
      </c>
      <c r="V1161" t="str">
        <f t="shared" si="18"/>
        <v>},[579]={</v>
      </c>
    </row>
    <row r="1162" spans="1:22" x14ac:dyDescent="0.15">
      <c r="C1162">
        <v>112746</v>
      </c>
      <c r="D1162">
        <v>47</v>
      </c>
      <c r="J1162" t="s">
        <v>2168</v>
      </c>
      <c r="P1162">
        <v>1</v>
      </c>
      <c r="U1162" t="s">
        <v>4268</v>
      </c>
      <c r="V1162" t="str">
        <f t="shared" si="18"/>
        <v>{dwID=112746,nFrame=47,col={0,255,0,},[3]={bScreenHead=true,},[4]={},aFocus={{dwMapID=-1,nMaxDistance=40,tRelation={bAll=true,bEnemy=false,bAlly=false,},tLife={bEnable=false,szOperator="&gt;",nValue=0,},},},},</v>
      </c>
    </row>
    <row r="1163" spans="1:22" x14ac:dyDescent="0.15">
      <c r="C1163">
        <v>122942</v>
      </c>
      <c r="D1163">
        <v>52</v>
      </c>
      <c r="J1163" t="s">
        <v>2168</v>
      </c>
      <c r="O1163">
        <v>1</v>
      </c>
      <c r="P1163">
        <v>1</v>
      </c>
      <c r="U1163" t="s">
        <v>3623</v>
      </c>
      <c r="V1163" t="str">
        <f t="shared" si="18"/>
        <v>{dwID=122942,nFrame=52,col={0,255,0,},[3]={bCenterAlarm=true,bScreenHead=true,},[4]={},aFocus={{dwMapID=-1,nMaxDistance=0,tRelation={bAll=true,bEnemy=false,bAlly=false,},tLife={bEnable=false,szOperator="&gt;",nValue=0,},},},},</v>
      </c>
    </row>
    <row r="1164" spans="1:22" x14ac:dyDescent="0.15">
      <c r="C1164">
        <v>123042</v>
      </c>
      <c r="D1164">
        <v>47</v>
      </c>
      <c r="J1164" t="s">
        <v>2168</v>
      </c>
      <c r="P1164">
        <v>1</v>
      </c>
      <c r="U1164" t="s">
        <v>3627</v>
      </c>
      <c r="V1164" t="str">
        <f t="shared" si="18"/>
        <v>{dwID=123042,nFrame=47,col={0,255,0,},[3]={bScreenHead=true,},[4]={},aFocus={{dwMapID=-1,nMaxDistance=10,tRelation={bAll=true,bEnemy=false,bAlly=false,},tLife={bEnable=false,szOperator="&gt;",nValue=0,},},},},</v>
      </c>
    </row>
    <row r="1165" spans="1:22" x14ac:dyDescent="0.15">
      <c r="C1165">
        <v>113770</v>
      </c>
      <c r="D1165">
        <v>57</v>
      </c>
      <c r="U1165" t="s">
        <v>4268</v>
      </c>
      <c r="V1165" t="str">
        <f t="shared" si="18"/>
        <v>{dwID=113770,nFrame=57,[3]={},[4]={},aFocus={{dwMapID=-1,nMaxDistance=40,tRelation={bAll=true,bEnemy=false,bAlly=false,},tLife={bEnable=false,szOperator="&gt;",nValue=0,},},},},</v>
      </c>
    </row>
    <row r="1166" spans="1:22" x14ac:dyDescent="0.15">
      <c r="C1166">
        <v>113838</v>
      </c>
      <c r="D1166">
        <v>57</v>
      </c>
      <c r="U1166" t="s">
        <v>3622</v>
      </c>
      <c r="V1166" t="str">
        <f t="shared" si="18"/>
        <v>{dwID=113838,nFrame=57,[3]={},[4]={},aFocus={{dwMapID=-1,nMaxDistance=30,tRelation={bAll=true,bEnemy=false,bAlly=false,},tLife={bEnable=false,szOperator="&gt;",nValue=0,},},},},</v>
      </c>
    </row>
    <row r="1167" spans="1:22" x14ac:dyDescent="0.15">
      <c r="C1167">
        <v>113841</v>
      </c>
      <c r="D1167">
        <v>57</v>
      </c>
      <c r="U1167" t="s">
        <v>4268</v>
      </c>
      <c r="V1167" t="str">
        <f t="shared" si="18"/>
        <v>{dwID=113841,nFrame=57,[3]={},[4]={},aFocus={{dwMapID=-1,nMaxDistance=40,tRelation={bAll=true,bEnemy=false,bAlly=false,},tLife={bEnable=false,szOperator="&gt;",nValue=0,},},},},</v>
      </c>
    </row>
    <row r="1168" spans="1:22" x14ac:dyDescent="0.15">
      <c r="C1168">
        <v>113773</v>
      </c>
      <c r="D1168">
        <v>57</v>
      </c>
      <c r="U1168" t="s">
        <v>3622</v>
      </c>
      <c r="V1168" t="str">
        <f t="shared" si="18"/>
        <v>{dwID=113773,nFrame=57,[3]={},[4]={},aFocus={{dwMapID=-1,nMaxDistance=30,tRelation={bAll=true,bEnemy=false,bAlly=false,},tLife={bEnable=false,szOperator="&gt;",nValue=0,},},},},</v>
      </c>
    </row>
    <row r="1169" spans="1:22" x14ac:dyDescent="0.15">
      <c r="C1169">
        <v>113839</v>
      </c>
      <c r="D1169">
        <v>57</v>
      </c>
      <c r="U1169" t="s">
        <v>4268</v>
      </c>
      <c r="V1169" t="str">
        <f t="shared" si="18"/>
        <v>{dwID=113839,nFrame=57,[3]={},[4]={},aFocus={{dwMapID=-1,nMaxDistance=40,tRelation={bAll=true,bEnemy=false,bAlly=false,},tLife={bEnable=false,szOperator="&gt;",nValue=0,},},},},</v>
      </c>
    </row>
    <row r="1170" spans="1:22" x14ac:dyDescent="0.15">
      <c r="C1170">
        <v>113771</v>
      </c>
      <c r="D1170">
        <v>57</v>
      </c>
      <c r="U1170" t="s">
        <v>3622</v>
      </c>
      <c r="V1170" t="str">
        <f t="shared" si="18"/>
        <v>{dwID=113771,nFrame=57,[3]={},[4]={},aFocus={{dwMapID=-1,nMaxDistance=30,tRelation={bAll=true,bEnemy=false,bAlly=false,},tLife={bEnable=false,szOperator="&gt;",nValue=0,},},},},</v>
      </c>
    </row>
    <row r="1171" spans="1:22" x14ac:dyDescent="0.15">
      <c r="C1171">
        <v>113767</v>
      </c>
      <c r="D1171">
        <v>47</v>
      </c>
      <c r="U1171" t="s">
        <v>3623</v>
      </c>
      <c r="V1171" t="str">
        <f t="shared" si="18"/>
        <v>{dwID=113767,nFrame=47,[3]={},[4]={},aFocus={{dwMapID=-1,nMaxDistance=0,tRelation={bAll=true,bEnemy=false,bAlly=false,},tLife={bEnable=false,szOperator="&gt;",nValue=0,},},},},</v>
      </c>
    </row>
    <row r="1172" spans="1:22" x14ac:dyDescent="0.15">
      <c r="C1172">
        <v>113834</v>
      </c>
      <c r="D1172">
        <v>47</v>
      </c>
      <c r="U1172" t="s">
        <v>3623</v>
      </c>
      <c r="V1172" t="str">
        <f t="shared" si="18"/>
        <v>{dwID=113834,nFrame=47,[3]={},[4]={},aFocus={{dwMapID=-1,nMaxDistance=0,tRelation={bAll=true,bEnemy=false,bAlly=false,},tLife={bEnable=false,szOperator="&gt;",nValue=0,},},},},</v>
      </c>
    </row>
    <row r="1173" spans="1:22" x14ac:dyDescent="0.15">
      <c r="C1173">
        <v>113842</v>
      </c>
      <c r="D1173">
        <v>57</v>
      </c>
      <c r="U1173" t="s">
        <v>3623</v>
      </c>
      <c r="V1173" t="str">
        <f t="shared" si="18"/>
        <v>{dwID=113842,nFrame=57,[3]={},[4]={},aFocus={{dwMapID=-1,nMaxDistance=0,tRelation={bAll=true,bEnemy=false,bAlly=false,},tLife={bEnable=false,szOperator="&gt;",nValue=0,},},},},</v>
      </c>
    </row>
    <row r="1174" spans="1:22" x14ac:dyDescent="0.15">
      <c r="C1174">
        <v>113843</v>
      </c>
      <c r="D1174">
        <v>57</v>
      </c>
      <c r="U1174" t="s">
        <v>3623</v>
      </c>
      <c r="V1174" t="str">
        <f t="shared" si="18"/>
        <v>{dwID=113843,nFrame=57,[3]={},[4]={},aFocus={{dwMapID=-1,nMaxDistance=0,tRelation={bAll=true,bEnemy=false,bAlly=false,},tLife={bEnable=false,szOperator="&gt;",nValue=0,},},},},</v>
      </c>
    </row>
    <row r="1175" spans="1:22" x14ac:dyDescent="0.15">
      <c r="C1175">
        <v>113764</v>
      </c>
      <c r="D1175">
        <v>57</v>
      </c>
      <c r="U1175" t="s">
        <v>3623</v>
      </c>
      <c r="V1175" t="str">
        <f t="shared" si="18"/>
        <v>{dwID=113764,nFrame=57,[3]={},[4]={},aFocus={{dwMapID=-1,nMaxDistance=0,tRelation={bAll=true,bEnemy=false,bAlly=false,},tLife={bEnable=false,szOperator="&gt;",nValue=0,},},},},</v>
      </c>
    </row>
    <row r="1176" spans="1:22" x14ac:dyDescent="0.15">
      <c r="C1176">
        <v>126031</v>
      </c>
      <c r="D1176">
        <v>47</v>
      </c>
      <c r="J1176" t="s">
        <v>2152</v>
      </c>
      <c r="P1176">
        <v>1</v>
      </c>
      <c r="U1176" t="s">
        <v>4363</v>
      </c>
      <c r="V1176" t="str">
        <f t="shared" si="18"/>
        <v>{dwID=126031,nFrame=47,col={0,255,255,},[3]={bScreenHead=true,},[4]={},aFocus={{dwMapID=-1,szDisplay="晒太阳·寓天涯",nMaxDistance=60,tRelation={bAll=true,bEnemy=false,bAlly=false,},tLife={bEnable=false,szOperator="&gt;",nValue=0,},},},},</v>
      </c>
    </row>
    <row r="1177" spans="1:22" x14ac:dyDescent="0.15">
      <c r="C1177">
        <v>125913</v>
      </c>
      <c r="D1177">
        <v>47</v>
      </c>
      <c r="I1177" t="s">
        <v>4364</v>
      </c>
      <c r="U1177" t="s">
        <v>4365</v>
      </c>
      <c r="V1177" t="str">
        <f t="shared" si="18"/>
        <v>{dwID=125913,nFrame=47,szNote="寓天涯·老书生",[3]={},[4]={},aFocus={{dwMapID=-1,szDisplay="老书生·寓天涯",nMaxDistance=60,tRelation={bAll=true,bEnemy=false,bAlly=false,},tLife={bEnable=false,szOperator="&gt;",nValue=0,},},},},</v>
      </c>
    </row>
    <row r="1178" spans="1:22" x14ac:dyDescent="0.15">
      <c r="C1178">
        <v>125914</v>
      </c>
      <c r="D1178">
        <v>47</v>
      </c>
      <c r="I1178" t="s">
        <v>4366</v>
      </c>
      <c r="U1178" t="s">
        <v>4367</v>
      </c>
      <c r="V1178" t="str">
        <f t="shared" si="18"/>
        <v>{dwID=125914,nFrame=47,szNote="寓天涯·阿玉",[3]={},[4]={},aFocus={{dwMapID=-1,szDisplay="阿玉·寓天涯",nMaxDistance=90,tRelation={bAll=true,bEnemy=false,bAlly=false,},tLife={bEnable=false,szOperator="&gt;",nValue=0,},},},},</v>
      </c>
    </row>
    <row r="1179" spans="1:22" x14ac:dyDescent="0.15">
      <c r="C1179">
        <v>110997</v>
      </c>
      <c r="D1179">
        <v>47</v>
      </c>
      <c r="I1179" t="s">
        <v>4368</v>
      </c>
      <c r="U1179" t="s">
        <v>4369</v>
      </c>
      <c r="V1179" t="str">
        <f t="shared" si="18"/>
        <v>{dwID=110997,nFrame=47,szNote="寓天涯·卢芦",[3]={},[4]={},aFocus={{dwMapID=-1,szDisplay="卢芦·寓天涯",nMaxDistance=50,tRelation={bAll=true,bEnemy=false,bAlly=false,},tLife={bEnable=false,szOperator="&gt;",nValue=0,},},},},</v>
      </c>
    </row>
    <row r="1180" spans="1:22" x14ac:dyDescent="0.15">
      <c r="C1180">
        <v>122983</v>
      </c>
      <c r="D1180">
        <v>47</v>
      </c>
      <c r="I1180" t="s">
        <v>4370</v>
      </c>
      <c r="J1180" t="s">
        <v>2152</v>
      </c>
      <c r="P1180">
        <v>1</v>
      </c>
      <c r="U1180" t="s">
        <v>4371</v>
      </c>
      <c r="V1180" t="str">
        <f t="shared" si="18"/>
        <v>{dwID=122983,nFrame=47,szNote="乱红鸾·礼礼",col={0,255,255,},[3]={bScreenHead=true,},[4]={},aFocus={{dwMapID=-1,szDisplay="礼礼·乱红鸾",nMaxDistance=60,tRelation={bAll=true,bEnemy=false,bAlly=false,},tLife={bEnable=false,szOperator="&gt;",nValue=0,},},},},</v>
      </c>
    </row>
    <row r="1181" spans="1:22" x14ac:dyDescent="0.15">
      <c r="C1181">
        <v>122992</v>
      </c>
      <c r="D1181">
        <v>47</v>
      </c>
      <c r="I1181" t="s">
        <v>4372</v>
      </c>
      <c r="J1181" t="s">
        <v>2152</v>
      </c>
      <c r="P1181">
        <v>1</v>
      </c>
      <c r="U1181" t="s">
        <v>4373</v>
      </c>
      <c r="V1181" t="str">
        <f t="shared" si="18"/>
        <v>{dwID=122992,nFrame=47,szNote="乱红鸾·小牛",col={0,255,255,},[3]={bScreenHead=true,},[4]={},aFocus={{dwMapID=-1,szDisplay="乱红鸾·小牛",nMaxDistance=0,tRelation={bAll=true,bEnemy=false,bAlly=false,},tLife={bEnable=false,szOperator="&gt;",nValue=0,},},},},</v>
      </c>
    </row>
    <row r="1182" spans="1:22" x14ac:dyDescent="0.15">
      <c r="A1182" t="s">
        <v>1124</v>
      </c>
      <c r="B1182">
        <v>580</v>
      </c>
      <c r="V1182" t="str">
        <f t="shared" si="18"/>
        <v>},[580]={</v>
      </c>
    </row>
    <row r="1183" spans="1:22" x14ac:dyDescent="0.15">
      <c r="C1183">
        <v>112877</v>
      </c>
      <c r="D1183">
        <v>47</v>
      </c>
      <c r="J1183" t="s">
        <v>2168</v>
      </c>
      <c r="P1183">
        <v>1</v>
      </c>
      <c r="U1183" t="s">
        <v>4374</v>
      </c>
      <c r="V1183" t="str">
        <f t="shared" si="18"/>
        <v>{dwID=112877,nFrame=47,col={0,255,0,},[3]={bScreenHead=true,},[4]={},aFocus={{dwMapID=-1,szDisplay="受伤的工人",nMaxDistance=3,tRelation={bAll=true,bEnemy=false,bAlly=false,},tLife={bEnable=false,szOperator="&gt;",nValue=0,},},},},</v>
      </c>
    </row>
    <row r="1184" spans="1:22" x14ac:dyDescent="0.15">
      <c r="C1184">
        <v>122942</v>
      </c>
      <c r="D1184">
        <v>52</v>
      </c>
      <c r="J1184" t="s">
        <v>2168</v>
      </c>
      <c r="P1184">
        <v>1</v>
      </c>
      <c r="U1184" t="s">
        <v>3623</v>
      </c>
      <c r="V1184" t="str">
        <f t="shared" si="18"/>
        <v>{dwID=122942,nFrame=52,col={0,255,0,},[3]={bScreenHead=true,},[4]={},aFocus={{dwMapID=-1,nMaxDistance=0,tRelation={bAll=true,bEnemy=false,bAlly=false,},tLife={bEnable=false,szOperator="&gt;",nValue=0,},},},},</v>
      </c>
    </row>
    <row r="1185" spans="1:26" x14ac:dyDescent="0.15">
      <c r="C1185">
        <v>123042</v>
      </c>
      <c r="D1185">
        <v>47</v>
      </c>
      <c r="J1185" t="s">
        <v>2168</v>
      </c>
      <c r="P1185">
        <v>1</v>
      </c>
      <c r="U1185" t="s">
        <v>3627</v>
      </c>
      <c r="V1185" t="str">
        <f t="shared" si="18"/>
        <v>{dwID=123042,nFrame=47,col={0,255,0,},[3]={bScreenHead=true,},[4]={},aFocus={{dwMapID=-1,nMaxDistance=10,tRelation={bAll=true,bEnemy=false,bAlly=false,},tLife={bEnable=false,szOperator="&gt;",nValue=0,},},},},</v>
      </c>
    </row>
    <row r="1186" spans="1:26" x14ac:dyDescent="0.15">
      <c r="A1186" t="s">
        <v>1125</v>
      </c>
      <c r="B1186">
        <v>581</v>
      </c>
      <c r="V1186" t="str">
        <f t="shared" si="18"/>
        <v>},[581]={</v>
      </c>
    </row>
    <row r="1187" spans="1:26" x14ac:dyDescent="0.15">
      <c r="C1187">
        <v>122942</v>
      </c>
      <c r="D1187">
        <v>52</v>
      </c>
      <c r="J1187" t="s">
        <v>2168</v>
      </c>
      <c r="P1187">
        <v>1</v>
      </c>
      <c r="U1187" t="s">
        <v>3623</v>
      </c>
      <c r="V1187" t="str">
        <f t="shared" si="18"/>
        <v>{dwID=122942,nFrame=52,col={0,255,0,},[3]={bScreenHead=true,},[4]={},aFocus={{dwMapID=-1,nMaxDistance=0,tRelation={bAll=true,bEnemy=false,bAlly=false,},tLife={bEnable=false,szOperator="&gt;",nValue=0,},},},},</v>
      </c>
    </row>
    <row r="1188" spans="1:26" x14ac:dyDescent="0.15">
      <c r="C1188">
        <v>123042</v>
      </c>
      <c r="D1188">
        <v>47</v>
      </c>
      <c r="J1188" t="s">
        <v>2168</v>
      </c>
      <c r="P1188">
        <v>1</v>
      </c>
      <c r="U1188" t="s">
        <v>3627</v>
      </c>
      <c r="V1188" t="str">
        <f t="shared" si="18"/>
        <v>{dwID=123042,nFrame=47,col={0,255,0,},[3]={bScreenHead=true,},[4]={},aFocus={{dwMapID=-1,nMaxDistance=10,tRelation={bAll=true,bEnemy=false,bAlly=false,},tLife={bEnable=false,szOperator="&gt;",nValue=0,},},},},</v>
      </c>
    </row>
    <row r="1189" spans="1:26" x14ac:dyDescent="0.15">
      <c r="C1189">
        <v>122237</v>
      </c>
      <c r="D1189">
        <v>57</v>
      </c>
      <c r="U1189" t="s">
        <v>3623</v>
      </c>
      <c r="V1189" t="str">
        <f t="shared" si="18"/>
        <v>{dwID=122237,nFrame=57,[3]={},[4]={},aFocus={{dwMapID=-1,nMaxDistance=0,tRelation={bAll=true,bEnemy=false,bAlly=false,},tLife={bEnable=false,szOperator="&gt;",nValue=0,},},},},</v>
      </c>
    </row>
    <row r="1190" spans="1:26" x14ac:dyDescent="0.15">
      <c r="C1190">
        <v>113054</v>
      </c>
      <c r="D1190">
        <v>57</v>
      </c>
      <c r="U1190" t="s">
        <v>3623</v>
      </c>
      <c r="V1190" t="str">
        <f t="shared" si="18"/>
        <v>{dwID=113054,nFrame=57,[3]={},[4]={},aFocus={{dwMapID=-1,nMaxDistance=0,tRelation={bAll=true,bEnemy=false,bAlly=false,},tLife={bEnable=false,szOperator="&gt;",nValue=0,},},},},</v>
      </c>
    </row>
    <row r="1191" spans="1:26" x14ac:dyDescent="0.15">
      <c r="C1191">
        <v>122790</v>
      </c>
      <c r="D1191">
        <v>47</v>
      </c>
      <c r="I1191" t="s">
        <v>4375</v>
      </c>
      <c r="J1191" t="s">
        <v>2152</v>
      </c>
      <c r="P1191">
        <v>1</v>
      </c>
      <c r="U1191" t="s">
        <v>4376</v>
      </c>
      <c r="V1191" t="str">
        <f t="shared" si="18"/>
        <v>{dwID=122790,nFrame=47,szNote="夜哀鸣·逗逗",col={0,255,255,},[3]={bScreenHead=true,},[4]={},aFocus={{dwMapID=-1,szDisplay="逗逗·夜哀鸣",nMaxDistance=60,tRelation={bAll=true,bEnemy=false,bAlly=false,},tLife={bEnable=false,szOperator="&gt;",nValue=0,},},},},</v>
      </c>
    </row>
    <row r="1192" spans="1:26" x14ac:dyDescent="0.15">
      <c r="C1192">
        <v>122791</v>
      </c>
      <c r="D1192">
        <v>47</v>
      </c>
      <c r="I1192" t="s">
        <v>4377</v>
      </c>
      <c r="U1192" t="s">
        <v>4378</v>
      </c>
      <c r="V1192" t="str">
        <f t="shared" si="18"/>
        <v>{dwID=122791,nFrame=47,szNote="夜哀鸣·晚霖",[3]={},[4]={},aFocus={{dwMapID=-1,szDisplay="晚霖·夜哀鸣",nMaxDistance=60,tRelation={bAll=true,bEnemy=false,bAlly=false,},tLife={bEnable=false,szOperator="&gt;",nValue=0,},},},},</v>
      </c>
    </row>
    <row r="1193" spans="1:26" x14ac:dyDescent="0.15">
      <c r="C1193">
        <v>122792</v>
      </c>
      <c r="D1193">
        <v>47</v>
      </c>
      <c r="I1193" t="s">
        <v>4379</v>
      </c>
      <c r="U1193" t="s">
        <v>4380</v>
      </c>
      <c r="V1193" t="str">
        <f t="shared" si="18"/>
        <v>{dwID=122792,nFrame=47,szNote="夜哀鸣·？？？",[3]={},[4]={},aFocus={{dwMapID=-1,szDisplay="？？？·夜哀鸣",nMaxDistance=30,tRelation={bAll=true,bEnemy=false,bAlly=false,},tLife={bEnable=false,szOperator="&gt;",nValue=0,},},},},</v>
      </c>
    </row>
    <row r="1194" spans="1:26" x14ac:dyDescent="0.15">
      <c r="C1194">
        <v>122793</v>
      </c>
      <c r="D1194">
        <v>47</v>
      </c>
      <c r="I1194" t="s">
        <v>4381</v>
      </c>
      <c r="U1194" t="s">
        <v>4382</v>
      </c>
      <c r="V1194" t="str">
        <f t="shared" si="18"/>
        <v>{dwID=122793,nFrame=47,szNote="夜哀鸣·段方北",[3]={},[4]={},aFocus={{dwMapID=-1,szDisplay="段方北·夜哀鸣",nMaxDistance=0,tRelation={bAll=true,bEnemy=false,bAlly=false,},tLife={bEnable=false,szOperator="&gt;",nValue=0,},},},},</v>
      </c>
    </row>
    <row r="1195" spans="1:26" x14ac:dyDescent="0.15">
      <c r="C1195">
        <v>122899</v>
      </c>
      <c r="D1195">
        <v>47</v>
      </c>
      <c r="I1195" t="s">
        <v>4383</v>
      </c>
      <c r="U1195" t="s">
        <v>4384</v>
      </c>
      <c r="V1195" t="str">
        <f t="shared" si="18"/>
        <v>{dwID=122899,nFrame=47,szNote="夜哀鸣·受伤的小猴",[3]={},[4]={},aFocus={{dwMapID=-1,szDisplay="受伤的小猴·夜哀鸣",nMaxDistance=30,tRelation={bAll=true,bEnemy=false,bAlly=false,},tLife={bEnable=false,szOperator="&gt;",nValue=0,},},},},</v>
      </c>
    </row>
    <row r="1196" spans="1:26" x14ac:dyDescent="0.15">
      <c r="C1196">
        <v>122794</v>
      </c>
      <c r="D1196">
        <v>47</v>
      </c>
      <c r="I1196" t="s">
        <v>4385</v>
      </c>
      <c r="U1196" t="s">
        <v>4386</v>
      </c>
      <c r="V1196" t="str">
        <f t="shared" si="18"/>
        <v>{dwID=122794,nFrame=47,szNote="夜哀鸣·和光",[3]={},[4]={},aFocus={{dwMapID=-1,szDisplay="和光·夜哀鸣",nMaxDistance=0,tRelation={bAll=true,bEnemy=false,bAlly=false,},tLife={bEnable=false,szOperator="&gt;",nValue=0,},},},},</v>
      </c>
    </row>
    <row r="1197" spans="1:26" x14ac:dyDescent="0.15">
      <c r="C1197">
        <v>122944</v>
      </c>
      <c r="D1197">
        <v>47</v>
      </c>
      <c r="I1197" t="s">
        <v>4385</v>
      </c>
      <c r="U1197" t="s">
        <v>4386</v>
      </c>
      <c r="V1197" t="str">
        <f t="shared" si="18"/>
        <v>{dwID=122944,nFrame=47,szNote="夜哀鸣·和光",[3]={},[4]={},aFocus={{dwMapID=-1,szDisplay="和光·夜哀鸣",nMaxDistance=0,tRelation={bAll=true,bEnemy=false,bAlly=false,},tLife={bEnable=false,szOperator="&gt;",nValue=0,},},},},</v>
      </c>
    </row>
    <row r="1198" spans="1:26" x14ac:dyDescent="0.15">
      <c r="C1198">
        <v>122905</v>
      </c>
      <c r="D1198">
        <v>47</v>
      </c>
      <c r="I1198" t="s">
        <v>4387</v>
      </c>
      <c r="U1198" t="s">
        <v>4388</v>
      </c>
      <c r="V1198" t="str">
        <f t="shared" si="18"/>
        <v>{dwID=122905,nFrame=47,szNote="夜哀鸣·领狐猴",[3]={},[4]={},aFocus={{dwMapID=-1,szDisplay="领狐猴·夜哀鸣",nMaxDistance=30,tRelation={bAll=true,bEnemy=false,bAlly=false,},tLife={bEnable=false,szOperator="&gt;",nValue=0,},},},},</v>
      </c>
    </row>
    <row r="1199" spans="1:26" x14ac:dyDescent="0.15">
      <c r="A1199" t="s">
        <v>267</v>
      </c>
      <c r="B1199">
        <v>582</v>
      </c>
      <c r="V1199" t="str">
        <f t="shared" si="18"/>
        <v>},[582]={</v>
      </c>
    </row>
    <row r="1200" spans="1:26" x14ac:dyDescent="0.15">
      <c r="C1200">
        <v>113097</v>
      </c>
      <c r="D1200">
        <v>50</v>
      </c>
      <c r="H1200" t="s">
        <v>2721</v>
      </c>
      <c r="I1200" t="s">
        <v>2588</v>
      </c>
      <c r="P1200">
        <v>1</v>
      </c>
      <c r="U1200" t="s">
        <v>4389</v>
      </c>
      <c r="V1200" t="str">
        <f t="shared" si="18"/>
        <v>{dwID=113097,nFrame=50,tKungFu={["SKILL#10028"]=true,["SKILL#10080"]=true,["SKILL#10176"]=true,["SKILL#10448"]=true,["SKILL#10626"]=true,},szNote="成就·肉馅豪杰",[3]={bScreenHead=true,},[4]={},aFocus={{dwMapID=-1,nMaxDistance=30,tRelation={bAll=true,bEnemy=true,bAlly=true,},tLife={bEnable=false,szOperator="&gt;",nValue=0,},},},tCountdown={{nClass=3,nIcon=7518,nFrame=5,szName="治疗心法记得切换输出心法",nTime=10,key="茶馆·成就",},{nClass=7,nIcon=7518,nFrame=5,szName="攻击肉·倒计时60s",nTime=60,key="茶馆·成就",},{nClass=12,nIcon=7518,nFrame=5,szName="茶馆·成就",nTime=0,key="茶馆·成就",},{nClass=4,nIcon=7518,nFrame=5,szName="茶馆·成就",nTime=0,key="茶馆·成就",},},},</v>
      </c>
      <c r="W1200" t="s">
        <v>4390</v>
      </c>
      <c r="X1200" t="s">
        <v>4391</v>
      </c>
      <c r="Y1200" t="s">
        <v>4392</v>
      </c>
      <c r="Z1200" t="s">
        <v>4393</v>
      </c>
    </row>
    <row r="1201" spans="3:22" x14ac:dyDescent="0.15">
      <c r="C1201">
        <v>113801</v>
      </c>
      <c r="D1201">
        <v>47</v>
      </c>
      <c r="P1201">
        <v>1</v>
      </c>
      <c r="U1201" t="s">
        <v>3759</v>
      </c>
      <c r="V1201" t="str">
        <f t="shared" si="18"/>
        <v>{dwID=113801,nFrame=47,[3]={bScreenHead=true,},[4]={},aFocus={{dwMapID=-1,nMaxDistance=30,tRelation={bAll=false,bEnemy=true,bAlly=false,},tLife={bEnable=false,szOperator="&gt;",nValue=0,},},},},</v>
      </c>
    </row>
    <row r="1202" spans="3:22" x14ac:dyDescent="0.15">
      <c r="C1202">
        <v>113765</v>
      </c>
      <c r="D1202">
        <v>47</v>
      </c>
      <c r="J1202" t="s">
        <v>2168</v>
      </c>
      <c r="P1202">
        <v>1</v>
      </c>
      <c r="U1202" t="s">
        <v>3622</v>
      </c>
      <c r="V1202" t="str">
        <f t="shared" si="18"/>
        <v>{dwID=113765,nFrame=47,col={0,255,0,},[3]={bScreenHead=true,},[4]={},aFocus={{dwMapID=-1,nMaxDistance=30,tRelation={bAll=true,bEnemy=false,bAlly=false,},tLife={bEnable=false,szOperator="&gt;",nValue=0,},},},},</v>
      </c>
    </row>
    <row r="1203" spans="3:22" x14ac:dyDescent="0.15">
      <c r="C1203">
        <v>113043</v>
      </c>
      <c r="D1203">
        <v>47</v>
      </c>
      <c r="P1203">
        <v>1</v>
      </c>
      <c r="U1203" t="s">
        <v>3682</v>
      </c>
      <c r="V1203" t="str">
        <f t="shared" si="18"/>
        <v>{dwID=113043,nFrame=47,[3]={bScreenHead=true,},[4]={},aFocus={{dwMapID=-1,nMaxDistance=24,tRelation={bAll=false,bEnemy=true,bAlly=false,},tLife={bEnable=false,szOperator="&gt;",nValue=0,},},},},</v>
      </c>
    </row>
    <row r="1204" spans="3:22" x14ac:dyDescent="0.15">
      <c r="C1204">
        <v>112695</v>
      </c>
      <c r="D1204">
        <v>50</v>
      </c>
      <c r="P1204">
        <v>1</v>
      </c>
      <c r="U1204" t="s">
        <v>4394</v>
      </c>
      <c r="V1204" t="str">
        <f t="shared" si="18"/>
        <v>{dwID=112695,nFrame=50,[3]={bScreenHead=true,},[4]={},aFocus={{dwMapID=-1,nMaxDistance=20,tRelation={bAll=true,bEnemy=false,bAlly=false,},tLife={bEnable=true,szOperator="&lt;",nValue=99,},},{dwMapID=-1,nMaxDistance=3,tRelation={bAll=true,bEnemy=false,bAlly=false,},tLife={bEnable=false,szOperator="&gt;",nValue=0,},},},},</v>
      </c>
    </row>
    <row r="1205" spans="3:22" x14ac:dyDescent="0.15">
      <c r="C1205">
        <v>112697</v>
      </c>
      <c r="D1205">
        <v>50</v>
      </c>
      <c r="P1205">
        <v>1</v>
      </c>
      <c r="U1205" t="s">
        <v>4394</v>
      </c>
      <c r="V1205" t="str">
        <f t="shared" si="18"/>
        <v>{dwID=112697,nFrame=50,[3]={bScreenHead=true,},[4]={},aFocus={{dwMapID=-1,nMaxDistance=20,tRelation={bAll=true,bEnemy=false,bAlly=false,},tLife={bEnable=true,szOperator="&lt;",nValue=99,},},{dwMapID=-1,nMaxDistance=3,tRelation={bAll=true,bEnemy=false,bAlly=false,},tLife={bEnable=false,szOperator="&gt;",nValue=0,},},},},</v>
      </c>
    </row>
    <row r="1206" spans="3:22" x14ac:dyDescent="0.15">
      <c r="C1206">
        <v>112696</v>
      </c>
      <c r="D1206">
        <v>50</v>
      </c>
      <c r="P1206">
        <v>1</v>
      </c>
      <c r="U1206" t="s">
        <v>4394</v>
      </c>
      <c r="V1206" t="str">
        <f t="shared" si="18"/>
        <v>{dwID=112696,nFrame=50,[3]={bScreenHead=true,},[4]={},aFocus={{dwMapID=-1,nMaxDistance=20,tRelation={bAll=true,bEnemy=false,bAlly=false,},tLife={bEnable=true,szOperator="&lt;",nValue=99,},},{dwMapID=-1,nMaxDistance=3,tRelation={bAll=true,bEnemy=false,bAlly=false,},tLife={bEnable=false,szOperator="&gt;",nValue=0,},},},},</v>
      </c>
    </row>
    <row r="1207" spans="3:22" x14ac:dyDescent="0.15">
      <c r="C1207">
        <v>122881</v>
      </c>
      <c r="D1207">
        <v>47</v>
      </c>
      <c r="J1207" t="s">
        <v>2168</v>
      </c>
      <c r="P1207">
        <v>1</v>
      </c>
      <c r="V1207" t="str">
        <f t="shared" si="18"/>
        <v>{dwID=122881,nFrame=47,col={0,255,0,},[3]={bScreenHead=true,},[4]={},},</v>
      </c>
    </row>
    <row r="1208" spans="3:22" x14ac:dyDescent="0.15">
      <c r="C1208">
        <v>122883</v>
      </c>
      <c r="D1208">
        <v>47</v>
      </c>
      <c r="J1208" t="s">
        <v>2168</v>
      </c>
      <c r="P1208">
        <v>1</v>
      </c>
      <c r="U1208" t="s">
        <v>3622</v>
      </c>
      <c r="V1208" t="str">
        <f t="shared" si="18"/>
        <v>{dwID=122883,nFrame=47,col={0,255,0,},[3]={bScreenHead=true,},[4]={},aFocus={{dwMapID=-1,nMaxDistance=30,tRelation={bAll=true,bEnemy=false,bAlly=false,},tLife={bEnable=false,szOperator="&gt;",nValue=0,},},},},</v>
      </c>
    </row>
    <row r="1209" spans="3:22" x14ac:dyDescent="0.15">
      <c r="C1209">
        <v>122882</v>
      </c>
      <c r="D1209">
        <v>47</v>
      </c>
      <c r="J1209" t="s">
        <v>2168</v>
      </c>
      <c r="P1209">
        <v>1</v>
      </c>
      <c r="V1209" t="str">
        <f t="shared" si="18"/>
        <v>{dwID=122882,nFrame=47,col={0,255,0,},[3]={bScreenHead=true,},[4]={},},</v>
      </c>
    </row>
    <row r="1210" spans="3:22" x14ac:dyDescent="0.15">
      <c r="C1210">
        <v>112657</v>
      </c>
      <c r="D1210">
        <v>47</v>
      </c>
      <c r="P1210">
        <v>1</v>
      </c>
      <c r="U1210" t="s">
        <v>3759</v>
      </c>
      <c r="V1210" t="str">
        <f t="shared" si="18"/>
        <v>{dwID=112657,nFrame=47,[3]={bScreenHead=true,},[4]={},aFocus={{dwMapID=-1,nMaxDistance=30,tRelation={bAll=false,bEnemy=true,bAlly=false,},tLife={bEnable=false,szOperator="&gt;",nValue=0,},},},},</v>
      </c>
    </row>
    <row r="1211" spans="3:22" x14ac:dyDescent="0.15">
      <c r="C1211">
        <v>112822</v>
      </c>
      <c r="D1211">
        <v>47</v>
      </c>
      <c r="J1211" t="s">
        <v>2676</v>
      </c>
      <c r="O1211">
        <v>1</v>
      </c>
      <c r="P1211">
        <v>1</v>
      </c>
      <c r="U1211" t="s">
        <v>3623</v>
      </c>
      <c r="V1211" t="str">
        <f t="shared" si="18"/>
        <v>{dwID=112822,nFrame=47,col={255,50,50,},[3]={bCenterAlarm=true,bScreenHead=true,},[4]={},aFocus={{dwMapID=-1,nMaxDistance=0,tRelation={bAll=true,bEnemy=false,bAlly=false,},tLife={bEnable=false,szOperator="&gt;",nValue=0,},},},},</v>
      </c>
    </row>
    <row r="1212" spans="3:22" x14ac:dyDescent="0.15">
      <c r="C1212">
        <v>122251</v>
      </c>
      <c r="D1212">
        <v>57</v>
      </c>
      <c r="J1212" t="s">
        <v>2676</v>
      </c>
      <c r="U1212" t="s">
        <v>4395</v>
      </c>
      <c r="V1212" t="str">
        <f t="shared" si="18"/>
        <v>{dwID=122251,nFrame=57,col={255,50,50,},[3]={},[4]={},aFocus={{dwMapID=-1,nMaxDistance=20,tRelation={bAll=false,bEnemy=true,bAlly=false,},tLife={bEnable=true,szOperator="&lt;",nValue=100,},},{dwMapID=-1,nMaxDistance=10,tRelation={bAll=false,bEnemy=true,bAlly=false,},tLife={bEnable=false,szOperator="&gt;",nValue=0,},},},},</v>
      </c>
    </row>
    <row r="1213" spans="3:22" x14ac:dyDescent="0.15">
      <c r="C1213">
        <v>122077</v>
      </c>
      <c r="D1213">
        <v>57</v>
      </c>
      <c r="J1213" t="s">
        <v>2676</v>
      </c>
      <c r="U1213" t="s">
        <v>4395</v>
      </c>
      <c r="V1213" t="str">
        <f t="shared" si="18"/>
        <v>{dwID=122077,nFrame=57,col={255,50,50,},[3]={},[4]={},aFocus={{dwMapID=-1,nMaxDistance=20,tRelation={bAll=false,bEnemy=true,bAlly=false,},tLife={bEnable=true,szOperator="&lt;",nValue=100,},},{dwMapID=-1,nMaxDistance=10,tRelation={bAll=false,bEnemy=true,bAlly=false,},tLife={bEnable=false,szOperator="&gt;",nValue=0,},},},},</v>
      </c>
    </row>
    <row r="1214" spans="3:22" x14ac:dyDescent="0.15">
      <c r="C1214">
        <v>122288</v>
      </c>
      <c r="D1214">
        <v>57</v>
      </c>
      <c r="J1214" t="s">
        <v>2676</v>
      </c>
      <c r="U1214" t="s">
        <v>4396</v>
      </c>
      <c r="V1214" t="str">
        <f t="shared" si="18"/>
        <v>{dwID=122288,nFrame=57,col={255,50,50,},[3]={},[4]={},aFocus={{dwMapID=-1,nMaxDistance=20,tRelation={bAll=false,bEnemy=true,bAlly=false,},tLife={bEnable=false,szOperator="&gt;",nValue=0,},},{dwMapID=-1,nMaxDistance=10,tRelation={bAll=false,bEnemy=true,bAlly=false,},tLife={bEnable=false,szOperator="&gt;",nValue=0,},},},},</v>
      </c>
    </row>
    <row r="1215" spans="3:22" x14ac:dyDescent="0.15">
      <c r="C1215">
        <v>122293</v>
      </c>
      <c r="D1215">
        <v>57</v>
      </c>
      <c r="J1215" t="s">
        <v>2676</v>
      </c>
      <c r="P1215">
        <v>1</v>
      </c>
      <c r="U1215" t="s">
        <v>3623</v>
      </c>
      <c r="V1215" t="str">
        <f t="shared" si="18"/>
        <v>{dwID=122293,nFrame=57,col={255,50,50,},[3]={bScreenHead=true,},[4]={},aFocus={{dwMapID=-1,nMaxDistance=0,tRelation={bAll=true,bEnemy=false,bAlly=false,},tLife={bEnable=false,szOperator="&gt;",nValue=0,},},},},</v>
      </c>
    </row>
    <row r="1216" spans="3:22" x14ac:dyDescent="0.15">
      <c r="C1216">
        <v>122942</v>
      </c>
      <c r="D1216">
        <v>52</v>
      </c>
      <c r="J1216" t="s">
        <v>2168</v>
      </c>
      <c r="O1216">
        <v>1</v>
      </c>
      <c r="P1216">
        <v>1</v>
      </c>
      <c r="U1216" t="s">
        <v>3623</v>
      </c>
      <c r="V1216" t="str">
        <f t="shared" si="18"/>
        <v>{dwID=122942,nFrame=52,col={0,255,0,},[3]={bCenterAlarm=true,bScreenHead=true,},[4]={},aFocus={{dwMapID=-1,nMaxDistance=0,tRelation={bAll=true,bEnemy=false,bAlly=false,},tLife={bEnable=false,szOperator="&gt;",nValue=0,},},},},</v>
      </c>
    </row>
    <row r="1217" spans="1:22" x14ac:dyDescent="0.15">
      <c r="C1217">
        <v>123042</v>
      </c>
      <c r="D1217">
        <v>47</v>
      </c>
      <c r="J1217" t="s">
        <v>2168</v>
      </c>
      <c r="P1217">
        <v>1</v>
      </c>
      <c r="U1217" t="s">
        <v>3627</v>
      </c>
      <c r="V1217" t="str">
        <f t="shared" si="18"/>
        <v>{dwID=123042,nFrame=47,col={0,255,0,},[3]={bScreenHead=true,},[4]={},aFocus={{dwMapID=-1,nMaxDistance=10,tRelation={bAll=true,bEnemy=false,bAlly=false,},tLife={bEnable=false,szOperator="&gt;",nValue=0,},},},},</v>
      </c>
    </row>
    <row r="1218" spans="1:22" x14ac:dyDescent="0.15">
      <c r="C1218">
        <v>122884</v>
      </c>
      <c r="D1218">
        <v>47</v>
      </c>
      <c r="I1218" t="s">
        <v>4397</v>
      </c>
      <c r="J1218" t="s">
        <v>2168</v>
      </c>
      <c r="P1218">
        <v>1</v>
      </c>
      <c r="V1218" t="str">
        <f t="shared" ref="V1218:V1281" si="19">IF(ISBLANK(B1218)=FALSE,IF(ISBLANK(B1217),"},["&amp;B1218&amp;"]={","["&amp;B1218&amp;"]={"),IF(AND(ISBLANK(B1218),ISBLANK(D1218),ISBLANK(C1218),OR(ISBLANK(B1217)=FALSE,ISBLANK(D1217)=FALSE,ISBLANK(C1217)=FALSE)),"},},}",IF(ISBLANK(C1218),"","{dwID="&amp;C1218&amp;","&amp;"nFrame="&amp;D1218&amp;","&amp;IF(E1218&gt;0,"nCount="&amp;E1218&amp;",","")&amp;IF(F1218&gt;0,"bAllLeave=true,","")&amp;IF(G1218&lt;&gt;"","szName="""&amp;G1218&amp;""",","")&amp;IF(H1218&lt;&gt;"","tKungFu={"&amp;H1218&amp;"},","")&amp;IF(I1218&lt;&gt;"","szNote="""&amp;I1218&amp;""",","")&amp;IF(J1218&lt;&gt;"","col={"&amp;J1218&amp;"},","")&amp;"[3]={"&amp;IF(K1218&lt;&gt;"","tMark={"&amp;K1218&amp;"},","")&amp;IF(L1218&lt;&gt;"","szVoice="""&amp;L1218&amp;""",","")&amp;IF(M1218&gt;0,"bTeamChannel=true,","")&amp;IF(N1218&gt;0,"bWhisperChannel=true,","")&amp;IF(O1218&gt;0,"bCenterAlarm=true,","")&amp;IF(P1218&gt;0,"bScreenHead=true,","")&amp;"},"&amp;"[4]={"&amp;IF(Q1218&lt;&gt;"","szVoice="""&amp;Q1218&amp;""",","")&amp;IF(R1218&gt;0,"bTeamChannel=true,","")&amp;IF(S1218&gt;0,"bWhisperChannel=true,","")&amp;IF(T1218&gt;0,"bCenterAlarm=true,","")&amp;"},"&amp;IF(U1218&lt;&gt;"","aFocus={"&amp;U1218&amp;"},","")&amp;IF(W1218&lt;&gt;"","tCountdown={"&amp;_xlfn.TEXTJOIN("",TRUE,W1218:ZZ1218)&amp;"},","")&amp;"},")))</f>
        <v>{dwID=122884,nFrame=47,szNote="月嘉禾·2心",col={0,255,0,},[3]={bScreenHead=true,},[4]={},},</v>
      </c>
    </row>
    <row r="1219" spans="1:22" x14ac:dyDescent="0.15">
      <c r="C1219">
        <v>112796</v>
      </c>
      <c r="D1219">
        <v>65</v>
      </c>
      <c r="J1219" t="s">
        <v>2168</v>
      </c>
      <c r="P1219">
        <v>1</v>
      </c>
      <c r="U1219" t="s">
        <v>4141</v>
      </c>
      <c r="V1219" t="str">
        <f t="shared" si="19"/>
        <v>{dwID=112796,nFrame=65,col={0,255,0,},[3]={bScreenHead=true,},[4]={},aFocus={{dwMapID=-1,nMaxDistance=30,tRelation={bAll=false,bEnemy=false,bAlly=true,},tLife={bEnable=false,szOperator="&gt;",nValue=0,},},},},</v>
      </c>
    </row>
    <row r="1220" spans="1:22" x14ac:dyDescent="0.15">
      <c r="C1220">
        <v>112693</v>
      </c>
      <c r="D1220">
        <v>65</v>
      </c>
      <c r="U1220" t="s">
        <v>3731</v>
      </c>
      <c r="V1220" t="str">
        <f t="shared" si="19"/>
        <v>{dwID=112693,nFrame=65,[3]={},[4]={},aFocus={{dwMapID=-1,nMaxDistance=3,tRelation={bAll=true,bEnemy=false,bAlly=false,},tLife={bEnable=false,szOperator="&gt;",nValue=0,},},},},</v>
      </c>
    </row>
    <row r="1221" spans="1:22" x14ac:dyDescent="0.15">
      <c r="C1221">
        <v>112694</v>
      </c>
      <c r="D1221">
        <v>65</v>
      </c>
      <c r="U1221" t="s">
        <v>3731</v>
      </c>
      <c r="V1221" t="str">
        <f t="shared" si="19"/>
        <v>{dwID=112694,nFrame=65,[3]={},[4]={},aFocus={{dwMapID=-1,nMaxDistance=3,tRelation={bAll=true,bEnemy=false,bAlly=false,},tLife={bEnable=false,szOperator="&gt;",nValue=0,},},},},</v>
      </c>
    </row>
    <row r="1222" spans="1:22" x14ac:dyDescent="0.15">
      <c r="C1222">
        <v>127990</v>
      </c>
      <c r="D1222">
        <v>47</v>
      </c>
      <c r="I1222" t="s">
        <v>4398</v>
      </c>
      <c r="U1222" t="s">
        <v>4399</v>
      </c>
      <c r="V1222" t="str">
        <f t="shared" si="19"/>
        <v>{dwID=127990,nFrame=47,szNote="侠者成歌·封演",[3]={},[4]={},aFocus={{dwMapID=-1,szDisplay="封演·侠者成歌",nMaxDistance=60,tRelation={bAll=true,bEnemy=false,bAlly=false,},tLife={bEnable=false,szOperator="&gt;",nValue=0,},},},},</v>
      </c>
    </row>
    <row r="1223" spans="1:22" x14ac:dyDescent="0.15">
      <c r="C1223">
        <v>127991</v>
      </c>
      <c r="D1223">
        <v>47</v>
      </c>
      <c r="I1223" t="s">
        <v>4400</v>
      </c>
      <c r="U1223" t="s">
        <v>4401</v>
      </c>
      <c r="V1223" t="str">
        <f t="shared" si="19"/>
        <v>{dwID=127991,nFrame=47,szNote="侠者成歌·纪小橙",[3]={},[4]={},aFocus={{dwMapID=-1,szDisplay="纪小橙·侠者成歌",nMaxDistance=30,tRelation={bAll=true,bEnemy=false,bAlly=false,},tLife={bEnable=false,szOperator="&gt;",nValue=0,},},},},</v>
      </c>
    </row>
    <row r="1224" spans="1:22" x14ac:dyDescent="0.15">
      <c r="C1224">
        <v>127992</v>
      </c>
      <c r="D1224">
        <v>47</v>
      </c>
      <c r="I1224" t="s">
        <v>4402</v>
      </c>
      <c r="U1224" t="s">
        <v>4403</v>
      </c>
      <c r="V1224" t="str">
        <f t="shared" si="19"/>
        <v>{dwID=127992,nFrame=47,szNote="侠者成歌·司空淮",[3]={},[4]={},aFocus={{dwMapID=-1,szDisplay="司空淮·侠者成歌",nMaxDistance=90,tRelation={bAll=true,bEnemy=false,bAlly=false,},tLife={bEnable=false,szOperator="&gt;",nValue=0,},},},},</v>
      </c>
    </row>
    <row r="1225" spans="1:22" x14ac:dyDescent="0.15">
      <c r="C1225">
        <v>127997</v>
      </c>
      <c r="D1225">
        <v>47</v>
      </c>
      <c r="I1225" t="s">
        <v>4404</v>
      </c>
      <c r="U1225" t="s">
        <v>4405</v>
      </c>
      <c r="V1225" t="str">
        <f t="shared" si="19"/>
        <v>{dwID=127997,nFrame=47,szNote="侠者成歌·苏舒",[3]={},[4]={},aFocus={{dwMapID=-1,szDisplay="苏舒·侠者成歌",nMaxDistance=30,tRelation={bAll=true,bEnemy=false,bAlly=false,},tLife={bEnable=false,szOperator="&gt;",nValue=0,},},},},</v>
      </c>
    </row>
    <row r="1226" spans="1:22" x14ac:dyDescent="0.15">
      <c r="C1226">
        <v>113068</v>
      </c>
      <c r="D1226">
        <v>47</v>
      </c>
      <c r="I1226" t="s">
        <v>4406</v>
      </c>
      <c r="J1226" t="s">
        <v>2152</v>
      </c>
      <c r="P1226">
        <v>1</v>
      </c>
      <c r="U1226" t="s">
        <v>4407</v>
      </c>
      <c r="V1226" t="str">
        <f t="shared" si="19"/>
        <v>{dwID=113068,nFrame=47,szNote="故岁辞·槲生",col={0,255,255,},[3]={bScreenHead=true,},[4]={},aFocus={{dwMapID=-1,szDisplay="槲生·故岁辞",nMaxDistance=60,tRelation={bAll=true,bEnemy=false,bAlly=false,},tLife={bEnable=false,szOperator="&gt;",nValue=0,},},},},</v>
      </c>
    </row>
    <row r="1227" spans="1:22" x14ac:dyDescent="0.15">
      <c r="C1227">
        <v>113069</v>
      </c>
      <c r="D1227">
        <v>47</v>
      </c>
      <c r="I1227" t="s">
        <v>4408</v>
      </c>
      <c r="U1227" t="s">
        <v>4409</v>
      </c>
      <c r="V1227" t="str">
        <f t="shared" si="19"/>
        <v>{dwID=113069,nFrame=47,szNote="故岁辞·赵永",[3]={},[4]={},aFocus={{dwMapID=-1,szDisplay="赵永·故岁辞",nMaxDistance=70,tRelation={bAll=true,bEnemy=false,bAlly=false,},tLife={bEnable=false,szOperator="&gt;",nValue=0,},},},},</v>
      </c>
    </row>
    <row r="1228" spans="1:22" x14ac:dyDescent="0.15">
      <c r="C1228">
        <v>113070</v>
      </c>
      <c r="D1228">
        <v>47</v>
      </c>
      <c r="I1228" t="s">
        <v>4410</v>
      </c>
      <c r="U1228" t="s">
        <v>4411</v>
      </c>
      <c r="V1228" t="str">
        <f t="shared" si="19"/>
        <v>{dwID=113070,nFrame=47,szNote="故岁辞·姚田",[3]={},[4]={},aFocus={{dwMapID=-1,szDisplay="姚田·故岁辞",nMaxDistance=60,tRelation={bAll=true,bEnemy=false,bAlly=false,},tLife={bEnable=false,szOperator="&gt;",nValue=0,},},},},</v>
      </c>
    </row>
    <row r="1229" spans="1:22" x14ac:dyDescent="0.15">
      <c r="C1229">
        <v>113071</v>
      </c>
      <c r="D1229">
        <v>47</v>
      </c>
      <c r="I1229" t="s">
        <v>4412</v>
      </c>
      <c r="U1229" t="s">
        <v>4413</v>
      </c>
      <c r="V1229" t="str">
        <f t="shared" si="19"/>
        <v>{dwID=113071,nFrame=47,szNote="故岁辞·潘春",[3]={},[4]={},aFocus={{dwMapID=-1,szDisplay="潘春·故岁辞",nMaxDistance=20,tRelation={bAll=true,bEnemy=false,bAlly=false,},tLife={bEnable=false,szOperator="&gt;",nValue=0,},},},},</v>
      </c>
    </row>
    <row r="1230" spans="1:22" x14ac:dyDescent="0.15">
      <c r="C1230">
        <v>113078</v>
      </c>
      <c r="D1230">
        <v>47</v>
      </c>
      <c r="I1230" t="s">
        <v>4414</v>
      </c>
      <c r="U1230" t="s">
        <v>4415</v>
      </c>
      <c r="V1230" t="str">
        <f t="shared" si="19"/>
        <v>{dwID=113078,nFrame=47,szNote="故岁辞·何实",[3]={},[4]={},aFocus={{dwMapID=-1,szDisplay="何实·故岁辞",nMaxDistance=50,tRelation={bAll=true,bEnemy=false,bAlly=false,},tLife={bEnable=false,szOperator="&gt;",nValue=0,},},},},</v>
      </c>
    </row>
    <row r="1231" spans="1:22" x14ac:dyDescent="0.15">
      <c r="C1231">
        <v>113113</v>
      </c>
      <c r="D1231">
        <v>47</v>
      </c>
      <c r="I1231" t="s">
        <v>4416</v>
      </c>
      <c r="U1231" t="s">
        <v>4417</v>
      </c>
      <c r="V1231" t="str">
        <f t="shared" si="19"/>
        <v>{dwID=113113,nFrame=47,szNote="故岁辞·龙俊华",[3]={},[4]={},aFocus={{dwMapID=-1,szDisplay="龙俊华·故岁辞",nMaxDistance=30,tRelation={bAll=true,bEnemy=false,bAlly=false,},tLife={bEnable=false,szOperator="&gt;",nValue=0,},},},},</v>
      </c>
    </row>
    <row r="1232" spans="1:22" x14ac:dyDescent="0.15">
      <c r="A1232" t="s">
        <v>1137</v>
      </c>
      <c r="B1232">
        <v>596</v>
      </c>
      <c r="V1232" t="str">
        <f t="shared" si="19"/>
        <v>},[596]={</v>
      </c>
    </row>
    <row r="1233" spans="1:22" x14ac:dyDescent="0.15">
      <c r="C1233">
        <v>111330</v>
      </c>
      <c r="D1233">
        <v>47</v>
      </c>
      <c r="J1233" t="s">
        <v>2168</v>
      </c>
      <c r="P1233">
        <v>1</v>
      </c>
      <c r="U1233" t="s">
        <v>4418</v>
      </c>
      <c r="V1233" t="str">
        <f t="shared" si="19"/>
        <v>{dwID=111330,nFrame=47,col={0,255,0,},[3]={bScreenHead=true,},[4]={},aFocus={{dwMapID=-1,szDisplay="谢阿蛮·剧情",nMaxDistance=20,tRelation={bAll=true,bEnemy=false,bAlly=false,},tLife={bEnable=false,szOperator="&gt;",nValue=0,},},},},</v>
      </c>
    </row>
    <row r="1234" spans="1:22" x14ac:dyDescent="0.15">
      <c r="C1234">
        <v>111267</v>
      </c>
      <c r="D1234">
        <v>47</v>
      </c>
      <c r="J1234" t="s">
        <v>2168</v>
      </c>
      <c r="P1234">
        <v>1</v>
      </c>
      <c r="U1234" t="s">
        <v>4419</v>
      </c>
      <c r="V1234" t="str">
        <f t="shared" si="19"/>
        <v>{dwID=111267,nFrame=47,col={0,255,0,},[3]={bScreenHead=true,},[4]={},aFocus={{dwMapID=-1,szDisplay="守卫·剧情",nMaxDistance=40,tRelation={bAll=true,bEnemy=false,bAlly=false,},tLife={bEnable=false,szOperator="&gt;",nValue=0,},},},},</v>
      </c>
    </row>
    <row r="1235" spans="1:22" x14ac:dyDescent="0.15">
      <c r="C1235">
        <v>110858</v>
      </c>
      <c r="D1235">
        <v>47</v>
      </c>
      <c r="U1235" t="s">
        <v>4420</v>
      </c>
      <c r="V1235" t="str">
        <f t="shared" si="19"/>
        <v>{dwID=110858,nFrame=47,[3]={},[4]={},aFocus={{dwMapID=-1,szDisplay="传送",nMaxDistance=6,tRelation={bAll=true,bEnemy=false,bAlly=false,},tLife={bEnable=false,szOperator="&gt;",nValue=0,},},},},</v>
      </c>
    </row>
    <row r="1236" spans="1:22" x14ac:dyDescent="0.15">
      <c r="A1236" t="s">
        <v>1138</v>
      </c>
      <c r="B1236">
        <v>597</v>
      </c>
      <c r="V1236" t="str">
        <f t="shared" si="19"/>
        <v>},[597]={</v>
      </c>
    </row>
    <row r="1237" spans="1:22" x14ac:dyDescent="0.15">
      <c r="C1237">
        <v>112135</v>
      </c>
      <c r="D1237">
        <v>47</v>
      </c>
      <c r="J1237" t="s">
        <v>2168</v>
      </c>
      <c r="P1237">
        <v>1</v>
      </c>
      <c r="U1237" t="s">
        <v>4418</v>
      </c>
      <c r="V1237" t="str">
        <f t="shared" si="19"/>
        <v>{dwID=112135,nFrame=47,col={0,255,0,},[3]={bScreenHead=true,},[4]={},aFocus={{dwMapID=-1,szDisplay="谢阿蛮·剧情",nMaxDistance=20,tRelation={bAll=true,bEnemy=false,bAlly=false,},tLife={bEnable=false,szOperator="&gt;",nValue=0,},},},},</v>
      </c>
    </row>
    <row r="1238" spans="1:22" x14ac:dyDescent="0.15">
      <c r="C1238">
        <v>112128</v>
      </c>
      <c r="D1238">
        <v>47</v>
      </c>
      <c r="J1238" t="s">
        <v>2168</v>
      </c>
      <c r="P1238">
        <v>1</v>
      </c>
      <c r="U1238" t="s">
        <v>4419</v>
      </c>
      <c r="V1238" t="str">
        <f t="shared" si="19"/>
        <v>{dwID=112128,nFrame=47,col={0,255,0,},[3]={bScreenHead=true,},[4]={},aFocus={{dwMapID=-1,szDisplay="守卫·剧情",nMaxDistance=40,tRelation={bAll=true,bEnemy=false,bAlly=false,},tLife={bEnable=false,szOperator="&gt;",nValue=0,},},},},</v>
      </c>
    </row>
    <row r="1239" spans="1:22" x14ac:dyDescent="0.15">
      <c r="C1239">
        <v>112129</v>
      </c>
      <c r="D1239">
        <v>47</v>
      </c>
      <c r="U1239" t="s">
        <v>4420</v>
      </c>
      <c r="V1239" t="str">
        <f t="shared" si="19"/>
        <v>{dwID=112129,nFrame=47,[3]={},[4]={},aFocus={{dwMapID=-1,szDisplay="传送",nMaxDistance=6,tRelation={bAll=true,bEnemy=false,bAlly=false,},tLife={bEnable=false,szOperator="&gt;",nValue=0,},},},},</v>
      </c>
    </row>
    <row r="1240" spans="1:22" x14ac:dyDescent="0.15">
      <c r="A1240" t="s">
        <v>1167</v>
      </c>
      <c r="B1240">
        <v>627</v>
      </c>
      <c r="V1240" t="str">
        <f t="shared" si="19"/>
        <v>},[627]={</v>
      </c>
    </row>
    <row r="1241" spans="1:22" x14ac:dyDescent="0.15">
      <c r="C1241">
        <v>111651</v>
      </c>
      <c r="D1241">
        <v>57</v>
      </c>
      <c r="I1241" t="s">
        <v>4421</v>
      </c>
      <c r="P1241">
        <v>1</v>
      </c>
      <c r="U1241" t="s">
        <v>3733</v>
      </c>
      <c r="V1241" t="str">
        <f t="shared" si="19"/>
        <v>{dwID=111651,nFrame=57,szNote="狼牙·隐樵关",[3]={bScreenHead=true,},[4]={},aFocus={{dwMapID=-1,nMaxDistance=60,tRelation={bAll=true,bEnemy=false,bAlly=false,},tLife={bEnable=false,szOperator="&gt;",nValue=0,},},},},</v>
      </c>
    </row>
    <row r="1242" spans="1:22" x14ac:dyDescent="0.15">
      <c r="C1242">
        <v>111652</v>
      </c>
      <c r="D1242">
        <v>57</v>
      </c>
      <c r="I1242" t="s">
        <v>4422</v>
      </c>
      <c r="P1242">
        <v>1</v>
      </c>
      <c r="U1242" t="s">
        <v>3733</v>
      </c>
      <c r="V1242" t="str">
        <f t="shared" si="19"/>
        <v>{dwID=111652,nFrame=57,szNote="狼牙·天生关",[3]={bScreenHead=true,},[4]={},aFocus={{dwMapID=-1,nMaxDistance=60,tRelation={bAll=true,bEnemy=false,bAlly=false,},tLife={bEnable=false,szOperator="&gt;",nValue=0,},},},},</v>
      </c>
    </row>
    <row r="1243" spans="1:22" x14ac:dyDescent="0.15">
      <c r="C1243">
        <v>111653</v>
      </c>
      <c r="D1243">
        <v>57</v>
      </c>
      <c r="I1243" t="s">
        <v>4423</v>
      </c>
      <c r="P1243">
        <v>1</v>
      </c>
      <c r="U1243" t="s">
        <v>3733</v>
      </c>
      <c r="V1243" t="str">
        <f t="shared" si="19"/>
        <v>{dwID=111653,nFrame=57,szNote="狼牙·赤岩关",[3]={bScreenHead=true,},[4]={},aFocus={{dwMapID=-1,nMaxDistance=60,tRelation={bAll=true,bEnemy=false,bAlly=false,},tLife={bEnable=false,szOperator="&gt;",nValue=0,},},},},</v>
      </c>
    </row>
    <row r="1244" spans="1:22" x14ac:dyDescent="0.15">
      <c r="C1244">
        <v>111605</v>
      </c>
      <c r="D1244">
        <v>47</v>
      </c>
      <c r="I1244" t="s">
        <v>4424</v>
      </c>
      <c r="P1244">
        <v>1</v>
      </c>
      <c r="U1244" t="s">
        <v>3733</v>
      </c>
      <c r="V1244" t="str">
        <f t="shared" si="19"/>
        <v>{dwID=111605,nFrame=47,szNote="浩气·隐樵关",[3]={bScreenHead=true,},[4]={},aFocus={{dwMapID=-1,nMaxDistance=60,tRelation={bAll=true,bEnemy=false,bAlly=false,},tLife={bEnable=false,szOperator="&gt;",nValue=0,},},},},</v>
      </c>
    </row>
    <row r="1245" spans="1:22" x14ac:dyDescent="0.15">
      <c r="C1245">
        <v>111606</v>
      </c>
      <c r="D1245">
        <v>47</v>
      </c>
      <c r="I1245" t="s">
        <v>4425</v>
      </c>
      <c r="P1245">
        <v>1</v>
      </c>
      <c r="U1245" t="s">
        <v>3733</v>
      </c>
      <c r="V1245" t="str">
        <f t="shared" si="19"/>
        <v>{dwID=111606,nFrame=47,szNote="浩气·天生关",[3]={bScreenHead=true,},[4]={},aFocus={{dwMapID=-1,nMaxDistance=60,tRelation={bAll=true,bEnemy=false,bAlly=false,},tLife={bEnable=false,szOperator="&gt;",nValue=0,},},},},</v>
      </c>
    </row>
    <row r="1246" spans="1:22" x14ac:dyDescent="0.15">
      <c r="C1246">
        <v>111607</v>
      </c>
      <c r="D1246">
        <v>47</v>
      </c>
      <c r="I1246" t="s">
        <v>4426</v>
      </c>
      <c r="P1246">
        <v>1</v>
      </c>
      <c r="U1246" t="s">
        <v>3733</v>
      </c>
      <c r="V1246" t="str">
        <f t="shared" si="19"/>
        <v>{dwID=111607,nFrame=47,szNote="浩气·赤岩关",[3]={bScreenHead=true,},[4]={},aFocus={{dwMapID=-1,nMaxDistance=60,tRelation={bAll=true,bEnemy=false,bAlly=false,},tLife={bEnable=false,szOperator="&gt;",nValue=0,},},},},</v>
      </c>
    </row>
    <row r="1247" spans="1:22" x14ac:dyDescent="0.15">
      <c r="C1247">
        <v>111608</v>
      </c>
      <c r="D1247">
        <v>47</v>
      </c>
      <c r="I1247" t="s">
        <v>4427</v>
      </c>
      <c r="P1247">
        <v>1</v>
      </c>
      <c r="U1247" t="s">
        <v>3733</v>
      </c>
      <c r="V1247" t="str">
        <f t="shared" si="19"/>
        <v>{dwID=111608,nFrame=47,szNote="恶人·隐樵关",[3]={bScreenHead=true,},[4]={},aFocus={{dwMapID=-1,nMaxDistance=60,tRelation={bAll=true,bEnemy=false,bAlly=false,},tLife={bEnable=false,szOperator="&gt;",nValue=0,},},},},</v>
      </c>
    </row>
    <row r="1248" spans="1:22" x14ac:dyDescent="0.15">
      <c r="C1248">
        <v>111609</v>
      </c>
      <c r="D1248">
        <v>47</v>
      </c>
      <c r="I1248" t="s">
        <v>4428</v>
      </c>
      <c r="P1248">
        <v>1</v>
      </c>
      <c r="U1248" t="s">
        <v>3733</v>
      </c>
      <c r="V1248" t="str">
        <f t="shared" si="19"/>
        <v>{dwID=111609,nFrame=47,szNote="恶人·天生关",[3]={bScreenHead=true,},[4]={},aFocus={{dwMapID=-1,nMaxDistance=60,tRelation={bAll=true,bEnemy=false,bAlly=false,},tLife={bEnable=false,szOperator="&gt;",nValue=0,},},},},</v>
      </c>
    </row>
    <row r="1249" spans="1:22" x14ac:dyDescent="0.15">
      <c r="C1249">
        <v>111610</v>
      </c>
      <c r="D1249">
        <v>47</v>
      </c>
      <c r="I1249" t="s">
        <v>4429</v>
      </c>
      <c r="P1249">
        <v>1</v>
      </c>
      <c r="U1249" t="s">
        <v>3733</v>
      </c>
      <c r="V1249" t="str">
        <f t="shared" si="19"/>
        <v>{dwID=111610,nFrame=47,szNote="恶人·赤岩关",[3]={bScreenHead=true,},[4]={},aFocus={{dwMapID=-1,nMaxDistance=60,tRelation={bAll=true,bEnemy=false,bAlly=false,},tLife={bEnable=false,szOperator="&gt;",nValue=0,},},},},</v>
      </c>
    </row>
    <row r="1250" spans="1:22" x14ac:dyDescent="0.15">
      <c r="C1250">
        <v>111025</v>
      </c>
      <c r="D1250">
        <v>47</v>
      </c>
      <c r="I1250" t="s">
        <v>4430</v>
      </c>
      <c r="P1250">
        <v>1</v>
      </c>
      <c r="U1250" t="s">
        <v>4431</v>
      </c>
      <c r="V1250" t="str">
        <f t="shared" si="19"/>
        <v>{dwID=111025,nFrame=47,szNote="恶人谷恣桀先锋队正",[3]={bScreenHead=true,},[4]={},aFocus={{dwMapID=-1,nMaxDistance=60,tRelation={bAll=false,bEnemy=true,bAlly=false,},tLife={bEnable=false,szOperator="&gt;",nValue=0,},},{dwMapID=-1,nMaxDistance=30,tRelation={bAll=false,bEnemy=false,bAlly=true,},tLife={bEnable=true,szOperator="&lt;",nValue=99,},},{dwMapID=-1,nMaxDistance=10,tRelation={bAll=true,bEnemy=false,bAlly=false,},tLife={bEnable=true,szOperator="&gt;=",nValue=99,},},},},</v>
      </c>
    </row>
    <row r="1251" spans="1:22" x14ac:dyDescent="0.15">
      <c r="C1251">
        <v>111155</v>
      </c>
      <c r="D1251">
        <v>47</v>
      </c>
      <c r="I1251" t="s">
        <v>4432</v>
      </c>
      <c r="P1251">
        <v>1</v>
      </c>
      <c r="U1251" t="s">
        <v>4433</v>
      </c>
      <c r="V1251" t="str">
        <f t="shared" si="19"/>
        <v>{dwID=111155,nFrame=47,szNote="恶人谷恣桀先锋副官",[3]={bScreenHead=true,},[4]={},aFocus={{dwMapID=-1,nMaxDistance=60,tRelation={bAll=false,bEnemy=true,bAlly=false,},tLife={bEnable=false,szOperator="&gt;",nValue=0,},},{dwMapID=-1,nMaxDistance=90,tRelation={bAll=false,bEnemy=false,bAlly=true,},tLife={bEnable=true,szOperator="&lt;",nValue=99,},},{dwMapID=-1,nMaxDistance=10,tRelation={bAll=true,bEnemy=false,bAlly=false,},tLife={bEnable=true,szOperator="&gt;=",nValue=99,},},},},</v>
      </c>
    </row>
    <row r="1252" spans="1:22" x14ac:dyDescent="0.15">
      <c r="C1252">
        <v>111024</v>
      </c>
      <c r="D1252">
        <v>47</v>
      </c>
      <c r="I1252" t="s">
        <v>4434</v>
      </c>
      <c r="P1252">
        <v>1</v>
      </c>
      <c r="U1252" t="s">
        <v>4431</v>
      </c>
      <c r="V1252" t="str">
        <f t="shared" si="19"/>
        <v>{dwID=111024,nFrame=47,szNote="浩气盟和正先锋队正",[3]={bScreenHead=true,},[4]={},aFocus={{dwMapID=-1,nMaxDistance=60,tRelation={bAll=false,bEnemy=true,bAlly=false,},tLife={bEnable=false,szOperator="&gt;",nValue=0,},},{dwMapID=-1,nMaxDistance=30,tRelation={bAll=false,bEnemy=false,bAlly=true,},tLife={bEnable=true,szOperator="&lt;",nValue=99,},},{dwMapID=-1,nMaxDistance=10,tRelation={bAll=true,bEnemy=false,bAlly=false,},tLife={bEnable=true,szOperator="&gt;=",nValue=99,},},},},</v>
      </c>
    </row>
    <row r="1253" spans="1:22" x14ac:dyDescent="0.15">
      <c r="C1253">
        <v>111154</v>
      </c>
      <c r="D1253">
        <v>47</v>
      </c>
      <c r="I1253" t="s">
        <v>4435</v>
      </c>
      <c r="P1253">
        <v>1</v>
      </c>
      <c r="U1253" t="s">
        <v>4431</v>
      </c>
      <c r="V1253" t="str">
        <f t="shared" si="19"/>
        <v>{dwID=111154,nFrame=47,szNote="浩气盟和正先锋副官",[3]={bScreenHead=true,},[4]={},aFocus={{dwMapID=-1,nMaxDistance=60,tRelation={bAll=false,bEnemy=true,bAlly=false,},tLife={bEnable=false,szOperator="&gt;",nValue=0,},},{dwMapID=-1,nMaxDistance=30,tRelation={bAll=false,bEnemy=false,bAlly=true,},tLife={bEnable=true,szOperator="&lt;",nValue=99,},},{dwMapID=-1,nMaxDistance=10,tRelation={bAll=true,bEnemy=false,bAlly=false,},tLife={bEnable=true,szOperator="&gt;=",nValue=99,},},},},</v>
      </c>
    </row>
    <row r="1254" spans="1:22" x14ac:dyDescent="0.15">
      <c r="C1254">
        <v>112395</v>
      </c>
      <c r="D1254">
        <v>52</v>
      </c>
      <c r="U1254" t="s">
        <v>4028</v>
      </c>
      <c r="V1254" t="str">
        <f t="shared" si="19"/>
        <v>{dwID=112395,nFrame=52,[3]={},[4]={},aFocus={{dwMapID=-1,nMaxDistance=20,tRelation={bAll=true,bEnemy=false,bAlly=false,},tLife={bEnable=false,szOperator="&gt;",nValue=0,},},},},</v>
      </c>
    </row>
    <row r="1255" spans="1:22" x14ac:dyDescent="0.15">
      <c r="C1255">
        <v>110578</v>
      </c>
      <c r="D1255">
        <v>47</v>
      </c>
      <c r="I1255" t="s">
        <v>4436</v>
      </c>
      <c r="O1255">
        <v>1</v>
      </c>
      <c r="P1255">
        <v>1</v>
      </c>
      <c r="U1255" t="s">
        <v>3623</v>
      </c>
      <c r="V1255" t="str">
        <f t="shared" si="19"/>
        <v>{dwID=110578,nFrame=47,szNote="浩气出车",[3]={bCenterAlarm=true,bScreenHead=true,},[4]={},aFocus={{dwMapID=-1,nMaxDistance=0,tRelation={bAll=true,bEnemy=false,bAlly=false,},tLife={bEnable=false,szOperator="&gt;",nValue=0,},},},},</v>
      </c>
    </row>
    <row r="1256" spans="1:22" x14ac:dyDescent="0.15">
      <c r="C1256">
        <v>110579</v>
      </c>
      <c r="D1256">
        <v>47</v>
      </c>
      <c r="I1256" t="s">
        <v>4437</v>
      </c>
      <c r="O1256">
        <v>1</v>
      </c>
      <c r="P1256">
        <v>1</v>
      </c>
      <c r="U1256" t="s">
        <v>3623</v>
      </c>
      <c r="V1256" t="str">
        <f t="shared" si="19"/>
        <v>{dwID=110579,nFrame=47,szNote="恶人出车",[3]={bCenterAlarm=true,bScreenHead=true,},[4]={},aFocus={{dwMapID=-1,nMaxDistance=0,tRelation={bAll=true,bEnemy=false,bAlly=false,},tLife={bEnable=false,szOperator="&gt;",nValue=0,},},},},</v>
      </c>
    </row>
    <row r="1257" spans="1:22" x14ac:dyDescent="0.15">
      <c r="A1257" t="s">
        <v>268</v>
      </c>
      <c r="B1257">
        <v>642</v>
      </c>
      <c r="V1257" t="str">
        <f t="shared" si="19"/>
        <v>},[642]={</v>
      </c>
    </row>
    <row r="1258" spans="1:22" x14ac:dyDescent="0.15">
      <c r="C1258">
        <v>123901</v>
      </c>
      <c r="D1258">
        <v>57</v>
      </c>
      <c r="I1258" t="s">
        <v>4438</v>
      </c>
      <c r="J1258" t="s">
        <v>2676</v>
      </c>
      <c r="P1258">
        <v>1</v>
      </c>
      <c r="U1258" t="s">
        <v>4439</v>
      </c>
      <c r="V1258" t="str">
        <f t="shared" si="19"/>
        <v>{dwID=123901,nFrame=57,szNote="侠义！万灵山庄",col={255,50,50,},[3]={bScreenHead=true,},[4]={},aFocus={{dwMapID=-1,szDisplay="侠义！万灵山庄",nMaxDistance=60,tRelation={bAll=false,bEnemy=true,bAlly=false,},tLife={bEnable=false,szOperator="&gt;",nValue=0,},},},},</v>
      </c>
    </row>
    <row r="1259" spans="1:22" x14ac:dyDescent="0.15">
      <c r="C1259">
        <v>126973</v>
      </c>
      <c r="D1259">
        <v>47</v>
      </c>
      <c r="I1259" t="s">
        <v>4440</v>
      </c>
      <c r="U1259" t="s">
        <v>4441</v>
      </c>
      <c r="V1259" t="str">
        <f t="shared" si="19"/>
        <v>{dwID=126973,nFrame=47,szNote="泛天河",[3]={},[4]={},aFocus={{dwMapID=-1,szDisplay="颂端云·泛天河",nMaxDistance=60,tRelation={bAll=true,bEnemy=false,bAlly=false,},tLife={bEnable=false,szOperator="&gt;",nValue=0,},},},},</v>
      </c>
    </row>
    <row r="1260" spans="1:22" x14ac:dyDescent="0.15">
      <c r="C1260">
        <v>126976</v>
      </c>
      <c r="D1260">
        <v>52</v>
      </c>
      <c r="I1260" t="s">
        <v>4440</v>
      </c>
      <c r="U1260" t="s">
        <v>4442</v>
      </c>
      <c r="V1260" t="str">
        <f t="shared" si="19"/>
        <v>{dwID=126976,nFrame=52,szNote="泛天河",[3]={},[4]={},aFocus={{dwMapID=-1,szDisplay="齐云狸·泛天河",nMaxDistance=10,tRelation={bAll=true,bEnemy=false,bAlly=false,},tLife={bEnable=false,szOperator="&gt;",nValue=0,},},},},</v>
      </c>
    </row>
    <row r="1261" spans="1:22" x14ac:dyDescent="0.15">
      <c r="A1261" t="s">
        <v>1184</v>
      </c>
      <c r="B1261">
        <v>647</v>
      </c>
      <c r="V1261" t="str">
        <f t="shared" si="19"/>
        <v>},[647]={</v>
      </c>
    </row>
    <row r="1262" spans="1:22" x14ac:dyDescent="0.15">
      <c r="C1262">
        <v>123908</v>
      </c>
      <c r="D1262">
        <v>47</v>
      </c>
      <c r="J1262" t="s">
        <v>2168</v>
      </c>
      <c r="P1262">
        <v>1</v>
      </c>
      <c r="V1262" t="str">
        <f t="shared" si="19"/>
        <v>{dwID=123908,nFrame=47,col={0,255,0,},[3]={bScreenHead=true,},[4]={},},</v>
      </c>
    </row>
    <row r="1263" spans="1:22" x14ac:dyDescent="0.15">
      <c r="C1263">
        <v>123621</v>
      </c>
      <c r="D1263">
        <v>47</v>
      </c>
      <c r="J1263" t="s">
        <v>2168</v>
      </c>
      <c r="P1263">
        <v>1</v>
      </c>
      <c r="V1263" t="str">
        <f t="shared" si="19"/>
        <v>{dwID=123621,nFrame=47,col={0,255,0,},[3]={bScreenHead=true,},[4]={},},</v>
      </c>
    </row>
    <row r="1264" spans="1:22" x14ac:dyDescent="0.15">
      <c r="C1264">
        <v>123625</v>
      </c>
      <c r="D1264">
        <v>57</v>
      </c>
      <c r="J1264" t="s">
        <v>2676</v>
      </c>
      <c r="P1264">
        <v>1</v>
      </c>
      <c r="U1264" t="s">
        <v>3644</v>
      </c>
      <c r="V1264" t="str">
        <f t="shared" si="19"/>
        <v>{dwID=123625,nFrame=57,col={255,50,50,},[3]={bScreenHead=true,},[4]={},aFocus={{dwMapID=-1,nMaxDistance=0,tRelation={bAll=false,bEnemy=true,bAlly=false,},tLife={bEnable=false,szOperator="&gt;",nValue=0,},},},},</v>
      </c>
    </row>
    <row r="1265" spans="3:26" x14ac:dyDescent="0.15">
      <c r="C1265">
        <v>125813</v>
      </c>
      <c r="D1265">
        <v>67</v>
      </c>
      <c r="P1265">
        <v>1</v>
      </c>
      <c r="U1265" t="s">
        <v>3623</v>
      </c>
      <c r="V1265" t="str">
        <f t="shared" si="19"/>
        <v>{dwID=125813,nFrame=67,[3]={bScreenHead=true,},[4]={},aFocus={{dwMapID=-1,nMaxDistance=0,tRelation={bAll=true,bEnemy=false,bAlly=false,},tLife={bEnable=false,szOperator="&gt;",nValue=0,},},},},</v>
      </c>
    </row>
    <row r="1266" spans="3:26" x14ac:dyDescent="0.15">
      <c r="C1266">
        <v>124026</v>
      </c>
      <c r="D1266">
        <v>67</v>
      </c>
      <c r="P1266">
        <v>1</v>
      </c>
      <c r="U1266" t="s">
        <v>3623</v>
      </c>
      <c r="V1266" t="str">
        <f t="shared" si="19"/>
        <v>{dwID=124026,nFrame=67,[3]={bScreenHead=true,},[4]={},aFocus={{dwMapID=-1,nMaxDistance=0,tRelation={bAll=true,bEnemy=false,bAlly=false,},tLife={bEnable=false,szOperator="&gt;",nValue=0,},},},},</v>
      </c>
    </row>
    <row r="1267" spans="3:26" x14ac:dyDescent="0.15">
      <c r="C1267">
        <v>123444</v>
      </c>
      <c r="D1267">
        <v>47</v>
      </c>
      <c r="J1267" t="s">
        <v>2168</v>
      </c>
      <c r="P1267">
        <v>1</v>
      </c>
      <c r="U1267" t="s">
        <v>3623</v>
      </c>
      <c r="V1267" t="str">
        <f t="shared" si="19"/>
        <v>{dwID=123444,nFrame=47,col={0,255,0,},[3]={bScreenHead=true,},[4]={},aFocus={{dwMapID=-1,nMaxDistance=0,tRelation={bAll=true,bEnemy=false,bAlly=false,},tLife={bEnable=false,szOperator="&gt;",nValue=0,},},},},</v>
      </c>
    </row>
    <row r="1268" spans="3:26" x14ac:dyDescent="0.15">
      <c r="C1268">
        <v>125559</v>
      </c>
      <c r="D1268">
        <v>57</v>
      </c>
      <c r="J1268" t="s">
        <v>2676</v>
      </c>
      <c r="P1268">
        <v>1</v>
      </c>
      <c r="U1268" t="s">
        <v>3623</v>
      </c>
      <c r="V1268" t="str">
        <f t="shared" si="19"/>
        <v>{dwID=125559,nFrame=57,col={255,50,50,},[3]={bScreenHead=true,},[4]={},aFocus={{dwMapID=-1,nMaxDistance=0,tRelation={bAll=true,bEnemy=false,bAlly=false,},tLife={bEnable=false,szOperator="&gt;",nValue=0,},},},},</v>
      </c>
    </row>
    <row r="1269" spans="3:26" x14ac:dyDescent="0.15">
      <c r="C1269">
        <v>123469</v>
      </c>
      <c r="D1269">
        <v>57</v>
      </c>
      <c r="J1269" t="s">
        <v>2676</v>
      </c>
      <c r="V1269" t="str">
        <f t="shared" si="19"/>
        <v>{dwID=123469,nFrame=57,col={255,50,50,},[3]={},[4]={},},</v>
      </c>
    </row>
    <row r="1270" spans="3:26" x14ac:dyDescent="0.15">
      <c r="C1270">
        <v>123473</v>
      </c>
      <c r="D1270">
        <v>57</v>
      </c>
      <c r="J1270" t="s">
        <v>2676</v>
      </c>
      <c r="P1270">
        <v>1</v>
      </c>
      <c r="U1270" t="s">
        <v>3733</v>
      </c>
      <c r="V1270" t="str">
        <f t="shared" si="19"/>
        <v>{dwID=123473,nFrame=57,col={255,50,50,},[3]={bScreenHead=true,},[4]={},aFocus={{dwMapID=-1,nMaxDistance=60,tRelation={bAll=true,bEnemy=false,bAlly=false,},tLife={bEnable=false,szOperator="&gt;",nValue=0,},},},},</v>
      </c>
    </row>
    <row r="1271" spans="3:26" x14ac:dyDescent="0.15">
      <c r="C1271">
        <v>123745</v>
      </c>
      <c r="D1271">
        <v>47</v>
      </c>
      <c r="P1271">
        <v>1</v>
      </c>
      <c r="U1271" t="s">
        <v>3644</v>
      </c>
      <c r="V1271" t="str">
        <f t="shared" si="19"/>
        <v>{dwID=123745,nFrame=47,[3]={bScreenHead=true,},[4]={},aFocus={{dwMapID=-1,nMaxDistance=0,tRelation={bAll=false,bEnemy=true,bAlly=false,},tLife={bEnable=false,szOperator="&gt;",nValue=0,},},},tCountdown={{nClass=7,nIcon=17135,nFrame=5,szName="引导面向·避免击中郭珠",nTime=115,key="罗道山",},{nClass=4,nIcon=17135,nFrame=5,szName="罗道山",nTime=0,key="罗道山",},{nClass=12,nIcon=17135,nFrame=5,szName="罗道山",nTime=0,key="罗道山",},{nClass=11,nIcon=17135,nFrame=5,szName="罗道山",nTime=0,key="罗道山",},},},</v>
      </c>
      <c r="W1271" t="s">
        <v>4443</v>
      </c>
      <c r="X1271" t="s">
        <v>4444</v>
      </c>
      <c r="Y1271" t="s">
        <v>4445</v>
      </c>
      <c r="Z1271" t="s">
        <v>4446</v>
      </c>
    </row>
    <row r="1272" spans="3:26" x14ac:dyDescent="0.15">
      <c r="C1272">
        <v>123435</v>
      </c>
      <c r="D1272">
        <v>47</v>
      </c>
      <c r="J1272" t="s">
        <v>2168</v>
      </c>
      <c r="P1272">
        <v>1</v>
      </c>
      <c r="V1272" t="str">
        <f t="shared" si="19"/>
        <v>{dwID=123435,nFrame=47,col={0,255,0,},[3]={bScreenHead=true,},[4]={},},</v>
      </c>
    </row>
    <row r="1273" spans="3:26" x14ac:dyDescent="0.15">
      <c r="C1273">
        <v>124071</v>
      </c>
      <c r="D1273">
        <v>47</v>
      </c>
      <c r="I1273" t="s">
        <v>4447</v>
      </c>
      <c r="J1273" t="s">
        <v>2168</v>
      </c>
      <c r="P1273">
        <v>1</v>
      </c>
      <c r="U1273" t="s">
        <v>4448</v>
      </c>
      <c r="V1273" t="str">
        <f t="shared" si="19"/>
        <v>{dwID=124071,nFrame=47,szNote="云从券·叁",col={0,255,0,},[3]={bScreenHead=true,},[4]={},aFocus={{dwMapID=-1,szDisplay="李焕迷·云从券·叁",nMaxDistance=60,tRelation={bAll=true,bEnemy=false,bAlly=false,},tLife={bEnable=false,szOperator="&gt;",nValue=0,},},},},</v>
      </c>
    </row>
    <row r="1274" spans="3:26" x14ac:dyDescent="0.15">
      <c r="C1274">
        <v>123645</v>
      </c>
      <c r="D1274">
        <v>50</v>
      </c>
      <c r="P1274">
        <v>1</v>
      </c>
      <c r="U1274" t="s">
        <v>3644</v>
      </c>
      <c r="V1274" t="str">
        <f t="shared" si="19"/>
        <v>{dwID=123645,nFrame=50,[3]={bScreenHead=true,},[4]={},aFocus={{dwMapID=-1,nMaxDistance=0,tRelation={bAll=false,bEnemy=true,bAlly=false,},tLife={bEnable=false,szOperator="&gt;",nValue=0,},},},},</v>
      </c>
    </row>
    <row r="1275" spans="3:26" x14ac:dyDescent="0.15">
      <c r="C1275">
        <v>124052</v>
      </c>
      <c r="D1275">
        <v>47</v>
      </c>
      <c r="J1275" t="s">
        <v>2168</v>
      </c>
      <c r="P1275">
        <v>1</v>
      </c>
      <c r="U1275" t="s">
        <v>3622</v>
      </c>
      <c r="V1275" t="str">
        <f t="shared" si="19"/>
        <v>{dwID=124052,nFrame=47,col={0,255,0,},[3]={bScreenHead=true,},[4]={},aFocus={{dwMapID=-1,nMaxDistance=30,tRelation={bAll=true,bEnemy=false,bAlly=false,},tLife={bEnable=false,szOperator="&gt;",nValue=0,},},},},</v>
      </c>
    </row>
    <row r="1276" spans="3:26" x14ac:dyDescent="0.15">
      <c r="C1276">
        <v>124008</v>
      </c>
      <c r="D1276">
        <v>47</v>
      </c>
      <c r="J1276" t="s">
        <v>2168</v>
      </c>
      <c r="P1276">
        <v>1</v>
      </c>
      <c r="U1276" t="s">
        <v>3623</v>
      </c>
      <c r="V1276" t="str">
        <f t="shared" si="19"/>
        <v>{dwID=124008,nFrame=47,col={0,255,0,},[3]={bScreenHead=true,},[4]={},aFocus={{dwMapID=-1,nMaxDistance=0,tRelation={bAll=true,bEnemy=false,bAlly=false,},tLife={bEnable=false,szOperator="&gt;",nValue=0,},},},},</v>
      </c>
    </row>
    <row r="1277" spans="3:26" x14ac:dyDescent="0.15">
      <c r="C1277">
        <v>124044</v>
      </c>
      <c r="D1277">
        <v>65</v>
      </c>
      <c r="J1277" t="s">
        <v>2348</v>
      </c>
      <c r="P1277">
        <v>1</v>
      </c>
      <c r="U1277" t="s">
        <v>3644</v>
      </c>
      <c r="V1277" t="str">
        <f t="shared" si="19"/>
        <v>{dwID=124044,nFrame=65,col={255,255,50,},[3]={bScreenHead=true,},[4]={},aFocus={{dwMapID=-1,nMaxDistance=0,tRelation={bAll=false,bEnemy=true,bAlly=false,},tLife={bEnable=false,szOperator="&gt;",nValue=0,},},},},</v>
      </c>
    </row>
    <row r="1278" spans="3:26" x14ac:dyDescent="0.15">
      <c r="C1278">
        <v>124449</v>
      </c>
      <c r="D1278">
        <v>47</v>
      </c>
      <c r="J1278" t="s">
        <v>2168</v>
      </c>
      <c r="P1278">
        <v>1</v>
      </c>
      <c r="U1278" t="s">
        <v>3623</v>
      </c>
      <c r="V1278" t="str">
        <f t="shared" si="19"/>
        <v>{dwID=124449,nFrame=47,col={0,255,0,},[3]={bScreenHead=true,},[4]={},aFocus={{dwMapID=-1,nMaxDistance=0,tRelation={bAll=true,bEnemy=false,bAlly=false,},tLife={bEnable=false,szOperator="&gt;",nValue=0,},},},},</v>
      </c>
    </row>
    <row r="1279" spans="3:26" x14ac:dyDescent="0.15">
      <c r="C1279">
        <v>124452</v>
      </c>
      <c r="D1279">
        <v>57</v>
      </c>
      <c r="J1279" t="s">
        <v>2676</v>
      </c>
      <c r="U1279" t="s">
        <v>4059</v>
      </c>
      <c r="V1279" t="str">
        <f t="shared" si="19"/>
        <v>{dwID=124452,nFrame=57,col={255,50,50,},[3]={},[4]={},aFocus={{dwMapID=-1,nMaxDistance=20,tRelation={bAll=false,bEnemy=true,bAlly=false,},tLife={bEnable=true,szOperator="&lt;",nValue=100,},},},},</v>
      </c>
    </row>
    <row r="1280" spans="3:26" x14ac:dyDescent="0.15">
      <c r="C1280">
        <v>124454</v>
      </c>
      <c r="D1280">
        <v>57</v>
      </c>
      <c r="J1280" t="s">
        <v>2676</v>
      </c>
      <c r="P1280">
        <v>1</v>
      </c>
      <c r="U1280" t="s">
        <v>3623</v>
      </c>
      <c r="V1280" t="str">
        <f t="shared" si="19"/>
        <v>{dwID=124454,nFrame=57,col={255,50,50,},[3]={bScreenHead=true,},[4]={},aFocus={{dwMapID=-1,nMaxDistance=0,tRelation={bAll=true,bEnemy=false,bAlly=false,},tLife={bEnable=false,szOperator="&gt;",nValue=0,},},},},</v>
      </c>
    </row>
    <row r="1281" spans="3:24" x14ac:dyDescent="0.15">
      <c r="C1281">
        <v>125613</v>
      </c>
      <c r="D1281">
        <v>57</v>
      </c>
      <c r="J1281" t="s">
        <v>2676</v>
      </c>
      <c r="U1281" t="s">
        <v>3794</v>
      </c>
      <c r="V1281" t="str">
        <f t="shared" si="19"/>
        <v>{dwID=125613,nFrame=57,col={255,50,50,},[3]={},[4]={},aFocus={{dwMapID=-1,nMaxDistance=20,tRelation={bAll=false,bEnemy=true,bAlly=false,},tLife={bEnable=false,szOperator="&gt;",nValue=0,},},},},</v>
      </c>
    </row>
    <row r="1282" spans="3:24" x14ac:dyDescent="0.15">
      <c r="C1282">
        <v>124463</v>
      </c>
      <c r="D1282">
        <v>57</v>
      </c>
      <c r="J1282" t="s">
        <v>2676</v>
      </c>
      <c r="P1282">
        <v>1</v>
      </c>
      <c r="U1282" t="s">
        <v>3623</v>
      </c>
      <c r="V1282" t="str">
        <f t="shared" ref="V1282:V1345" si="20">IF(ISBLANK(B1282)=FALSE,IF(ISBLANK(B1281),"},["&amp;B1282&amp;"]={","["&amp;B1282&amp;"]={"),IF(AND(ISBLANK(B1282),ISBLANK(D1282),ISBLANK(C1282),OR(ISBLANK(B1281)=FALSE,ISBLANK(D1281)=FALSE,ISBLANK(C1281)=FALSE)),"},},}",IF(ISBLANK(C1282),"","{dwID="&amp;C1282&amp;","&amp;"nFrame="&amp;D1282&amp;","&amp;IF(E1282&gt;0,"nCount="&amp;E1282&amp;",","")&amp;IF(F1282&gt;0,"bAllLeave=true,","")&amp;IF(G1282&lt;&gt;"","szName="""&amp;G1282&amp;""",","")&amp;IF(H1282&lt;&gt;"","tKungFu={"&amp;H1282&amp;"},","")&amp;IF(I1282&lt;&gt;"","szNote="""&amp;I1282&amp;""",","")&amp;IF(J1282&lt;&gt;"","col={"&amp;J1282&amp;"},","")&amp;"[3]={"&amp;IF(K1282&lt;&gt;"","tMark={"&amp;K1282&amp;"},","")&amp;IF(L1282&lt;&gt;"","szVoice="""&amp;L1282&amp;""",","")&amp;IF(M1282&gt;0,"bTeamChannel=true,","")&amp;IF(N1282&gt;0,"bWhisperChannel=true,","")&amp;IF(O1282&gt;0,"bCenterAlarm=true,","")&amp;IF(P1282&gt;0,"bScreenHead=true,","")&amp;"},"&amp;"[4]={"&amp;IF(Q1282&lt;&gt;"","szVoice="""&amp;Q1282&amp;""",","")&amp;IF(R1282&gt;0,"bTeamChannel=true,","")&amp;IF(S1282&gt;0,"bWhisperChannel=true,","")&amp;IF(T1282&gt;0,"bCenterAlarm=true,","")&amp;"},"&amp;IF(U1282&lt;&gt;"","aFocus={"&amp;U1282&amp;"},","")&amp;IF(W1282&lt;&gt;"","tCountdown={"&amp;_xlfn.TEXTJOIN("",TRUE,W1282:ZZ1282)&amp;"},","")&amp;"},")))</f>
        <v>{dwID=124463,nFrame=57,col={255,50,50,},[3]={bScreenHead=true,},[4]={},aFocus={{dwMapID=-1,nMaxDistance=0,tRelation={bAll=true,bEnemy=false,bAlly=false,},tLife={bEnable=false,szOperator="&gt;",nValue=0,},},},},</v>
      </c>
    </row>
    <row r="1283" spans="3:24" x14ac:dyDescent="0.15">
      <c r="C1283">
        <v>125539</v>
      </c>
      <c r="D1283">
        <v>57</v>
      </c>
      <c r="J1283" t="s">
        <v>2676</v>
      </c>
      <c r="P1283">
        <v>1</v>
      </c>
      <c r="U1283" t="s">
        <v>3623</v>
      </c>
      <c r="V1283" t="str">
        <f t="shared" si="20"/>
        <v>{dwID=125539,nFrame=57,col={255,50,50,},[3]={bScreenHead=true,},[4]={},aFocus={{dwMapID=-1,nMaxDistance=0,tRelation={bAll=true,bEnemy=false,bAlly=false,},tLife={bEnable=false,szOperator="&gt;",nValue=0,},},},},</v>
      </c>
    </row>
    <row r="1284" spans="3:24" x14ac:dyDescent="0.15">
      <c r="C1284">
        <v>124041</v>
      </c>
      <c r="D1284">
        <v>50</v>
      </c>
      <c r="J1284" t="s">
        <v>2676</v>
      </c>
      <c r="P1284">
        <v>1</v>
      </c>
      <c r="U1284" t="s">
        <v>4449</v>
      </c>
      <c r="V1284" t="str">
        <f t="shared" si="20"/>
        <v>{dwID=124041,nFrame=50,col={255,50,50,},[3]={bScreenHead=true,},[4]={},aFocus={{dwMapID=-1,nMaxDistance=20,tRelation={bAll=true,bEnemy=true,bAlly=true,},tLife={bEnable=true,szOperator="&lt;",nValue=100,},},},},</v>
      </c>
    </row>
    <row r="1285" spans="3:24" x14ac:dyDescent="0.15">
      <c r="C1285">
        <v>123588</v>
      </c>
      <c r="D1285">
        <v>47</v>
      </c>
      <c r="P1285">
        <v>1</v>
      </c>
      <c r="U1285" t="s">
        <v>4450</v>
      </c>
      <c r="V1285" t="str">
        <f t="shared" si="20"/>
        <v>{dwID=123588,nFrame=47,[3]={bScreenHead=true,},[4]={},aFocus={{dwMapID=-1,szDisplay="李熹延·解锁周常",nMaxDistance=10,tRelation={bAll=true,bEnemy=false,bAlly=false,},tLife={bEnable=false,szOperator="&gt;",nValue=0,},},},},</v>
      </c>
    </row>
    <row r="1286" spans="3:24" x14ac:dyDescent="0.15">
      <c r="C1286">
        <v>125494</v>
      </c>
      <c r="D1286">
        <v>57</v>
      </c>
      <c r="J1286" t="s">
        <v>2676</v>
      </c>
      <c r="U1286" t="s">
        <v>4059</v>
      </c>
      <c r="V1286" t="str">
        <f t="shared" si="20"/>
        <v>{dwID=125494,nFrame=57,col={255,50,50,},[3]={},[4]={},aFocus={{dwMapID=-1,nMaxDistance=20,tRelation={bAll=false,bEnemy=true,bAlly=false,},tLife={bEnable=true,szOperator="&lt;",nValue=100,},},},},</v>
      </c>
    </row>
    <row r="1287" spans="3:24" x14ac:dyDescent="0.15">
      <c r="C1287">
        <v>124459</v>
      </c>
      <c r="D1287">
        <v>47</v>
      </c>
      <c r="J1287" t="s">
        <v>2168</v>
      </c>
      <c r="P1287">
        <v>1</v>
      </c>
      <c r="U1287" t="s">
        <v>4451</v>
      </c>
      <c r="V1287" t="str">
        <f t="shared" si="20"/>
        <v>{dwID=124459,nFrame=47,col={0,255,0,},[3]={bScreenHead=true,},[4]={},aFocus={{dwMapID=-1,szDisplay="收乌龟·初九",nMaxDistance=30,tRelation={bAll=true,bEnemy=false,bAlly=false,},tLife={bEnable=false,szOperator="&gt;",nValue=0,},},},},</v>
      </c>
    </row>
    <row r="1288" spans="3:24" x14ac:dyDescent="0.15">
      <c r="C1288">
        <v>126139</v>
      </c>
      <c r="D1288">
        <v>65</v>
      </c>
      <c r="J1288" t="s">
        <v>2168</v>
      </c>
      <c r="P1288">
        <v>1</v>
      </c>
      <c r="U1288" t="s">
        <v>3621</v>
      </c>
      <c r="V1288" t="str">
        <f t="shared" si="20"/>
        <v>{dwID=126139,nFrame=65,col={0,255,0,},[3]={bScreenHead=true,},[4]={},aFocus={{dwMapID=-1,nMaxDistance=6,tRelation={bAll=true,bEnemy=false,bAlly=false,},tLife={bEnable=false,szOperator="&gt;",nValue=0,},},},},</v>
      </c>
    </row>
    <row r="1289" spans="3:24" x14ac:dyDescent="0.15">
      <c r="C1289">
        <v>124458</v>
      </c>
      <c r="D1289">
        <v>65</v>
      </c>
      <c r="J1289" t="s">
        <v>2168</v>
      </c>
      <c r="P1289">
        <v>1</v>
      </c>
      <c r="U1289" t="s">
        <v>3621</v>
      </c>
      <c r="V1289" t="str">
        <f t="shared" si="20"/>
        <v>{dwID=124458,nFrame=65,col={0,255,0,},[3]={bScreenHead=true,},[4]={},aFocus={{dwMapID=-1,nMaxDistance=6,tRelation={bAll=true,bEnemy=false,bAlly=false,},tLife={bEnable=false,szOperator="&gt;",nValue=0,},},},},</v>
      </c>
    </row>
    <row r="1290" spans="3:24" x14ac:dyDescent="0.15">
      <c r="C1290">
        <v>124462</v>
      </c>
      <c r="D1290">
        <v>50</v>
      </c>
      <c r="J1290" t="s">
        <v>2676</v>
      </c>
      <c r="O1290">
        <v>1</v>
      </c>
      <c r="P1290">
        <v>1</v>
      </c>
      <c r="U1290" t="s">
        <v>3623</v>
      </c>
      <c r="V1290" t="str">
        <f t="shared" si="20"/>
        <v>{dwID=124462,nFrame=50,col={255,50,50,},[3]={bCenterAlarm=true,bScreenHead=true,},[4]={},aFocus={{dwMapID=-1,nMaxDistance=0,tRelation={bAll=true,bEnemy=false,bAlly=false,},tLife={bEnable=false,szOperator="&gt;",nValue=0,},},},tCountdown={{nClass=12,nIcon=17135,nFrame=5,szName="银霜口·野猪王",nTime=0,key="银霜口·野猪王",},{nClass=4,nIcon=17135,nFrame=5,szName="银霜口·野猪王",nTime=0,key="银霜口·野猪王",},},},</v>
      </c>
      <c r="W1290" t="s">
        <v>4452</v>
      </c>
      <c r="X1290" t="s">
        <v>4453</v>
      </c>
    </row>
    <row r="1291" spans="3:24" x14ac:dyDescent="0.15">
      <c r="C1291">
        <v>125433</v>
      </c>
      <c r="D1291">
        <v>57</v>
      </c>
      <c r="P1291">
        <v>1</v>
      </c>
      <c r="U1291" t="s">
        <v>4059</v>
      </c>
      <c r="V1291" t="str">
        <f t="shared" si="20"/>
        <v>{dwID=125433,nFrame=57,[3]={bScreenHead=true,},[4]={},aFocus={{dwMapID=-1,nMaxDistance=20,tRelation={bAll=false,bEnemy=true,bAlly=false,},tLife={bEnable=true,szOperator="&lt;",nValue=100,},},},},</v>
      </c>
    </row>
    <row r="1292" spans="3:24" x14ac:dyDescent="0.15">
      <c r="C1292">
        <v>125903</v>
      </c>
      <c r="D1292">
        <v>69</v>
      </c>
      <c r="J1292" t="s">
        <v>2152</v>
      </c>
      <c r="P1292">
        <v>1</v>
      </c>
      <c r="U1292" t="s">
        <v>3733</v>
      </c>
      <c r="V1292" t="str">
        <f t="shared" si="20"/>
        <v>{dwID=125903,nFrame=69,col={0,255,255,},[3]={bScreenHead=true,},[4]={},aFocus={{dwMapID=-1,nMaxDistance=60,tRelation={bAll=true,bEnemy=false,bAlly=false,},tLife={bEnable=false,szOperator="&gt;",nValue=0,},},},},</v>
      </c>
    </row>
    <row r="1293" spans="3:24" x14ac:dyDescent="0.15">
      <c r="C1293">
        <v>125430</v>
      </c>
      <c r="D1293">
        <v>47</v>
      </c>
      <c r="P1293">
        <v>1</v>
      </c>
      <c r="U1293" t="s">
        <v>3623</v>
      </c>
      <c r="V1293" t="str">
        <f t="shared" si="20"/>
        <v>{dwID=125430,nFrame=47,[3]={bScreenHead=true,},[4]={},aFocus={{dwMapID=-1,nMaxDistance=0,tRelation={bAll=true,bEnemy=false,bAlly=false,},tLife={bEnable=false,szOperator="&gt;",nValue=0,},},},},</v>
      </c>
    </row>
    <row r="1294" spans="3:24" x14ac:dyDescent="0.15">
      <c r="C1294">
        <v>125427</v>
      </c>
      <c r="D1294">
        <v>47</v>
      </c>
      <c r="J1294" t="s">
        <v>2676</v>
      </c>
      <c r="P1294">
        <v>1</v>
      </c>
      <c r="U1294" t="s">
        <v>3623</v>
      </c>
      <c r="V1294" t="str">
        <f t="shared" si="20"/>
        <v>{dwID=125427,nFrame=47,col={255,50,50,},[3]={bScreenHead=true,},[4]={},aFocus={{dwMapID=-1,nMaxDistance=0,tRelation={bAll=true,bEnemy=false,bAlly=false,},tLife={bEnable=false,szOperator="&gt;",nValue=0,},},},},</v>
      </c>
    </row>
    <row r="1295" spans="3:24" x14ac:dyDescent="0.15">
      <c r="C1295">
        <v>125429</v>
      </c>
      <c r="D1295">
        <v>57</v>
      </c>
      <c r="J1295" t="s">
        <v>2676</v>
      </c>
      <c r="P1295">
        <v>1</v>
      </c>
      <c r="U1295" t="s">
        <v>3623</v>
      </c>
      <c r="V1295" t="str">
        <f t="shared" si="20"/>
        <v>{dwID=125429,nFrame=57,col={255,50,50,},[3]={bScreenHead=true,},[4]={},aFocus={{dwMapID=-1,nMaxDistance=0,tRelation={bAll=true,bEnemy=false,bAlly=false,},tLife={bEnable=false,szOperator="&gt;",nValue=0,},},},},</v>
      </c>
    </row>
    <row r="1296" spans="3:24" x14ac:dyDescent="0.15">
      <c r="C1296">
        <v>123471</v>
      </c>
      <c r="D1296">
        <v>47</v>
      </c>
      <c r="J1296" t="s">
        <v>2168</v>
      </c>
      <c r="P1296">
        <v>1</v>
      </c>
      <c r="U1296" t="s">
        <v>3612</v>
      </c>
      <c r="V1296" t="str">
        <f t="shared" si="20"/>
        <v>{dwID=123471,nFrame=47,col={0,255,0,},[3]={bScreenHead=true,},[4]={},aFocus={{dwMapID=-1,nMaxDistance=10,tRelation={bAll=false,bEnemy=false,bAlly=true,},tLife={bEnable=false,szOperator="&gt;",nValue=0,},},},},</v>
      </c>
    </row>
    <row r="1297" spans="3:22" x14ac:dyDescent="0.15">
      <c r="C1297">
        <v>125419</v>
      </c>
      <c r="D1297">
        <v>47</v>
      </c>
      <c r="J1297" t="s">
        <v>2168</v>
      </c>
      <c r="P1297">
        <v>1</v>
      </c>
      <c r="U1297" t="s">
        <v>3612</v>
      </c>
      <c r="V1297" t="str">
        <f t="shared" si="20"/>
        <v>{dwID=125419,nFrame=47,col={0,255,0,},[3]={bScreenHead=true,},[4]={},aFocus={{dwMapID=-1,nMaxDistance=10,tRelation={bAll=false,bEnemy=false,bAlly=true,},tLife={bEnable=false,szOperator="&gt;",nValue=0,},},},},</v>
      </c>
    </row>
    <row r="1298" spans="3:22" x14ac:dyDescent="0.15">
      <c r="C1298">
        <v>124006</v>
      </c>
      <c r="D1298">
        <v>47</v>
      </c>
      <c r="U1298" t="s">
        <v>3621</v>
      </c>
      <c r="V1298" t="str">
        <f t="shared" si="20"/>
        <v>{dwID=124006,nFrame=47,[3]={},[4]={},aFocus={{dwMapID=-1,nMaxDistance=6,tRelation={bAll=true,bEnemy=false,bAlly=false,},tLife={bEnable=false,szOperator="&gt;",nValue=0,},},},},</v>
      </c>
    </row>
    <row r="1299" spans="3:22" x14ac:dyDescent="0.15">
      <c r="C1299">
        <v>125842</v>
      </c>
      <c r="D1299">
        <v>47</v>
      </c>
      <c r="I1299" t="s">
        <v>4454</v>
      </c>
      <c r="J1299" t="s">
        <v>2168</v>
      </c>
      <c r="P1299">
        <v>1</v>
      </c>
      <c r="U1299" t="s">
        <v>4455</v>
      </c>
      <c r="V1299" t="str">
        <f t="shared" si="20"/>
        <v>{dwID=125842,nFrame=47,szNote="云从券·贰",col={0,255,0,},[3]={bScreenHead=true,},[4]={},aFocus={{dwMapID=-1,szDisplay="齐飞荡·云从券·贰",nMaxDistance=60,tRelation={bAll=true,bEnemy=false,bAlly=false,},tLife={bEnable=false,szOperator="&gt;",nValue=0,},},},},</v>
      </c>
    </row>
    <row r="1300" spans="3:22" x14ac:dyDescent="0.15">
      <c r="C1300">
        <v>124005</v>
      </c>
      <c r="D1300">
        <v>65</v>
      </c>
      <c r="I1300" t="s">
        <v>4456</v>
      </c>
      <c r="J1300" t="s">
        <v>2168</v>
      </c>
      <c r="P1300">
        <v>1</v>
      </c>
      <c r="U1300" t="s">
        <v>4457</v>
      </c>
      <c r="V1300" t="str">
        <f t="shared" si="20"/>
        <v>{dwID=124005,nFrame=65,szNote="云从券·肆",col={0,255,0,},[3]={bScreenHead=true,},[4]={},aFocus={{dwMapID=-1,szDisplay="桑色·云从券·肆",nMaxDistance=6,tRelation={bAll=true,bEnemy=false,bAlly=false,},tLife={bEnable=false,szOperator="&gt;",nValue=0,},},},},</v>
      </c>
    </row>
    <row r="1301" spans="3:22" x14ac:dyDescent="0.15">
      <c r="C1301">
        <v>126038</v>
      </c>
      <c r="D1301">
        <v>47</v>
      </c>
      <c r="I1301" t="s">
        <v>4458</v>
      </c>
      <c r="J1301" t="s">
        <v>2168</v>
      </c>
      <c r="P1301">
        <v>1</v>
      </c>
      <c r="U1301" t="s">
        <v>4459</v>
      </c>
      <c r="V1301" t="str">
        <f t="shared" si="20"/>
        <v>{dwID=126038,nFrame=47,szNote="云从券·伍",col={0,255,0,},[3]={bScreenHead=true,},[4]={},aFocus={{dwMapID=-1,szDisplay="戴云开·云从券·伍",nMaxDistance=10,tRelation={bAll=true,bEnemy=false,bAlly=false,},tLife={bEnable=false,szOperator="&gt;",nValue=0,},},},},</v>
      </c>
    </row>
    <row r="1302" spans="3:22" x14ac:dyDescent="0.15">
      <c r="C1302">
        <v>125905</v>
      </c>
      <c r="D1302">
        <v>47</v>
      </c>
      <c r="I1302" t="s">
        <v>4458</v>
      </c>
      <c r="J1302" t="s">
        <v>2168</v>
      </c>
      <c r="P1302">
        <v>1</v>
      </c>
      <c r="U1302" t="s">
        <v>4460</v>
      </c>
      <c r="V1302" t="str">
        <f t="shared" si="20"/>
        <v>{dwID=125905,nFrame=47,szNote="云从券·伍",col={0,255,0,},[3]={bScreenHead=true,},[4]={},aFocus={{dwMapID=-1,szDisplay="首月明·云从券·伍",nMaxDistance=20,tRelation={bAll=true,bEnemy=false,bAlly=false,},tLife={bEnable=false,szOperator="&gt;",nValue=0,},},},},</v>
      </c>
    </row>
    <row r="1303" spans="3:22" x14ac:dyDescent="0.15">
      <c r="C1303">
        <v>123957</v>
      </c>
      <c r="D1303">
        <v>50</v>
      </c>
      <c r="J1303" t="s">
        <v>2676</v>
      </c>
      <c r="U1303" t="s">
        <v>4059</v>
      </c>
      <c r="V1303" t="str">
        <f t="shared" si="20"/>
        <v>{dwID=123957,nFrame=50,col={255,50,50,},[3]={},[4]={},aFocus={{dwMapID=-1,nMaxDistance=20,tRelation={bAll=false,bEnemy=true,bAlly=false,},tLife={bEnable=true,szOperator="&lt;",nValue=100,},},},},</v>
      </c>
    </row>
    <row r="1304" spans="3:22" x14ac:dyDescent="0.15">
      <c r="C1304">
        <v>123643</v>
      </c>
      <c r="D1304">
        <v>47</v>
      </c>
      <c r="G1304" t="s">
        <v>4461</v>
      </c>
      <c r="I1304" t="s">
        <v>4462</v>
      </c>
      <c r="J1304" t="s">
        <v>2168</v>
      </c>
      <c r="P1304">
        <v>1</v>
      </c>
      <c r="U1304" t="s">
        <v>4463</v>
      </c>
      <c r="V1304" t="str">
        <f t="shared" si="20"/>
        <v>{dwID=123643,nFrame=47,szName="树",szNote="云从券·陆",col={0,255,0,},[3]={bScreenHead=true,},[4]={},aFocus={{dwMapID=-1,szDisplay="云从券·陆",nMaxDistance=90,tRelation={bAll=true,bEnemy=false,bAlly=false,},tLife={bEnable=false,szOperator="&gt;",nValue=0,},},},},</v>
      </c>
    </row>
    <row r="1305" spans="3:22" x14ac:dyDescent="0.15">
      <c r="C1305">
        <v>125902</v>
      </c>
      <c r="D1305">
        <v>52</v>
      </c>
      <c r="J1305" t="s">
        <v>2152</v>
      </c>
      <c r="P1305">
        <v>1</v>
      </c>
      <c r="U1305" t="s">
        <v>4464</v>
      </c>
      <c r="V1305" t="str">
        <f t="shared" si="20"/>
        <v>{dwID=125902,nFrame=52,col={0,255,255,},[3]={bScreenHead=true,},[4]={},aFocus={{dwMapID=-1,szDisplay="罐子·宝箱",nMaxDistance=0,tRelation={bAll=true,bEnemy=false,bAlly=false,},tLife={bEnable=false,szOperator="&gt;",nValue=0,},},},},</v>
      </c>
    </row>
    <row r="1306" spans="3:22" x14ac:dyDescent="0.15">
      <c r="C1306">
        <v>125528</v>
      </c>
      <c r="D1306">
        <v>57</v>
      </c>
      <c r="J1306" t="s">
        <v>2676</v>
      </c>
      <c r="U1306" t="s">
        <v>4059</v>
      </c>
      <c r="V1306" t="str">
        <f t="shared" si="20"/>
        <v>{dwID=125528,nFrame=57,col={255,50,50,},[3]={},[4]={},aFocus={{dwMapID=-1,nMaxDistance=20,tRelation={bAll=false,bEnemy=true,bAlly=false,},tLife={bEnable=true,szOperator="&lt;",nValue=100,},},},},</v>
      </c>
    </row>
    <row r="1307" spans="3:22" x14ac:dyDescent="0.15">
      <c r="C1307">
        <v>125526</v>
      </c>
      <c r="D1307">
        <v>57</v>
      </c>
      <c r="J1307" t="s">
        <v>2676</v>
      </c>
      <c r="U1307" t="s">
        <v>4059</v>
      </c>
      <c r="V1307" t="str">
        <f t="shared" si="20"/>
        <v>{dwID=125526,nFrame=57,col={255,50,50,},[3]={},[4]={},aFocus={{dwMapID=-1,nMaxDistance=20,tRelation={bAll=false,bEnemy=true,bAlly=false,},tLife={bEnable=true,szOperator="&lt;",nValue=100,},},},},</v>
      </c>
    </row>
    <row r="1308" spans="3:22" x14ac:dyDescent="0.15">
      <c r="C1308">
        <v>125357</v>
      </c>
      <c r="D1308">
        <v>47</v>
      </c>
      <c r="I1308" t="s">
        <v>4465</v>
      </c>
      <c r="J1308" t="s">
        <v>2152</v>
      </c>
      <c r="P1308">
        <v>1</v>
      </c>
      <c r="U1308" t="s">
        <v>4466</v>
      </c>
      <c r="V1308" t="str">
        <f t="shared" si="20"/>
        <v>{dwID=125357,nFrame=47,szNote="破巧言·宋子尧",col={0,255,255,},[3]={bScreenHead=true,},[4]={},aFocus={{dwMapID=-1,szDisplay="宋子尧·破巧言",nMaxDistance=10,tRelation={bAll=true,bEnemy=false,bAlly=false,},tLife={bEnable=false,szOperator="&gt;",nValue=0,},},},},</v>
      </c>
    </row>
    <row r="1309" spans="3:22" x14ac:dyDescent="0.15">
      <c r="C1309">
        <v>125819</v>
      </c>
      <c r="D1309">
        <v>47</v>
      </c>
      <c r="I1309" t="s">
        <v>4465</v>
      </c>
      <c r="U1309" t="s">
        <v>4467</v>
      </c>
      <c r="V1309" t="str">
        <f t="shared" si="20"/>
        <v>{dwID=125819,nFrame=47,szNote="破巧言·宋子尧",[3]={},[4]={},aFocus={{dwMapID=-1,szDisplay="宋子尧·破巧言",nMaxDistance=90,tRelation={bAll=true,bEnemy=false,bAlly=false,},tLife={bEnable=false,szOperator="&gt;",nValue=0,},},},},</v>
      </c>
    </row>
    <row r="1310" spans="3:22" x14ac:dyDescent="0.15">
      <c r="C1310">
        <v>125362</v>
      </c>
      <c r="D1310">
        <v>47</v>
      </c>
      <c r="I1310" t="s">
        <v>4468</v>
      </c>
      <c r="U1310" t="s">
        <v>4469</v>
      </c>
      <c r="V1310" t="str">
        <f t="shared" si="20"/>
        <v>{dwID=125362,nFrame=47,szNote="破巧言·孙易云",[3]={},[4]={},aFocus={{dwMapID=-1,szDisplay="孙易云·破巧言",nMaxDistance=90,tRelation={bAll=true,bEnemy=false,bAlly=false,},tLife={bEnable=false,szOperator="&gt;",nValue=0,},},},},</v>
      </c>
    </row>
    <row r="1311" spans="3:22" x14ac:dyDescent="0.15">
      <c r="C1311">
        <v>125363</v>
      </c>
      <c r="D1311">
        <v>47</v>
      </c>
      <c r="I1311" t="s">
        <v>4470</v>
      </c>
      <c r="U1311" t="s">
        <v>4471</v>
      </c>
      <c r="V1311" t="str">
        <f t="shared" si="20"/>
        <v>{dwID=125363,nFrame=47,szNote="破巧言·胡商",[3]={},[4]={},aFocus={{dwMapID=-1,szDisplay="胡商·破巧言",nMaxDistance=90,tRelation={bAll=true,bEnemy=false,bAlly=false,},tLife={bEnable=false,szOperator="&gt;",nValue=0,},},},},</v>
      </c>
    </row>
    <row r="1312" spans="3:22" x14ac:dyDescent="0.15">
      <c r="C1312">
        <v>125751</v>
      </c>
      <c r="D1312">
        <v>47</v>
      </c>
      <c r="I1312" t="s">
        <v>4465</v>
      </c>
      <c r="U1312" t="s">
        <v>3733</v>
      </c>
      <c r="V1312" t="str">
        <f t="shared" si="20"/>
        <v>{dwID=125751,nFrame=47,szNote="破巧言·宋子尧",[3]={},[4]={},aFocus={{dwMapID=-1,nMaxDistance=60,tRelation={bAll=true,bEnemy=false,bAlly=false,},tLife={bEnable=false,szOperator="&gt;",nValue=0,},},},},</v>
      </c>
    </row>
    <row r="1313" spans="1:26" x14ac:dyDescent="0.15">
      <c r="C1313">
        <v>125750</v>
      </c>
      <c r="D1313">
        <v>47</v>
      </c>
      <c r="I1313" t="s">
        <v>4472</v>
      </c>
      <c r="U1313" t="s">
        <v>4473</v>
      </c>
      <c r="V1313" t="str">
        <f t="shared" si="20"/>
        <v>{dwID=125750,nFrame=47,szNote="破巧言·小鸟",[3]={},[4]={},aFocus={{dwMapID=-1,szDisplay="小鸟·破巧言",nMaxDistance=120,tRelation={bAll=true,bEnemy=false,bAlly=false,},tLife={bEnable=false,szOperator="&gt;",nValue=0,},},},},</v>
      </c>
    </row>
    <row r="1314" spans="1:26" x14ac:dyDescent="0.15">
      <c r="C1314">
        <v>125817</v>
      </c>
      <c r="D1314">
        <v>47</v>
      </c>
      <c r="I1314" t="s">
        <v>4474</v>
      </c>
      <c r="U1314" t="s">
        <v>4475</v>
      </c>
      <c r="V1314" t="str">
        <f t="shared" si="20"/>
        <v>{dwID=125817,nFrame=47,szNote="破巧言·王必言",[3]={},[4]={},aFocus={{dwMapID=-1,szDisplay="王必言·破巧言",nMaxDistance=30,tRelation={bAll=true,bEnemy=false,bAlly=false,},tLife={bEnable=false,szOperator="&gt;",nValue=0,},},},},</v>
      </c>
    </row>
    <row r="1315" spans="1:26" x14ac:dyDescent="0.15">
      <c r="C1315">
        <v>125767</v>
      </c>
      <c r="D1315">
        <v>47</v>
      </c>
      <c r="I1315" t="s">
        <v>4465</v>
      </c>
      <c r="U1315" t="s">
        <v>4476</v>
      </c>
      <c r="V1315" t="str">
        <f t="shared" si="20"/>
        <v>{dwID=125767,nFrame=47,szNote="破巧言·宋子尧",[3]={},[4]={},aFocus={{dwMapID=-1,szDisplay="宋子尧·破巧言",nMaxDistance=0,tRelation={bAll=true,bEnemy=false,bAlly=false,},tLife={bEnable=false,szOperator="&gt;",nValue=0,},},},},</v>
      </c>
    </row>
    <row r="1316" spans="1:26" x14ac:dyDescent="0.15">
      <c r="C1316">
        <v>125818</v>
      </c>
      <c r="D1316">
        <v>47</v>
      </c>
      <c r="I1316" t="s">
        <v>4477</v>
      </c>
      <c r="U1316" t="s">
        <v>4478</v>
      </c>
      <c r="V1316" t="str">
        <f t="shared" si="20"/>
        <v>{dwID=125818,nFrame=47,szNote="破巧言·蛋黄",[3]={},[4]={},aFocus={{dwMapID=-1,szDisplay="蛋黄·破巧言",nMaxDistance=60,tRelation={bAll=true,bEnemy=false,bAlly=false,},tLife={bEnable=false,szOperator="&gt;",nValue=0,},},},tCountdown={{nClass=4,nIcon=17135,nFrame=0,bHold=true,szName="奇遇提示0",nTime="60,15.返回·客栈·闻千瞬;90,16.对话·闻千瞬·结束",key="奇遇提示0",},{nClass=4,nIcon=17135,nFrame=7,bHold=true,szName="返回·客栈·闻千瞬",nTime=600,key="奇遇提示1",},{nClass=4,nIcon=17135,nFrame=7,bHold=true,szName="对话·闻千瞬·结束",nTime=600,key="奇遇提示2",},{nClass=4,nIcon=17135,nFrame=7,bHold=true,szName="奇遇提示3",nTime=0,key="奇遇提示3",},},},</v>
      </c>
      <c r="W1316" t="s">
        <v>4479</v>
      </c>
      <c r="X1316" t="s">
        <v>4480</v>
      </c>
      <c r="Y1316" t="s">
        <v>4481</v>
      </c>
      <c r="Z1316" t="s">
        <v>4482</v>
      </c>
    </row>
    <row r="1317" spans="1:26" x14ac:dyDescent="0.15">
      <c r="C1317">
        <v>125816</v>
      </c>
      <c r="D1317">
        <v>47</v>
      </c>
      <c r="I1317" t="s">
        <v>4483</v>
      </c>
      <c r="U1317" t="s">
        <v>4484</v>
      </c>
      <c r="V1317" t="str">
        <f t="shared" si="20"/>
        <v>{dwID=125816,nFrame=47,szNote="破巧言·闻千瞬",[3]={},[4]={},aFocus={{dwMapID=-1,szDisplay="闻千瞬·破巧言",nMaxDistance=60,tRelation={bAll=true,bEnemy=false,bAlly=false,},tLife={bEnable=false,szOperator="&gt;",nValue=0,},},},tCountdown={{nClass=4,nIcon=17135,nFrame=0,bHold=true,szName="奇遇提示0",nTime=0,key="奇遇提示0",},{nClass=4,nIcon=17135,nFrame=7,bHold=true,szName="奇遇提示1",nTime=0,key="奇遇提示1",},{nClass=4,nIcon=17135,nFrame=7,bHold=true,szName="奇遇提示2",nTime=0,key="奇遇提示2",},},},</v>
      </c>
      <c r="W1317" t="s">
        <v>4485</v>
      </c>
      <c r="X1317" t="s">
        <v>4486</v>
      </c>
      <c r="Y1317" t="s">
        <v>4487</v>
      </c>
    </row>
    <row r="1318" spans="1:26" x14ac:dyDescent="0.15">
      <c r="C1318">
        <v>125615</v>
      </c>
      <c r="D1318">
        <v>47</v>
      </c>
      <c r="I1318" t="s">
        <v>4488</v>
      </c>
      <c r="U1318" t="s">
        <v>4489</v>
      </c>
      <c r="V1318" t="str">
        <f t="shared" si="20"/>
        <v>{dwID=125615,nFrame=47,szNote="破巧言·酒保",[3]={},[4]={},aFocus={{dwMapID=-1,szDisplay="酒保·破巧言",nMaxDistance=20,tRelation={bAll=true,bEnemy=false,bAlly=false,},tLife={bEnable=false,szOperator="&gt;",nValue=0,},},},},</v>
      </c>
    </row>
    <row r="1319" spans="1:26" x14ac:dyDescent="0.15">
      <c r="A1319" t="s">
        <v>1193</v>
      </c>
      <c r="B1319">
        <v>656</v>
      </c>
      <c r="V1319" t="str">
        <f t="shared" si="20"/>
        <v>},[656]={</v>
      </c>
    </row>
    <row r="1320" spans="1:26" x14ac:dyDescent="0.15">
      <c r="C1320">
        <v>123840</v>
      </c>
      <c r="D1320">
        <v>52</v>
      </c>
      <c r="I1320" t="s">
        <v>4259</v>
      </c>
      <c r="J1320" t="s">
        <v>2168</v>
      </c>
      <c r="P1320">
        <v>1</v>
      </c>
      <c r="U1320" t="s">
        <v>4260</v>
      </c>
      <c r="V1320" t="str">
        <f t="shared" si="20"/>
        <v>{dwID=123840,nFrame=52,szNote="大旗·云台营",col={0,255,0,},[3]={bScreenHead=true,},[4]={},aFocus={{dwMapID=-1,szDisplay="大旗·云台营",nMaxDistance=20,tRelation={bAll=true,bEnemy=false,bAlly=false,},tLife={bEnable=false,szOperator="&gt;",nValue=0,},},},},</v>
      </c>
    </row>
    <row r="1321" spans="1:26" x14ac:dyDescent="0.15">
      <c r="C1321">
        <v>123841</v>
      </c>
      <c r="D1321">
        <v>52</v>
      </c>
      <c r="I1321" t="s">
        <v>4261</v>
      </c>
      <c r="J1321" t="s">
        <v>2168</v>
      </c>
      <c r="P1321">
        <v>1</v>
      </c>
      <c r="U1321" t="s">
        <v>4262</v>
      </c>
      <c r="V1321" t="str">
        <f t="shared" si="20"/>
        <v>{dwID=123841,nFrame=52,szNote="大旗·高阳营",col={0,255,0,},[3]={bScreenHead=true,},[4]={},aFocus={{dwMapID=-1,szDisplay="大旗·高阳营",nMaxDistance=20,tRelation={bAll=true,bEnemy=false,bAlly=false,},tLife={bEnable=false,szOperator="&gt;",nValue=0,},},},},</v>
      </c>
    </row>
    <row r="1322" spans="1:26" x14ac:dyDescent="0.15">
      <c r="C1322">
        <v>123976</v>
      </c>
      <c r="D1322">
        <v>47</v>
      </c>
      <c r="I1322" t="s">
        <v>4269</v>
      </c>
      <c r="P1322">
        <v>1</v>
      </c>
      <c r="U1322" t="s">
        <v>3648</v>
      </c>
      <c r="V1322" t="str">
        <f t="shared" si="20"/>
        <v>{dwID=123976,nFrame=47,szNote="恶人谷大将",[3]={bScreenHead=true,},[4]={},aFocus={{dwMapID=-1,nMaxDistance=60,tRelation={bAll=false,bEnemy=true,bAlly=false,},tLife={bEnable=false,szOperator="&gt;",nValue=0,},},{dwMapID=-1,nMaxDistance=30,tRelation={bAll=false,bEnemy=false,bAlly=true,},tLife={bEnable=true,szOperator="&lt;",nValue=100,},},},},</v>
      </c>
    </row>
    <row r="1323" spans="1:26" x14ac:dyDescent="0.15">
      <c r="C1323">
        <v>123975</v>
      </c>
      <c r="D1323">
        <v>47</v>
      </c>
      <c r="I1323" t="s">
        <v>4270</v>
      </c>
      <c r="P1323">
        <v>1</v>
      </c>
      <c r="U1323" t="s">
        <v>3648</v>
      </c>
      <c r="V1323" t="str">
        <f t="shared" si="20"/>
        <v>{dwID=123975,nFrame=47,szNote="浩气盟大将",[3]={bScreenHead=true,},[4]={},aFocus={{dwMapID=-1,nMaxDistance=60,tRelation={bAll=false,bEnemy=true,bAlly=false,},tLife={bEnable=false,szOperator="&gt;",nValue=0,},},{dwMapID=-1,nMaxDistance=30,tRelation={bAll=false,bEnemy=false,bAlly=true,},tLife={bEnable=true,szOperator="&lt;",nValue=100,},},},},</v>
      </c>
    </row>
    <row r="1324" spans="1:26" x14ac:dyDescent="0.15">
      <c r="C1324">
        <v>124280</v>
      </c>
      <c r="D1324">
        <v>52</v>
      </c>
      <c r="I1324" t="s">
        <v>1193</v>
      </c>
      <c r="U1324" t="s">
        <v>3689</v>
      </c>
      <c r="V1324" t="str">
        <f t="shared" si="20"/>
        <v>{dwID=124280,nFrame=52,szNote="阴山大草原·分线",[3]={},[4]={},aFocus={{dwMapID=-1,nMaxDistance=0,tRelation={bAll=false,bEnemy=true,bAlly=false,},tLife={bEnable=true,szOperator="&gt;=",nValue=10,},},},},</v>
      </c>
    </row>
    <row r="1325" spans="1:26" x14ac:dyDescent="0.15">
      <c r="C1325">
        <v>124281</v>
      </c>
      <c r="D1325">
        <v>52</v>
      </c>
      <c r="I1325" t="s">
        <v>1193</v>
      </c>
      <c r="U1325" t="s">
        <v>3689</v>
      </c>
      <c r="V1325" t="str">
        <f t="shared" si="20"/>
        <v>{dwID=124281,nFrame=52,szNote="阴山大草原·分线",[3]={},[4]={},aFocus={{dwMapID=-1,nMaxDistance=0,tRelation={bAll=false,bEnemy=true,bAlly=false,},tLife={bEnable=true,szOperator="&gt;=",nValue=10,},},},},</v>
      </c>
    </row>
    <row r="1326" spans="1:26" x14ac:dyDescent="0.15">
      <c r="C1326">
        <v>124290</v>
      </c>
      <c r="D1326">
        <v>52</v>
      </c>
      <c r="I1326" t="s">
        <v>1193</v>
      </c>
      <c r="U1326" t="s">
        <v>3689</v>
      </c>
      <c r="V1326" t="str">
        <f t="shared" si="20"/>
        <v>{dwID=124290,nFrame=52,szNote="阴山大草原·分线",[3]={},[4]={},aFocus={{dwMapID=-1,nMaxDistance=0,tRelation={bAll=false,bEnemy=true,bAlly=false,},tLife={bEnable=true,szOperator="&gt;=",nValue=10,},},},},</v>
      </c>
    </row>
    <row r="1327" spans="1:26" x14ac:dyDescent="0.15">
      <c r="C1327">
        <v>124291</v>
      </c>
      <c r="D1327">
        <v>52</v>
      </c>
      <c r="I1327" t="s">
        <v>1193</v>
      </c>
      <c r="U1327" t="s">
        <v>3689</v>
      </c>
      <c r="V1327" t="str">
        <f t="shared" si="20"/>
        <v>{dwID=124291,nFrame=52,szNote="阴山大草原·分线",[3]={},[4]={},aFocus={{dwMapID=-1,nMaxDistance=0,tRelation={bAll=false,bEnemy=true,bAlly=false,},tLife={bEnable=true,szOperator="&gt;=",nValue=10,},},},},</v>
      </c>
    </row>
    <row r="1328" spans="1:26" x14ac:dyDescent="0.15">
      <c r="C1328">
        <v>124109</v>
      </c>
      <c r="D1328">
        <v>52</v>
      </c>
      <c r="I1328" t="s">
        <v>1193</v>
      </c>
      <c r="U1328" t="s">
        <v>3689</v>
      </c>
      <c r="V1328" t="str">
        <f t="shared" si="20"/>
        <v>{dwID=124109,nFrame=52,szNote="阴山大草原·分线",[3]={},[4]={},aFocus={{dwMapID=-1,nMaxDistance=0,tRelation={bAll=false,bEnemy=true,bAlly=false,},tLife={bEnable=true,szOperator="&gt;=",nValue=10,},},},},</v>
      </c>
    </row>
    <row r="1329" spans="3:22" x14ac:dyDescent="0.15">
      <c r="C1329">
        <v>124110</v>
      </c>
      <c r="D1329">
        <v>52</v>
      </c>
      <c r="I1329" t="s">
        <v>1193</v>
      </c>
      <c r="U1329" t="s">
        <v>3689</v>
      </c>
      <c r="V1329" t="str">
        <f t="shared" si="20"/>
        <v>{dwID=124110,nFrame=52,szNote="阴山大草原·分线",[3]={},[4]={},aFocus={{dwMapID=-1,nMaxDistance=0,tRelation={bAll=false,bEnemy=true,bAlly=false,},tLife={bEnable=true,szOperator="&gt;=",nValue=10,},},},},</v>
      </c>
    </row>
    <row r="1330" spans="3:22" x14ac:dyDescent="0.15">
      <c r="C1330">
        <v>124111</v>
      </c>
      <c r="D1330">
        <v>52</v>
      </c>
      <c r="I1330" t="s">
        <v>1193</v>
      </c>
      <c r="U1330" t="s">
        <v>3689</v>
      </c>
      <c r="V1330" t="str">
        <f t="shared" si="20"/>
        <v>{dwID=124111,nFrame=52,szNote="阴山大草原·分线",[3]={},[4]={},aFocus={{dwMapID=-1,nMaxDistance=0,tRelation={bAll=false,bEnemy=true,bAlly=false,},tLife={bEnable=true,szOperator="&gt;=",nValue=10,},},},},</v>
      </c>
    </row>
    <row r="1331" spans="3:22" x14ac:dyDescent="0.15">
      <c r="C1331">
        <v>124112</v>
      </c>
      <c r="D1331">
        <v>52</v>
      </c>
      <c r="I1331" t="s">
        <v>1193</v>
      </c>
      <c r="U1331" t="s">
        <v>3689</v>
      </c>
      <c r="V1331" t="str">
        <f t="shared" si="20"/>
        <v>{dwID=124112,nFrame=52,szNote="阴山大草原·分线",[3]={},[4]={},aFocus={{dwMapID=-1,nMaxDistance=0,tRelation={bAll=false,bEnemy=true,bAlly=false,},tLife={bEnable=true,szOperator="&gt;=",nValue=10,},},},},</v>
      </c>
    </row>
    <row r="1332" spans="3:22" x14ac:dyDescent="0.15">
      <c r="C1332">
        <v>124113</v>
      </c>
      <c r="D1332">
        <v>52</v>
      </c>
      <c r="I1332" t="s">
        <v>1193</v>
      </c>
      <c r="U1332" t="s">
        <v>3689</v>
      </c>
      <c r="V1332" t="str">
        <f t="shared" si="20"/>
        <v>{dwID=124113,nFrame=52,szNote="阴山大草原·分线",[3]={},[4]={},aFocus={{dwMapID=-1,nMaxDistance=0,tRelation={bAll=false,bEnemy=true,bAlly=false,},tLife={bEnable=true,szOperator="&gt;=",nValue=10,},},},},</v>
      </c>
    </row>
    <row r="1333" spans="3:22" x14ac:dyDescent="0.15">
      <c r="C1333">
        <v>124114</v>
      </c>
      <c r="D1333">
        <v>52</v>
      </c>
      <c r="I1333" t="s">
        <v>1193</v>
      </c>
      <c r="U1333" t="s">
        <v>3689</v>
      </c>
      <c r="V1333" t="str">
        <f t="shared" si="20"/>
        <v>{dwID=124114,nFrame=52,szNote="阴山大草原·分线",[3]={},[4]={},aFocus={{dwMapID=-1,nMaxDistance=0,tRelation={bAll=false,bEnemy=true,bAlly=false,},tLife={bEnable=true,szOperator="&gt;=",nValue=10,},},},},</v>
      </c>
    </row>
    <row r="1334" spans="3:22" x14ac:dyDescent="0.15">
      <c r="C1334">
        <v>124115</v>
      </c>
      <c r="D1334">
        <v>52</v>
      </c>
      <c r="I1334" t="s">
        <v>1193</v>
      </c>
      <c r="U1334" t="s">
        <v>3689</v>
      </c>
      <c r="V1334" t="str">
        <f t="shared" si="20"/>
        <v>{dwID=124115,nFrame=52,szNote="阴山大草原·分线",[3]={},[4]={},aFocus={{dwMapID=-1,nMaxDistance=0,tRelation={bAll=false,bEnemy=true,bAlly=false,},tLife={bEnable=true,szOperator="&gt;=",nValue=10,},},},},</v>
      </c>
    </row>
    <row r="1335" spans="3:22" x14ac:dyDescent="0.15">
      <c r="C1335">
        <v>124116</v>
      </c>
      <c r="D1335">
        <v>52</v>
      </c>
      <c r="I1335" t="s">
        <v>1193</v>
      </c>
      <c r="U1335" t="s">
        <v>3689</v>
      </c>
      <c r="V1335" t="str">
        <f t="shared" si="20"/>
        <v>{dwID=124116,nFrame=52,szNote="阴山大草原·分线",[3]={},[4]={},aFocus={{dwMapID=-1,nMaxDistance=0,tRelation={bAll=false,bEnemy=true,bAlly=false,},tLife={bEnable=true,szOperator="&gt;=",nValue=10,},},},},</v>
      </c>
    </row>
    <row r="1336" spans="3:22" x14ac:dyDescent="0.15">
      <c r="C1336">
        <v>124117</v>
      </c>
      <c r="D1336">
        <v>52</v>
      </c>
      <c r="I1336" t="s">
        <v>1193</v>
      </c>
      <c r="U1336" t="s">
        <v>3689</v>
      </c>
      <c r="V1336" t="str">
        <f t="shared" si="20"/>
        <v>{dwID=124117,nFrame=52,szNote="阴山大草原·分线",[3]={},[4]={},aFocus={{dwMapID=-1,nMaxDistance=0,tRelation={bAll=false,bEnemy=true,bAlly=false,},tLife={bEnable=true,szOperator="&gt;=",nValue=10,},},},},</v>
      </c>
    </row>
    <row r="1337" spans="3:22" x14ac:dyDescent="0.15">
      <c r="C1337">
        <v>124118</v>
      </c>
      <c r="D1337">
        <v>52</v>
      </c>
      <c r="I1337" t="s">
        <v>1193</v>
      </c>
      <c r="U1337" t="s">
        <v>3689</v>
      </c>
      <c r="V1337" t="str">
        <f t="shared" si="20"/>
        <v>{dwID=124118,nFrame=52,szNote="阴山大草原·分线",[3]={},[4]={},aFocus={{dwMapID=-1,nMaxDistance=0,tRelation={bAll=false,bEnemy=true,bAlly=false,},tLife={bEnable=true,szOperator="&gt;=",nValue=10,},},},},</v>
      </c>
    </row>
    <row r="1338" spans="3:22" x14ac:dyDescent="0.15">
      <c r="C1338">
        <v>124119</v>
      </c>
      <c r="D1338">
        <v>52</v>
      </c>
      <c r="I1338" t="s">
        <v>1193</v>
      </c>
      <c r="U1338" t="s">
        <v>3689</v>
      </c>
      <c r="V1338" t="str">
        <f t="shared" si="20"/>
        <v>{dwID=124119,nFrame=52,szNote="阴山大草原·分线",[3]={},[4]={},aFocus={{dwMapID=-1,nMaxDistance=0,tRelation={bAll=false,bEnemy=true,bAlly=false,},tLife={bEnable=true,szOperator="&gt;=",nValue=10,},},},},</v>
      </c>
    </row>
    <row r="1339" spans="3:22" x14ac:dyDescent="0.15">
      <c r="C1339">
        <v>124120</v>
      </c>
      <c r="D1339">
        <v>52</v>
      </c>
      <c r="I1339" t="s">
        <v>1193</v>
      </c>
      <c r="U1339" t="s">
        <v>3689</v>
      </c>
      <c r="V1339" t="str">
        <f t="shared" si="20"/>
        <v>{dwID=124120,nFrame=52,szNote="阴山大草原·分线",[3]={},[4]={},aFocus={{dwMapID=-1,nMaxDistance=0,tRelation={bAll=false,bEnemy=true,bAlly=false,},tLife={bEnable=true,szOperator="&gt;=",nValue=10,},},},},</v>
      </c>
    </row>
    <row r="1340" spans="3:22" x14ac:dyDescent="0.15">
      <c r="C1340">
        <v>124121</v>
      </c>
      <c r="D1340">
        <v>52</v>
      </c>
      <c r="I1340" t="s">
        <v>1193</v>
      </c>
      <c r="U1340" t="s">
        <v>3689</v>
      </c>
      <c r="V1340" t="str">
        <f t="shared" si="20"/>
        <v>{dwID=124121,nFrame=52,szNote="阴山大草原·分线",[3]={},[4]={},aFocus={{dwMapID=-1,nMaxDistance=0,tRelation={bAll=false,bEnemy=true,bAlly=false,},tLife={bEnable=true,szOperator="&gt;=",nValue=10,},},},},</v>
      </c>
    </row>
    <row r="1341" spans="3:22" x14ac:dyDescent="0.15">
      <c r="C1341">
        <v>124122</v>
      </c>
      <c r="D1341">
        <v>52</v>
      </c>
      <c r="I1341" t="s">
        <v>1193</v>
      </c>
      <c r="U1341" t="s">
        <v>3689</v>
      </c>
      <c r="V1341" t="str">
        <f t="shared" si="20"/>
        <v>{dwID=124122,nFrame=52,szNote="阴山大草原·分线",[3]={},[4]={},aFocus={{dwMapID=-1,nMaxDistance=0,tRelation={bAll=false,bEnemy=true,bAlly=false,},tLife={bEnable=true,szOperator="&gt;=",nValue=10,},},},},</v>
      </c>
    </row>
    <row r="1342" spans="3:22" x14ac:dyDescent="0.15">
      <c r="C1342">
        <v>124123</v>
      </c>
      <c r="D1342">
        <v>52</v>
      </c>
      <c r="I1342" t="s">
        <v>1193</v>
      </c>
      <c r="U1342" t="s">
        <v>3689</v>
      </c>
      <c r="V1342" t="str">
        <f t="shared" si="20"/>
        <v>{dwID=124123,nFrame=52,szNote="阴山大草原·分线",[3]={},[4]={},aFocus={{dwMapID=-1,nMaxDistance=0,tRelation={bAll=false,bEnemy=true,bAlly=false,},tLife={bEnable=true,szOperator="&gt;=",nValue=10,},},},},</v>
      </c>
    </row>
    <row r="1343" spans="3:22" x14ac:dyDescent="0.15">
      <c r="C1343">
        <v>124124</v>
      </c>
      <c r="D1343">
        <v>52</v>
      </c>
      <c r="I1343" t="s">
        <v>1193</v>
      </c>
      <c r="U1343" t="s">
        <v>3689</v>
      </c>
      <c r="V1343" t="str">
        <f t="shared" si="20"/>
        <v>{dwID=124124,nFrame=52,szNote="阴山大草原·分线",[3]={},[4]={},aFocus={{dwMapID=-1,nMaxDistance=0,tRelation={bAll=false,bEnemy=true,bAlly=false,},tLife={bEnable=true,szOperator="&gt;=",nValue=10,},},},},</v>
      </c>
    </row>
    <row r="1344" spans="3:22" x14ac:dyDescent="0.15">
      <c r="C1344">
        <v>124260</v>
      </c>
      <c r="D1344">
        <v>52</v>
      </c>
      <c r="I1344" t="s">
        <v>1193</v>
      </c>
      <c r="U1344" t="s">
        <v>3689</v>
      </c>
      <c r="V1344" t="str">
        <f t="shared" si="20"/>
        <v>{dwID=124260,nFrame=52,szNote="阴山大草原·分线",[3]={},[4]={},aFocus={{dwMapID=-1,nMaxDistance=0,tRelation={bAll=false,bEnemy=true,bAlly=false,},tLife={bEnable=true,szOperator="&gt;=",nValue=10,},},},},</v>
      </c>
    </row>
    <row r="1345" spans="1:22" x14ac:dyDescent="0.15">
      <c r="C1345">
        <v>124261</v>
      </c>
      <c r="D1345">
        <v>52</v>
      </c>
      <c r="I1345" t="s">
        <v>1193</v>
      </c>
      <c r="U1345" t="s">
        <v>3689</v>
      </c>
      <c r="V1345" t="str">
        <f t="shared" si="20"/>
        <v>{dwID=124261,nFrame=52,szNote="阴山大草原·分线",[3]={},[4]={},aFocus={{dwMapID=-1,nMaxDistance=0,tRelation={bAll=false,bEnemy=true,bAlly=false,},tLife={bEnable=true,szOperator="&gt;=",nValue=10,},},},},</v>
      </c>
    </row>
    <row r="1346" spans="1:22" x14ac:dyDescent="0.15">
      <c r="C1346">
        <v>124270</v>
      </c>
      <c r="D1346">
        <v>52</v>
      </c>
      <c r="I1346" t="s">
        <v>1193</v>
      </c>
      <c r="U1346" t="s">
        <v>3689</v>
      </c>
      <c r="V1346" t="str">
        <f t="shared" ref="V1346:V1373" si="21">IF(ISBLANK(B1346)=FALSE,IF(ISBLANK(B1345),"},["&amp;B1346&amp;"]={","["&amp;B1346&amp;"]={"),IF(AND(ISBLANK(B1346),ISBLANK(D1346),ISBLANK(C1346),OR(ISBLANK(B1345)=FALSE,ISBLANK(D1345)=FALSE,ISBLANK(C1345)=FALSE)),"},},}",IF(ISBLANK(C1346),"","{dwID="&amp;C1346&amp;","&amp;"nFrame="&amp;D1346&amp;","&amp;IF(E1346&gt;0,"nCount="&amp;E1346&amp;",","")&amp;IF(F1346&gt;0,"bAllLeave=true,","")&amp;IF(G1346&lt;&gt;"","szName="""&amp;G1346&amp;""",","")&amp;IF(H1346&lt;&gt;"","tKungFu={"&amp;H1346&amp;"},","")&amp;IF(I1346&lt;&gt;"","szNote="""&amp;I1346&amp;""",","")&amp;IF(J1346&lt;&gt;"","col={"&amp;J1346&amp;"},","")&amp;"[3]={"&amp;IF(K1346&lt;&gt;"","tMark={"&amp;K1346&amp;"},","")&amp;IF(L1346&lt;&gt;"","szVoice="""&amp;L1346&amp;""",","")&amp;IF(M1346&gt;0,"bTeamChannel=true,","")&amp;IF(N1346&gt;0,"bWhisperChannel=true,","")&amp;IF(O1346&gt;0,"bCenterAlarm=true,","")&amp;IF(P1346&gt;0,"bScreenHead=true,","")&amp;"},"&amp;"[4]={"&amp;IF(Q1346&lt;&gt;"","szVoice="""&amp;Q1346&amp;""",","")&amp;IF(R1346&gt;0,"bTeamChannel=true,","")&amp;IF(S1346&gt;0,"bWhisperChannel=true,","")&amp;IF(T1346&gt;0,"bCenterAlarm=true,","")&amp;"},"&amp;IF(U1346&lt;&gt;"","aFocus={"&amp;U1346&amp;"},","")&amp;IF(W1346&lt;&gt;"","tCountdown={"&amp;_xlfn.TEXTJOIN("",TRUE,W1346:ZZ1346)&amp;"},","")&amp;"},")))</f>
        <v>{dwID=124270,nFrame=52,szNote="阴山大草原·分线",[3]={},[4]={},aFocus={{dwMapID=-1,nMaxDistance=0,tRelation={bAll=false,bEnemy=true,bAlly=false,},tLife={bEnable=true,szOperator="&gt;=",nValue=10,},},},},</v>
      </c>
    </row>
    <row r="1347" spans="1:22" x14ac:dyDescent="0.15">
      <c r="C1347">
        <v>124271</v>
      </c>
      <c r="D1347">
        <v>52</v>
      </c>
      <c r="I1347" t="s">
        <v>1193</v>
      </c>
      <c r="U1347" t="s">
        <v>3689</v>
      </c>
      <c r="V1347" t="str">
        <f t="shared" si="21"/>
        <v>{dwID=124271,nFrame=52,szNote="阴山大草原·分线",[3]={},[4]={},aFocus={{dwMapID=-1,nMaxDistance=0,tRelation={bAll=false,bEnemy=true,bAlly=false,},tLife={bEnable=true,szOperator="&gt;=",nValue=10,},},},},</v>
      </c>
    </row>
    <row r="1348" spans="1:22" x14ac:dyDescent="0.15">
      <c r="C1348">
        <v>123871</v>
      </c>
      <c r="D1348">
        <v>47</v>
      </c>
      <c r="I1348" t="s">
        <v>4271</v>
      </c>
      <c r="U1348" t="s">
        <v>4272</v>
      </c>
      <c r="V1348" t="str">
        <f t="shared" si="21"/>
        <v>{dwID=123871,nFrame=47,szNote="小珍",[3]={},[4]={},aFocus={{dwMapID=-1,szDisplay="分线·传送",nMaxDistance=6,tRelation={bAll=false,bEnemy=false,bAlly=true,},tLife={bEnable=false,szOperator="&gt;",nValue=0,},},},},</v>
      </c>
    </row>
    <row r="1349" spans="1:22" x14ac:dyDescent="0.15">
      <c r="C1349">
        <v>123867</v>
      </c>
      <c r="D1349">
        <v>47</v>
      </c>
      <c r="I1349" t="s">
        <v>4273</v>
      </c>
      <c r="U1349" t="s">
        <v>4272</v>
      </c>
      <c r="V1349" t="str">
        <f t="shared" si="21"/>
        <v>{dwID=123867,nFrame=47,szNote="小曾",[3]={},[4]={},aFocus={{dwMapID=-1,szDisplay="分线·传送",nMaxDistance=6,tRelation={bAll=false,bEnemy=false,bAlly=true,},tLife={bEnable=false,szOperator="&gt;",nValue=0,},},},},</v>
      </c>
    </row>
    <row r="1350" spans="1:22" x14ac:dyDescent="0.15">
      <c r="A1350" t="s">
        <v>617</v>
      </c>
      <c r="B1350">
        <v>658</v>
      </c>
      <c r="V1350" t="str">
        <f t="shared" si="21"/>
        <v>},[658]={</v>
      </c>
    </row>
    <row r="1351" spans="1:22" x14ac:dyDescent="0.15">
      <c r="C1351">
        <v>124353</v>
      </c>
      <c r="D1351">
        <v>47</v>
      </c>
      <c r="J1351" t="s">
        <v>2168</v>
      </c>
      <c r="P1351">
        <v>1</v>
      </c>
      <c r="U1351" t="s">
        <v>4490</v>
      </c>
      <c r="V1351" t="str">
        <f t="shared" si="21"/>
        <v>{dwID=124353,nFrame=47,col={0,255,0,},[3]={bScreenHead=true,},[4]={},aFocus={{dwMapID=-1,szDisplay="雪影·剧情",nMaxDistance=40,tRelation={bAll=true,bEnemy=false,bAlly=false,},tLife={bEnable=false,szOperator="&gt;",nValue=0,},},},},</v>
      </c>
    </row>
    <row r="1352" spans="1:22" x14ac:dyDescent="0.15">
      <c r="C1352">
        <v>126054</v>
      </c>
      <c r="D1352">
        <v>47</v>
      </c>
      <c r="J1352" t="s">
        <v>2168</v>
      </c>
      <c r="P1352">
        <v>1</v>
      </c>
      <c r="U1352" t="s">
        <v>4491</v>
      </c>
      <c r="V1352" t="str">
        <f t="shared" si="21"/>
        <v>{dwID=126054,nFrame=47,col={0,255,0,},[3]={bScreenHead=true,},[4]={},aFocus={{dwMapID=-1,szDisplay="颂少风·剧情",nMaxDistance=60,tRelation={bAll=false,bEnemy=false,bAlly=true,},tLife={bEnable=false,szOperator="&gt;",nValue=0,},},},},</v>
      </c>
    </row>
    <row r="1353" spans="1:22" x14ac:dyDescent="0.15">
      <c r="C1353">
        <v>125557</v>
      </c>
      <c r="D1353">
        <v>69</v>
      </c>
      <c r="J1353" t="s">
        <v>2168</v>
      </c>
      <c r="P1353">
        <v>1</v>
      </c>
      <c r="U1353" t="s">
        <v>4492</v>
      </c>
      <c r="V1353" t="str">
        <f t="shared" si="21"/>
        <v>{dwID=125557,nFrame=69,col={0,255,0,},[3]={bScreenHead=true,},[4]={},aFocus={{dwMapID=-1,nMaxDistance=70,tRelation={bAll=true,bEnemy=false,bAlly=false,},tLife={bEnable=false,szOperator="&gt;",nValue=0,},},},},</v>
      </c>
    </row>
    <row r="1354" spans="1:22" x14ac:dyDescent="0.15">
      <c r="C1354">
        <v>125417</v>
      </c>
      <c r="D1354">
        <v>47</v>
      </c>
      <c r="J1354" t="s">
        <v>2168</v>
      </c>
      <c r="P1354">
        <v>1</v>
      </c>
      <c r="U1354" t="s">
        <v>4493</v>
      </c>
      <c r="V1354" t="str">
        <f t="shared" si="21"/>
        <v>{dwID=125417,nFrame=47,col={0,255,0,},[3]={bScreenHead=true,},[4]={},aFocus={{dwMapID=-1,szDisplay="颂少风·剧情",nMaxDistance=70,tRelation={bAll=false,bEnemy=false,bAlly=true,},tLife={bEnable=false,szOperator="&gt;",nValue=0,},},},},</v>
      </c>
    </row>
    <row r="1355" spans="1:22" x14ac:dyDescent="0.15">
      <c r="C1355">
        <v>124338</v>
      </c>
      <c r="D1355">
        <v>47</v>
      </c>
      <c r="J1355" t="s">
        <v>2168</v>
      </c>
      <c r="P1355">
        <v>1</v>
      </c>
      <c r="U1355" t="s">
        <v>4491</v>
      </c>
      <c r="V1355" t="str">
        <f t="shared" si="21"/>
        <v>{dwID=124338,nFrame=47,col={0,255,0,},[3]={bScreenHead=true,},[4]={},aFocus={{dwMapID=-1,szDisplay="颂少风·剧情",nMaxDistance=60,tRelation={bAll=false,bEnemy=false,bAlly=true,},tLife={bEnable=false,szOperator="&gt;",nValue=0,},},},},</v>
      </c>
    </row>
    <row r="1356" spans="1:22" x14ac:dyDescent="0.15">
      <c r="A1356" t="s">
        <v>1194</v>
      </c>
      <c r="B1356">
        <v>659</v>
      </c>
      <c r="V1356" t="str">
        <f t="shared" si="21"/>
        <v>},[659]={</v>
      </c>
    </row>
    <row r="1357" spans="1:22" x14ac:dyDescent="0.15">
      <c r="C1357">
        <v>124353</v>
      </c>
      <c r="D1357">
        <v>47</v>
      </c>
      <c r="J1357" t="s">
        <v>2168</v>
      </c>
      <c r="P1357">
        <v>1</v>
      </c>
      <c r="U1357" t="s">
        <v>4490</v>
      </c>
      <c r="V1357" t="str">
        <f t="shared" si="21"/>
        <v>{dwID=124353,nFrame=47,col={0,255,0,},[3]={bScreenHead=true,},[4]={},aFocus={{dwMapID=-1,szDisplay="雪影·剧情",nMaxDistance=40,tRelation={bAll=true,bEnemy=false,bAlly=false,},tLife={bEnable=false,szOperator="&gt;",nValue=0,},},},},</v>
      </c>
    </row>
    <row r="1358" spans="1:22" x14ac:dyDescent="0.15">
      <c r="C1358">
        <v>126054</v>
      </c>
      <c r="D1358">
        <v>47</v>
      </c>
      <c r="J1358" t="s">
        <v>2168</v>
      </c>
      <c r="P1358">
        <v>1</v>
      </c>
      <c r="U1358" t="s">
        <v>4491</v>
      </c>
      <c r="V1358" t="str">
        <f t="shared" si="21"/>
        <v>{dwID=126054,nFrame=47,col={0,255,0,},[3]={bScreenHead=true,},[4]={},aFocus={{dwMapID=-1,szDisplay="颂少风·剧情",nMaxDistance=60,tRelation={bAll=false,bEnemy=false,bAlly=true,},tLife={bEnable=false,szOperator="&gt;",nValue=0,},},},},</v>
      </c>
    </row>
    <row r="1359" spans="1:22" x14ac:dyDescent="0.15">
      <c r="C1359">
        <v>125557</v>
      </c>
      <c r="D1359">
        <v>69</v>
      </c>
      <c r="J1359" t="s">
        <v>2168</v>
      </c>
      <c r="P1359">
        <v>1</v>
      </c>
      <c r="U1359" t="s">
        <v>4492</v>
      </c>
      <c r="V1359" t="str">
        <f t="shared" si="21"/>
        <v>{dwID=125557,nFrame=69,col={0,255,0,},[3]={bScreenHead=true,},[4]={},aFocus={{dwMapID=-1,nMaxDistance=70,tRelation={bAll=true,bEnemy=false,bAlly=false,},tLife={bEnable=false,szOperator="&gt;",nValue=0,},},},},</v>
      </c>
    </row>
    <row r="1360" spans="1:22" x14ac:dyDescent="0.15">
      <c r="C1360">
        <v>125417</v>
      </c>
      <c r="D1360">
        <v>47</v>
      </c>
      <c r="J1360" t="s">
        <v>2168</v>
      </c>
      <c r="P1360">
        <v>1</v>
      </c>
      <c r="U1360" t="s">
        <v>4493</v>
      </c>
      <c r="V1360" t="str">
        <f t="shared" si="21"/>
        <v>{dwID=125417,nFrame=47,col={0,255,0,},[3]={bScreenHead=true,},[4]={},aFocus={{dwMapID=-1,szDisplay="颂少风·剧情",nMaxDistance=70,tRelation={bAll=false,bEnemy=false,bAlly=true,},tLife={bEnable=false,szOperator="&gt;",nValue=0,},},},},</v>
      </c>
    </row>
    <row r="1361" spans="1:22" x14ac:dyDescent="0.15">
      <c r="C1361">
        <v>124338</v>
      </c>
      <c r="D1361">
        <v>47</v>
      </c>
      <c r="J1361" t="s">
        <v>2168</v>
      </c>
      <c r="P1361">
        <v>1</v>
      </c>
      <c r="U1361" t="s">
        <v>4491</v>
      </c>
      <c r="V1361" t="str">
        <f t="shared" si="21"/>
        <v>{dwID=124338,nFrame=47,col={0,255,0,},[3]={bScreenHead=true,},[4]={},aFocus={{dwMapID=-1,szDisplay="颂少风·剧情",nMaxDistance=60,tRelation={bAll=false,bEnemy=false,bAlly=true,},tLife={bEnable=false,szOperator="&gt;",nValue=0,},},},},</v>
      </c>
    </row>
    <row r="1362" spans="1:22" x14ac:dyDescent="0.15">
      <c r="A1362" t="s">
        <v>2590</v>
      </c>
      <c r="B1362">
        <v>995</v>
      </c>
      <c r="V1362" t="str">
        <f t="shared" si="21"/>
        <v>},[995]={</v>
      </c>
    </row>
    <row r="1363" spans="1:22" x14ac:dyDescent="0.15">
      <c r="C1363">
        <v>201666</v>
      </c>
      <c r="D1363">
        <v>47</v>
      </c>
      <c r="U1363" t="s">
        <v>3625</v>
      </c>
      <c r="V1363" t="str">
        <f t="shared" si="21"/>
        <v>{dwID=201666,nFrame=47,[3]={},[4]={},aFocus={{dwMapID=-1,nMaxDistance=25,tRelation={bAll=true,bEnemy=false,bAlly=false,},tLife={bEnable=false,szOperator="&gt;",nValue=0,},},},},</v>
      </c>
    </row>
    <row r="1364" spans="1:22" x14ac:dyDescent="0.15">
      <c r="C1364">
        <v>201569</v>
      </c>
      <c r="D1364">
        <v>47</v>
      </c>
      <c r="U1364" t="s">
        <v>3732</v>
      </c>
      <c r="V1364" t="str">
        <f t="shared" si="21"/>
        <v>{dwID=201569,nFrame=47,[3]={},[4]={},aFocus={{dwMapID=-1,nMaxDistance=1,tRelation={bAll=true,bEnemy=false,bAlly=false,},tLife={bEnable=false,szOperator="&gt;",nValue=0,},},},},</v>
      </c>
    </row>
    <row r="1365" spans="1:22" x14ac:dyDescent="0.15">
      <c r="C1365">
        <v>201151</v>
      </c>
      <c r="D1365">
        <v>47</v>
      </c>
      <c r="U1365" t="s">
        <v>3732</v>
      </c>
      <c r="V1365" t="str">
        <f t="shared" si="21"/>
        <v>{dwID=201151,nFrame=47,[3]={},[4]={},aFocus={{dwMapID=-1,nMaxDistance=1,tRelation={bAll=true,bEnemy=false,bAlly=false,},tLife={bEnable=false,szOperator="&gt;",nValue=0,},},},},</v>
      </c>
    </row>
    <row r="1366" spans="1:22" x14ac:dyDescent="0.15">
      <c r="C1366">
        <v>201267</v>
      </c>
      <c r="D1366">
        <v>47</v>
      </c>
      <c r="G1366" t="s">
        <v>4494</v>
      </c>
      <c r="U1366" t="s">
        <v>4495</v>
      </c>
      <c r="V1366" t="str">
        <f t="shared" si="21"/>
        <v>{dwID=201267,nFrame=47,szName="传送门",[3]={},[4]={},aFocus={{dwMapID=-1,szDisplay="传送门",nMaxDistance=60,tRelation={bAll=true,bEnemy=false,bAlly=false,},tLife={bEnable=false,szOperator="&gt;",nValue=0,},},},},</v>
      </c>
    </row>
    <row r="1367" spans="1:22" x14ac:dyDescent="0.15">
      <c r="C1367">
        <v>201120</v>
      </c>
      <c r="D1367">
        <v>47</v>
      </c>
      <c r="G1367" t="s">
        <v>4496</v>
      </c>
      <c r="U1367" t="s">
        <v>4497</v>
      </c>
      <c r="V1367" t="str">
        <f t="shared" si="21"/>
        <v>{dwID=201120,nFrame=47,szName="神树",[3]={},[4]={},aFocus={{dwMapID=-1,szDisplay="神树",nMaxDistance=10,tRelation={bAll=true,bEnemy=false,bAlly=false,},tLife={bEnable=false,szOperator="&gt;",nValue=0,},},},},</v>
      </c>
    </row>
    <row r="1368" spans="1:22" x14ac:dyDescent="0.15">
      <c r="C1368">
        <v>201200</v>
      </c>
      <c r="D1368">
        <v>47</v>
      </c>
      <c r="J1368" t="s">
        <v>2168</v>
      </c>
      <c r="P1368">
        <v>1</v>
      </c>
      <c r="U1368" t="s">
        <v>3622</v>
      </c>
      <c r="V1368" t="str">
        <f t="shared" si="21"/>
        <v>{dwID=201200,nFrame=47,col={0,255,0,},[3]={bScreenHead=true,},[4]={},aFocus={{dwMapID=-1,nMaxDistance=30,tRelation={bAll=true,bEnemy=false,bAlly=false,},tLife={bEnable=false,szOperator="&gt;",nValue=0,},},},},</v>
      </c>
    </row>
    <row r="1369" spans="1:22" x14ac:dyDescent="0.15">
      <c r="C1369">
        <v>201226</v>
      </c>
      <c r="D1369">
        <v>47</v>
      </c>
      <c r="J1369" t="s">
        <v>2168</v>
      </c>
      <c r="P1369">
        <v>1</v>
      </c>
      <c r="U1369" t="s">
        <v>3733</v>
      </c>
      <c r="V1369" t="str">
        <f t="shared" si="21"/>
        <v>{dwID=201226,nFrame=47,col={0,255,0,},[3]={bScreenHead=true,},[4]={},aFocus={{dwMapID=-1,nMaxDistance=60,tRelation={bAll=true,bEnemy=false,bAlly=false,},tLife={bEnable=false,szOperator="&gt;",nValue=0,},},},},</v>
      </c>
    </row>
    <row r="1370" spans="1:22" x14ac:dyDescent="0.15">
      <c r="C1370">
        <v>201309</v>
      </c>
      <c r="D1370">
        <v>47</v>
      </c>
      <c r="G1370" t="s">
        <v>4498</v>
      </c>
      <c r="U1370" t="s">
        <v>4499</v>
      </c>
      <c r="V1370" t="str">
        <f t="shared" si="21"/>
        <v>{dwID=201309,nFrame=47,szName="风涡·移速",[3]={},[4]={},aFocus={{dwMapID=-1,szDisplay="风涡·移速",nMaxDistance=8,tRelation={bAll=true,bEnemy=false,bAlly=false,},tLife={bEnable=false,szOperator="&gt;",nValue=0,},},},},</v>
      </c>
    </row>
    <row r="1371" spans="1:22" x14ac:dyDescent="0.15">
      <c r="C1371">
        <v>201643</v>
      </c>
      <c r="D1371">
        <v>47</v>
      </c>
      <c r="G1371" t="s">
        <v>4500</v>
      </c>
      <c r="U1371" t="s">
        <v>4501</v>
      </c>
      <c r="V1371" t="str">
        <f t="shared" si="21"/>
        <v>{dwID=201643,nFrame=47,szName="日晷",[3]={},[4]={},aFocus={{dwMapID=-1,szDisplay="日晷",nMaxDistance=10,tRelation={bAll=true,bEnemy=false,bAlly=false,},tLife={bEnable=false,szOperator="&gt;",nValue=0,},},},},</v>
      </c>
    </row>
    <row r="1372" spans="1:22" x14ac:dyDescent="0.15">
      <c r="V1372" t="str">
        <f t="shared" si="21"/>
        <v>},},}</v>
      </c>
    </row>
    <row r="1373" spans="1:22" x14ac:dyDescent="0.15">
      <c r="V1373" t="str">
        <f t="shared" si="21"/>
        <v/>
      </c>
    </row>
  </sheetData>
  <phoneticPr fontId="18" type="noConversion"/>
  <pageMargins left="0.75" right="0.75" top="1" bottom="1" header="0.5" footer="0.5"/>
</worksheet>
</file>

<file path=xl/worksheets/sheet7.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110CD-1C52-4597-9CAD-7127E284E3FB}">
  <dimension ref="A1:X359"/>
  <sheetViews>
    <sheetView workbookViewId="0"/>
  </sheetViews>
  <sheetFormatPr defaultRowHeight="13.5" x14ac:dyDescent="0.15"/>
  <sheetData>
    <row r="1" spans="1:22" x14ac:dyDescent="0.15">
      <c r="A1" t="s">
        <v>0</v>
      </c>
      <c r="B1" t="s">
        <v>2061</v>
      </c>
      <c r="C1" t="s">
        <v>1</v>
      </c>
      <c r="D1" t="s">
        <v>2062</v>
      </c>
      <c r="E1" t="s">
        <v>3597</v>
      </c>
      <c r="F1" t="s">
        <v>3598</v>
      </c>
      <c r="G1" t="s">
        <v>4</v>
      </c>
      <c r="H1" t="s">
        <v>2065</v>
      </c>
      <c r="I1" t="s">
        <v>5</v>
      </c>
      <c r="J1" t="s">
        <v>2066</v>
      </c>
      <c r="K1" t="s">
        <v>4502</v>
      </c>
      <c r="L1" t="s">
        <v>4503</v>
      </c>
      <c r="M1" t="s">
        <v>4504</v>
      </c>
      <c r="N1" t="s">
        <v>4505</v>
      </c>
      <c r="O1" t="s">
        <v>4506</v>
      </c>
      <c r="P1" t="s">
        <v>4507</v>
      </c>
      <c r="Q1" t="s">
        <v>4508</v>
      </c>
      <c r="R1" t="s">
        <v>4509</v>
      </c>
      <c r="S1" t="s">
        <v>3609</v>
      </c>
      <c r="T1" t="s">
        <v>4510</v>
      </c>
      <c r="U1" t="s">
        <v>2094</v>
      </c>
    </row>
    <row r="2" spans="1:22" x14ac:dyDescent="0.15">
      <c r="A2" t="s">
        <v>2095</v>
      </c>
      <c r="B2">
        <v>-19</v>
      </c>
      <c r="T2" t="str">
        <f t="shared" ref="T2:T65" si="0">IF(ISBLANK(B2)=FALSE,IF(ISBLANK(B1),"},["&amp;B2&amp;"]={","["&amp;B2&amp;"]={"),IF(AND(ISBLANK(B2),ISBLANK(D2),ISBLANK(C2),OR(ISBLANK(B1)=FALSE,ISBLANK(D1)=FALSE,ISBLANK(C1)=FALSE)),"},},}",IF(ISBLANK(C2),"","{dwID="&amp;C2&amp;","&amp;"nFrame="&amp;D2&amp;","&amp;IF(E2&gt;0,"nCount="&amp;E2&amp;",","")&amp;IF(F2&gt;0,"bAllLeave=true,","")&amp;IF(G2&lt;&gt;"","szName="""&amp;G2&amp;""",","")&amp;IF(H2&lt;&gt;"","tKungFu={"&amp;H2&amp;"},","")&amp;IF(I2&lt;&gt;"","szNote="""&amp;I2&amp;""",","")&amp;IF(J2&lt;&gt;"","col={"&amp;J2&amp;"},","")&amp;"[17]={"&amp;IF(K2&lt;&gt;"","szVoice="""&amp;K2&amp;""",","")&amp;IF(L2&gt;0,"bTeamChannel=true,","")&amp;IF(M2&gt;0,"bWhisperChannel=true,","")&amp;IF(N2&gt;0,"bCenterAlarm=true,","")&amp;"},"&amp;"[18]={"&amp;IF(O2&lt;&gt;"","szVoice="""&amp;O2&amp;""",","")&amp;IF(P2&gt;0,"bTeamChannel=true,","")&amp;IF(Q2&gt;0,"bWhisperChannel=true,","")&amp;IF(R2&gt;0,"bCenterAlarm=true,","")&amp;"},"&amp;IF(S2&lt;&gt;"","aFocus={"&amp;S2&amp;"},","")&amp;IF(U2&lt;&gt;"","tCountdown={"&amp;_xlfn.TEXTJOIN("",TRUE,U2:ZZ2)&amp;"},","")&amp;"},")))</f>
        <v>[-19]={</v>
      </c>
    </row>
    <row r="3" spans="1:22" x14ac:dyDescent="0.15">
      <c r="C3">
        <v>5693</v>
      </c>
      <c r="D3">
        <v>47</v>
      </c>
      <c r="G3" t="s">
        <v>4511</v>
      </c>
      <c r="S3" t="s">
        <v>4512</v>
      </c>
      <c r="T3" t="str">
        <f t="shared" si="0"/>
        <v>{dwID=5693,nFrame=47,szName="物资堆·物资车",[17]={},[18]={},aFocus={{dwMapID=-1,szDisplay="物资堆·物资车",nMaxDistance=30,tRelation={bAll=true,bEnemy=false,bAlly=false,},tLife={bEnable=false,szOperator="&gt;",nValue=0,},},},},</v>
      </c>
    </row>
    <row r="4" spans="1:22" x14ac:dyDescent="0.15">
      <c r="C4">
        <v>5625</v>
      </c>
      <c r="D4">
        <v>47</v>
      </c>
      <c r="G4" t="s">
        <v>4513</v>
      </c>
      <c r="S4" t="s">
        <v>4514</v>
      </c>
      <c r="T4" t="str">
        <f t="shared" si="0"/>
        <v>{dwID=5625,nFrame=47,szName="物资箱·复活点",[17]={},[18]={},aFocus={{dwMapID=-1,szDisplay="物资箱·复活点",nMaxDistance=30,tRelation={bAll=true,bEnemy=false,bAlly=false,},tLife={bEnable=false,szOperator="&gt;",nValue=0,},},},},</v>
      </c>
    </row>
    <row r="5" spans="1:22" x14ac:dyDescent="0.15">
      <c r="C5">
        <v>5626</v>
      </c>
      <c r="D5">
        <v>47</v>
      </c>
      <c r="G5" t="s">
        <v>4515</v>
      </c>
      <c r="N5">
        <v>1</v>
      </c>
      <c r="S5" t="s">
        <v>4516</v>
      </c>
      <c r="T5" t="str">
        <f t="shared" si="0"/>
        <v>{dwID=5626,nFrame=47,szName="物资·首领掉落",[17]={bCenterAlarm=true,},[18]={},aFocus={{dwMapID=-1,szDisplay="物资·首领掉落",nMaxDistance=0,tRelation={bAll=true,bEnemy=false,bAlly=false,},tLife={bEnable=false,szOperator="&gt;",nValue=0,},},},},</v>
      </c>
    </row>
    <row r="6" spans="1:22" x14ac:dyDescent="0.15">
      <c r="A6" t="s">
        <v>3617</v>
      </c>
      <c r="B6">
        <v>-17</v>
      </c>
      <c r="T6" t="str">
        <f t="shared" si="0"/>
        <v>},[-17]={</v>
      </c>
    </row>
    <row r="7" spans="1:22" x14ac:dyDescent="0.15">
      <c r="C7">
        <v>2418</v>
      </c>
      <c r="D7">
        <v>2747</v>
      </c>
      <c r="S7" t="s">
        <v>4517</v>
      </c>
      <c r="T7" t="str">
        <f t="shared" si="0"/>
        <v>{dwID=2418,nFrame=2747,[17]={},[18]={},aFocus={{dwMapID=-1,nMaxDistance=20,tRelation={bAll=true,bEnemy=true,bAlly=false,},tLife={bEnable=false,szOperator="&gt;",nValue=0,},},},tCountdown={{nClass=18,nIcon=2747,nFrame=5,szName="仙王蛊鼎·{$sender}",nTime=0,key="仙王蛊鼎",},{nClass=19,nIcon=2747,nFrame=5,szName="仙王蛊鼎·{$sender}",nTime=0,key="仙王蛊鼎",},},},</v>
      </c>
      <c r="U7" t="s">
        <v>4518</v>
      </c>
      <c r="V7" t="s">
        <v>4519</v>
      </c>
    </row>
    <row r="8" spans="1:22" x14ac:dyDescent="0.15">
      <c r="A8" t="s">
        <v>2142</v>
      </c>
      <c r="B8">
        <v>-7</v>
      </c>
      <c r="T8" t="str">
        <f t="shared" si="0"/>
        <v>},[-7]={</v>
      </c>
    </row>
    <row r="9" spans="1:22" x14ac:dyDescent="0.15">
      <c r="C9">
        <v>6088</v>
      </c>
      <c r="D9">
        <v>47</v>
      </c>
      <c r="S9" t="s">
        <v>4520</v>
      </c>
      <c r="T9" t="str">
        <f t="shared" si="0"/>
        <v>{dwID=6088,nFrame=47,[17]={},[18]={},aFocus={{dwMapID=-1,szDisplay="鲜花束·艺人",nMaxDistance=60,tRelation={bAll=true,bEnemy=false,bAlly=false,},tLife={bEnable=false,szOperator="&gt;",nValue=0,},},},},</v>
      </c>
    </row>
    <row r="10" spans="1:22" x14ac:dyDescent="0.15">
      <c r="C10">
        <v>10371</v>
      </c>
      <c r="D10">
        <v>47</v>
      </c>
      <c r="G10" t="s">
        <v>4521</v>
      </c>
      <c r="N10">
        <v>1</v>
      </c>
      <c r="S10" t="s">
        <v>4522</v>
      </c>
      <c r="T10" t="str">
        <f t="shared" si="0"/>
        <v>{dwID=10371,nFrame=47,szName="的卢·宝堆",[17]={bCenterAlarm=true,},[18]={},aFocus={{dwMapID=-1,szDisplay="的卢·宝堆",nMaxDistance=120,tRelation={bAll=true,bEnemy=false,bAlly=false,},tLife={bEnable=false,szOperator="&gt;",nValue=0,},},},},</v>
      </c>
    </row>
    <row r="11" spans="1:22" x14ac:dyDescent="0.15">
      <c r="C11">
        <v>8418</v>
      </c>
      <c r="D11">
        <v>47</v>
      </c>
      <c r="G11" t="s">
        <v>4523</v>
      </c>
      <c r="N11">
        <v>1</v>
      </c>
      <c r="S11" t="s">
        <v>4524</v>
      </c>
      <c r="T11" t="str">
        <f t="shared" si="0"/>
        <v>{dwID=8418,nFrame=47,szName="狼牙先锋首领掉落",[17]={bCenterAlarm=true,},[18]={},aFocus={{dwMapID=-1,szDisplay="狼牙先锋首领·掉落",nMaxDistance=0,tRelation={bAll=true,bEnemy=false,bAlly=false,},tLife={bEnable=false,szOperator="&gt;",nValue=0,},},},},</v>
      </c>
    </row>
    <row r="12" spans="1:22" x14ac:dyDescent="0.15">
      <c r="C12">
        <v>6971</v>
      </c>
      <c r="D12">
        <v>47</v>
      </c>
      <c r="G12" t="s">
        <v>4525</v>
      </c>
      <c r="N12">
        <v>1</v>
      </c>
      <c r="S12" t="s">
        <v>4526</v>
      </c>
      <c r="T12" t="str">
        <f t="shared" si="0"/>
        <v>{dwID=6971,nFrame=47,szName="粮仓宝堆",[17]={bCenterAlarm=true,},[18]={},aFocus={{dwMapID=-1,szDisplay="粮仓宝堆",nMaxDistance=0,tRelation={bAll=true,bEnemy=false,bAlly=false,},tLife={bEnable=false,szOperator="&gt;",nValue=0,},},},},</v>
      </c>
    </row>
    <row r="13" spans="1:22" x14ac:dyDescent="0.15">
      <c r="A13" t="s">
        <v>2673</v>
      </c>
      <c r="B13">
        <v>-6</v>
      </c>
      <c r="T13" t="str">
        <f t="shared" si="0"/>
        <v>},[-6]={</v>
      </c>
    </row>
    <row r="14" spans="1:22" x14ac:dyDescent="0.15">
      <c r="C14">
        <v>8916</v>
      </c>
      <c r="D14">
        <v>47</v>
      </c>
      <c r="S14" t="s">
        <v>3622</v>
      </c>
      <c r="T14" t="str">
        <f t="shared" si="0"/>
        <v>{dwID=8916,nFrame=47,[17]={},[18]={},aFocus={{dwMapID=-1,nMaxDistance=30,tRelation={bAll=true,bEnemy=false,bAlly=false,},tLife={bEnable=false,szOperator="&gt;",nValue=0,},},},},</v>
      </c>
    </row>
    <row r="15" spans="1:22" x14ac:dyDescent="0.15">
      <c r="C15">
        <v>8175</v>
      </c>
      <c r="D15">
        <v>47</v>
      </c>
      <c r="N15">
        <v>1</v>
      </c>
      <c r="S15" t="s">
        <v>3623</v>
      </c>
      <c r="T15" t="str">
        <f t="shared" si="0"/>
        <v>{dwID=8175,nFrame=47,[17]={bCenterAlarm=true,},[18]={},aFocus={{dwMapID=-1,nMaxDistance=0,tRelation={bAll=true,bEnemy=false,bAlly=false,},tLife={bEnable=false,szOperator="&gt;",nValue=0,},},},},</v>
      </c>
    </row>
    <row r="16" spans="1:22" x14ac:dyDescent="0.15">
      <c r="C16">
        <v>7898</v>
      </c>
      <c r="D16">
        <v>47</v>
      </c>
      <c r="N16">
        <v>1</v>
      </c>
      <c r="S16" t="s">
        <v>4028</v>
      </c>
      <c r="T16" t="str">
        <f t="shared" si="0"/>
        <v>{dwID=7898,nFrame=47,[17]={bCenterAlarm=true,},[18]={},aFocus={{dwMapID=-1,nMaxDistance=20,tRelation={bAll=true,bEnemy=false,bAlly=false,},tLife={bEnable=false,szOperator="&gt;",nValue=0,},},},},</v>
      </c>
    </row>
    <row r="17" spans="1:22" x14ac:dyDescent="0.15">
      <c r="A17" t="s">
        <v>2178</v>
      </c>
      <c r="B17">
        <v>-4</v>
      </c>
      <c r="T17" t="str">
        <f t="shared" si="0"/>
        <v>},[-4]={</v>
      </c>
    </row>
    <row r="18" spans="1:22" x14ac:dyDescent="0.15">
      <c r="C18">
        <v>7839</v>
      </c>
      <c r="D18">
        <v>47</v>
      </c>
      <c r="S18" t="s">
        <v>3627</v>
      </c>
      <c r="T18" t="str">
        <f t="shared" si="0"/>
        <v>{dwID=7839,nFrame=47,[17]={},[18]={},aFocus={{dwMapID=-1,nMaxDistance=10,tRelation={bAll=true,bEnemy=false,bAlly=false,},tLife={bEnable=false,szOperator="&gt;",nValue=0,},},},},</v>
      </c>
    </row>
    <row r="19" spans="1:22" x14ac:dyDescent="0.15">
      <c r="A19" t="s">
        <v>2179</v>
      </c>
      <c r="B19">
        <v>-3</v>
      </c>
      <c r="T19" t="str">
        <f t="shared" si="0"/>
        <v>},[-3]={</v>
      </c>
    </row>
    <row r="20" spans="1:22" x14ac:dyDescent="0.15">
      <c r="C20">
        <v>2418</v>
      </c>
      <c r="D20">
        <v>2747</v>
      </c>
      <c r="F20">
        <v>1</v>
      </c>
      <c r="S20" t="s">
        <v>4517</v>
      </c>
      <c r="T20" t="str">
        <f t="shared" si="0"/>
        <v>{dwID=2418,nFrame=2747,bAllLeave=true,[17]={},[18]={},aFocus={{dwMapID=-1,nMaxDistance=20,tRelation={bAll=true,bEnemy=true,bAlly=false,},tLife={bEnable=false,szOperator="&gt;",nValue=0,},},},tCountdown={{nClass=18,nIcon=2747,nFrame=5,szName="仙王蛊鼎·{$sender}",nTime=0,key="仙王蛊鼎",},{nClass=19,nIcon=2747,nFrame=5,szName="仙王蛊鼎·{$sender}",nTime=0,key="仙王蛊鼎",},},},</v>
      </c>
      <c r="U20" t="s">
        <v>4518</v>
      </c>
      <c r="V20" t="s">
        <v>4519</v>
      </c>
    </row>
    <row r="21" spans="1:22" x14ac:dyDescent="0.15">
      <c r="A21" t="s">
        <v>2324</v>
      </c>
      <c r="B21">
        <v>-2</v>
      </c>
      <c r="T21" t="str">
        <f t="shared" si="0"/>
        <v>},[-2]={</v>
      </c>
    </row>
    <row r="22" spans="1:22" x14ac:dyDescent="0.15">
      <c r="C22">
        <v>2970</v>
      </c>
      <c r="D22">
        <v>47</v>
      </c>
      <c r="I22" t="s">
        <v>4527</v>
      </c>
      <c r="S22" t="s">
        <v>4528</v>
      </c>
      <c r="T22" t="str">
        <f t="shared" si="0"/>
        <v>{dwID=2970,nFrame=47,szNote="中秋节·鸟窝",[17]={},[18]={},aFocus={{dwMapID=-1,nMaxDistance=15,tRelation={bAll=true,bEnemy=false,bAlly=false,},tLife={bEnable=false,szOperator="&gt;",nValue=0,},},},},</v>
      </c>
    </row>
    <row r="23" spans="1:22" x14ac:dyDescent="0.15">
      <c r="C23">
        <v>2971</v>
      </c>
      <c r="D23">
        <v>47</v>
      </c>
      <c r="I23" t="s">
        <v>4529</v>
      </c>
      <c r="S23" t="s">
        <v>4528</v>
      </c>
      <c r="T23" t="str">
        <f t="shared" si="0"/>
        <v>{dwID=2971,nFrame=47,szNote="中秋节·散落的枯树枝",[17]={},[18]={},aFocus={{dwMapID=-1,nMaxDistance=15,tRelation={bAll=true,bEnemy=false,bAlly=false,},tLife={bEnable=false,szOperator="&gt;",nValue=0,},},},},</v>
      </c>
    </row>
    <row r="24" spans="1:22" x14ac:dyDescent="0.15">
      <c r="C24">
        <v>10351</v>
      </c>
      <c r="D24">
        <v>47</v>
      </c>
      <c r="N24">
        <v>1</v>
      </c>
      <c r="S24" t="s">
        <v>4028</v>
      </c>
      <c r="T24" t="str">
        <f t="shared" si="0"/>
        <v>{dwID=10351,nFrame=47,[17]={bCenterAlarm=true,},[18]={},aFocus={{dwMapID=-1,nMaxDistance=20,tRelation={bAll=true,bEnemy=false,bAlly=false,},tLife={bEnable=false,szOperator="&gt;",nValue=0,},},},},</v>
      </c>
    </row>
    <row r="25" spans="1:22" x14ac:dyDescent="0.15">
      <c r="A25" t="s">
        <v>2327</v>
      </c>
      <c r="B25">
        <v>-1</v>
      </c>
      <c r="T25" t="str">
        <f t="shared" si="0"/>
        <v>},[-1]={</v>
      </c>
    </row>
    <row r="26" spans="1:22" x14ac:dyDescent="0.15">
      <c r="C26">
        <v>3254</v>
      </c>
      <c r="D26">
        <v>47</v>
      </c>
      <c r="S26" t="s">
        <v>3733</v>
      </c>
      <c r="T26" t="str">
        <f t="shared" si="0"/>
        <v>{dwID=3254,nFrame=47,[17]={},[18]={},aFocus={{dwMapID=-1,nMaxDistance=60,tRelation={bAll=true,bEnemy=false,bAlly=false,},tLife={bEnable=false,szOperator="&gt;",nValue=0,},},},},</v>
      </c>
    </row>
    <row r="27" spans="1:22" x14ac:dyDescent="0.15">
      <c r="C27">
        <v>3454</v>
      </c>
      <c r="D27">
        <v>47</v>
      </c>
      <c r="S27" t="s">
        <v>3696</v>
      </c>
      <c r="T27" t="str">
        <f t="shared" si="0"/>
        <v>{dwID=3454,nFrame=47,[17]={},[18]={},aFocus={{dwMapID=-1,nMaxDistance=120,tRelation={bAll=true,bEnemy=false,bAlly=false,},tLife={bEnable=false,szOperator="&gt;",nValue=0,},},},},</v>
      </c>
    </row>
    <row r="28" spans="1:22" x14ac:dyDescent="0.15">
      <c r="C28">
        <v>5101</v>
      </c>
      <c r="D28">
        <v>47</v>
      </c>
      <c r="S28" t="s">
        <v>3696</v>
      </c>
      <c r="T28" t="str">
        <f t="shared" si="0"/>
        <v>{dwID=5101,nFrame=47,[17]={},[18]={},aFocus={{dwMapID=-1,nMaxDistance=120,tRelation={bAll=true,bEnemy=false,bAlly=false,},tLife={bEnable=false,szOperator="&gt;",nValue=0,},},},},</v>
      </c>
    </row>
    <row r="29" spans="1:22" x14ac:dyDescent="0.15">
      <c r="A29" t="s">
        <v>645</v>
      </c>
      <c r="B29">
        <v>1</v>
      </c>
      <c r="T29" t="str">
        <f t="shared" si="0"/>
        <v>},[1]={</v>
      </c>
    </row>
    <row r="30" spans="1:22" x14ac:dyDescent="0.15">
      <c r="C30">
        <v>4783</v>
      </c>
      <c r="D30">
        <v>47</v>
      </c>
      <c r="S30" t="s">
        <v>4028</v>
      </c>
      <c r="T30" t="str">
        <f t="shared" si="0"/>
        <v>{dwID=4783,nFrame=47,[17]={},[18]={},aFocus={{dwMapID=-1,nMaxDistance=20,tRelation={bAll=true,bEnemy=false,bAlly=false,},tLife={bEnable=false,szOperator="&gt;",nValue=0,},},},},</v>
      </c>
    </row>
    <row r="31" spans="1:22" x14ac:dyDescent="0.15">
      <c r="C31">
        <v>1809</v>
      </c>
      <c r="D31">
        <v>47</v>
      </c>
      <c r="I31" t="s">
        <v>4530</v>
      </c>
      <c r="S31" t="s">
        <v>4531</v>
      </c>
      <c r="T31" t="str">
        <f t="shared" si="0"/>
        <v>{dwID=1809,nFrame=47,szNote="隐藏任务·一个小药罐",[17]={},[18]={},aFocus={{dwMapID=-1,szDisplay="药罐子·隐藏任务",nMaxDistance=10,tRelation={bAll=true,bEnemy=false,bAlly=false,},tLife={bEnable=false,szOperator="&gt;",nValue=0,},},},},</v>
      </c>
    </row>
    <row r="32" spans="1:22" x14ac:dyDescent="0.15">
      <c r="C32">
        <v>7081</v>
      </c>
      <c r="D32">
        <v>47</v>
      </c>
      <c r="S32" t="s">
        <v>3627</v>
      </c>
      <c r="T32" t="str">
        <f t="shared" si="0"/>
        <v>{dwID=7081,nFrame=47,[17]={},[18]={},aFocus={{dwMapID=-1,nMaxDistance=10,tRelation={bAll=true,bEnemy=false,bAlly=false,},tLife={bEnable=false,szOperator="&gt;",nValue=0,},},},},</v>
      </c>
    </row>
    <row r="33" spans="1:20" x14ac:dyDescent="0.15">
      <c r="C33">
        <v>7077</v>
      </c>
      <c r="D33">
        <v>47</v>
      </c>
      <c r="S33" t="s">
        <v>4028</v>
      </c>
      <c r="T33" t="str">
        <f t="shared" si="0"/>
        <v>{dwID=7077,nFrame=47,[17]={},[18]={},aFocus={{dwMapID=-1,nMaxDistance=20,tRelation={bAll=true,bEnemy=false,bAlly=false,},tLife={bEnable=false,szOperator="&gt;",nValue=0,},},},},</v>
      </c>
    </row>
    <row r="34" spans="1:20" x14ac:dyDescent="0.15">
      <c r="C34">
        <v>4626</v>
      </c>
      <c r="D34">
        <v>47</v>
      </c>
      <c r="S34" t="s">
        <v>4532</v>
      </c>
      <c r="T34" t="str">
        <f t="shared" si="0"/>
        <v>{dwID=4626,nFrame=47,[17]={},[18]={},aFocus={{dwMapID=-1,szDisplay="香囊·隐藏任务",nMaxDistance=20,tRelation={bAll=true,bEnemy=false,bAlly=false,},tLife={bEnable=false,szOperator="&gt;",nValue=0,},},},},</v>
      </c>
    </row>
    <row r="35" spans="1:20" x14ac:dyDescent="0.15">
      <c r="C35">
        <v>4788</v>
      </c>
      <c r="D35">
        <v>47</v>
      </c>
      <c r="S35" t="s">
        <v>4533</v>
      </c>
      <c r="T35" t="str">
        <f t="shared" si="0"/>
        <v>{dwID=4788,nFrame=47,[17]={},[18]={},aFocus={{dwMapID=-1,szDisplay="告示三·无食我黍",nMaxDistance=10,tRelation={bAll=true,bEnemy=false,bAlly=false,},tLife={bEnable=false,szOperator="&gt;",nValue=0,},},},},</v>
      </c>
    </row>
    <row r="36" spans="1:20" x14ac:dyDescent="0.15">
      <c r="C36">
        <v>1808</v>
      </c>
      <c r="D36">
        <v>47</v>
      </c>
      <c r="S36" t="s">
        <v>3731</v>
      </c>
      <c r="T36" t="str">
        <f t="shared" si="0"/>
        <v>{dwID=1808,nFrame=47,[17]={},[18]={},aFocus={{dwMapID=-1,nMaxDistance=3,tRelation={bAll=true,bEnemy=false,bAlly=false,},tLife={bEnable=false,szOperator="&gt;",nValue=0,},},},},</v>
      </c>
    </row>
    <row r="37" spans="1:20" x14ac:dyDescent="0.15">
      <c r="C37">
        <v>20</v>
      </c>
      <c r="D37">
        <v>47</v>
      </c>
      <c r="S37" t="s">
        <v>3621</v>
      </c>
      <c r="T37" t="str">
        <f t="shared" si="0"/>
        <v>{dwID=20,nFrame=47,[17]={},[18]={},aFocus={{dwMapID=-1,nMaxDistance=6,tRelation={bAll=true,bEnemy=false,bAlly=false,},tLife={bEnable=false,szOperator="&gt;",nValue=0,},},},},</v>
      </c>
    </row>
    <row r="38" spans="1:20" x14ac:dyDescent="0.15">
      <c r="A38" t="s">
        <v>232</v>
      </c>
      <c r="B38">
        <v>2</v>
      </c>
      <c r="T38" t="str">
        <f t="shared" si="0"/>
        <v>},[2]={</v>
      </c>
    </row>
    <row r="39" spans="1:20" x14ac:dyDescent="0.15">
      <c r="C39">
        <v>5937</v>
      </c>
      <c r="D39">
        <v>47</v>
      </c>
      <c r="I39" t="s">
        <v>2503</v>
      </c>
      <c r="S39" t="s">
        <v>3731</v>
      </c>
      <c r="T39" t="str">
        <f t="shared" si="0"/>
        <v>{dwID=5937,nFrame=47,szNote="门派事件",[17]={},[18]={},aFocus={{dwMapID=-1,nMaxDistance=3,tRelation={bAll=true,bEnemy=false,bAlly=false,},tLife={bEnable=false,szOperator="&gt;",nValue=0,},},},},</v>
      </c>
    </row>
    <row r="40" spans="1:20" x14ac:dyDescent="0.15">
      <c r="C40">
        <v>5953</v>
      </c>
      <c r="D40">
        <v>47</v>
      </c>
      <c r="I40" t="s">
        <v>2503</v>
      </c>
      <c r="S40" t="s">
        <v>3732</v>
      </c>
      <c r="T40" t="str">
        <f t="shared" si="0"/>
        <v>{dwID=5953,nFrame=47,szNote="门派事件",[17]={},[18]={},aFocus={{dwMapID=-1,nMaxDistance=1,tRelation={bAll=true,bEnemy=false,bAlly=false,},tLife={bEnable=false,szOperator="&gt;",nValue=0,},},},},</v>
      </c>
    </row>
    <row r="41" spans="1:20" x14ac:dyDescent="0.15">
      <c r="C41">
        <v>6088</v>
      </c>
      <c r="D41">
        <v>47</v>
      </c>
      <c r="S41" t="s">
        <v>4520</v>
      </c>
      <c r="T41" t="str">
        <f t="shared" si="0"/>
        <v>{dwID=6088,nFrame=47,[17]={},[18]={},aFocus={{dwMapID=-1,szDisplay="鲜花束·艺人",nMaxDistance=60,tRelation={bAll=true,bEnemy=false,bAlly=false,},tLife={bEnable=false,szOperator="&gt;",nValue=0,},},},},</v>
      </c>
    </row>
    <row r="42" spans="1:20" x14ac:dyDescent="0.15">
      <c r="C42">
        <v>5938</v>
      </c>
      <c r="D42">
        <v>47</v>
      </c>
      <c r="I42" t="s">
        <v>2503</v>
      </c>
      <c r="S42" t="s">
        <v>4534</v>
      </c>
      <c r="T42" t="str">
        <f t="shared" si="0"/>
        <v>{dwID=5938,nFrame=47,szNote="门派事件",[17]={},[18]={},aFocus={{dwMapID=-1,szDisplay="炼药炉·门派事件",nMaxDistance=6,tRelation={bAll=true,bEnemy=false,bAlly=false,},tLife={bEnable=false,szOperator="&gt;",nValue=0,},},},},</v>
      </c>
    </row>
    <row r="43" spans="1:20" x14ac:dyDescent="0.15">
      <c r="C43">
        <v>5876</v>
      </c>
      <c r="D43">
        <v>47</v>
      </c>
      <c r="I43" t="s">
        <v>2503</v>
      </c>
      <c r="S43" t="s">
        <v>4535</v>
      </c>
      <c r="T43" t="str">
        <f t="shared" si="0"/>
        <v>{dwID=5876,nFrame=47,szNote="门派事件",[17]={},[18]={},aFocus={{dwMapID=-1,szDisplay="曦芜花·门派事件",nMaxDistance=10,tRelation={bAll=true,bEnemy=false,bAlly=false,},tLife={bEnable=false,szOperator="&gt;",nValue=0,},},},},</v>
      </c>
    </row>
    <row r="44" spans="1:20" x14ac:dyDescent="0.15">
      <c r="C44">
        <v>5950</v>
      </c>
      <c r="D44">
        <v>47</v>
      </c>
      <c r="I44" t="s">
        <v>2503</v>
      </c>
      <c r="S44" t="s">
        <v>4536</v>
      </c>
      <c r="T44" t="str">
        <f t="shared" si="0"/>
        <v>{dwID=5950,nFrame=47,szNote="门派事件",[17]={},[18]={},aFocus={{dwMapID=-1,szDisplay="毒圈·门派事件",nMaxDistance=6,tRelation={bAll=true,bEnemy=false,bAlly=false,},tLife={bEnable=false,szOperator="&gt;",nValue=0,},},},},</v>
      </c>
    </row>
    <row r="45" spans="1:20" x14ac:dyDescent="0.15">
      <c r="C45">
        <v>5878</v>
      </c>
      <c r="D45">
        <v>47</v>
      </c>
      <c r="I45" t="s">
        <v>2503</v>
      </c>
      <c r="T45" t="str">
        <f t="shared" si="0"/>
        <v>{dwID=5878,nFrame=47,szNote="门派事件",[17]={},[18]={},},</v>
      </c>
    </row>
    <row r="46" spans="1:20" x14ac:dyDescent="0.15">
      <c r="C46">
        <v>5923</v>
      </c>
      <c r="D46">
        <v>47</v>
      </c>
      <c r="I46" t="s">
        <v>2503</v>
      </c>
      <c r="S46" t="s">
        <v>4537</v>
      </c>
      <c r="T46" t="str">
        <f t="shared" si="0"/>
        <v>{dwID=5923,nFrame=47,szNote="门派事件",[17]={},[18]={},aFocus={{dwMapID=-1,szDisplay="绷带药箱·门派事件",nMaxDistance=4,tRelation={bAll=true,bEnemy=false,bAlly=false,},tLife={bEnable=false,szOperator="&gt;",nValue=0,},},},},</v>
      </c>
    </row>
    <row r="47" spans="1:20" x14ac:dyDescent="0.15">
      <c r="C47">
        <v>5952</v>
      </c>
      <c r="D47">
        <v>47</v>
      </c>
      <c r="I47" t="s">
        <v>2503</v>
      </c>
      <c r="S47" t="s">
        <v>4538</v>
      </c>
      <c r="T47" t="str">
        <f t="shared" si="0"/>
        <v>{dwID=5952,nFrame=47,szNote="门派事件",[17]={},[18]={},aFocus={{dwMapID=-1,szDisplay="汤药炉·门派事件",nMaxDistance=4,tRelation={bAll=true,bEnemy=false,bAlly=false,},tLife={bEnable=false,szOperator="&gt;",nValue=0,},},},},</v>
      </c>
    </row>
    <row r="48" spans="1:20" x14ac:dyDescent="0.15">
      <c r="C48">
        <v>5954</v>
      </c>
      <c r="D48">
        <v>47</v>
      </c>
      <c r="G48" t="s">
        <v>4539</v>
      </c>
      <c r="I48" t="s">
        <v>2503</v>
      </c>
      <c r="S48" t="s">
        <v>4540</v>
      </c>
      <c r="T48" t="str">
        <f t="shared" si="0"/>
        <v>{dwID=5954,nFrame=47,szName="花苗",szNote="门派事件",[17]={},[18]={},aFocus={{dwMapID=-1,szDisplay="花苗",nMaxDistance=6,tRelation={bAll=true,bEnemy=false,bAlly=false,},tLife={bEnable=false,szOperator="&gt;",nValue=0,},},},},</v>
      </c>
    </row>
    <row r="49" spans="1:20" x14ac:dyDescent="0.15">
      <c r="C49">
        <v>5955</v>
      </c>
      <c r="D49">
        <v>47</v>
      </c>
      <c r="G49" t="s">
        <v>4539</v>
      </c>
      <c r="I49" t="s">
        <v>2503</v>
      </c>
      <c r="S49" t="s">
        <v>4540</v>
      </c>
      <c r="T49" t="str">
        <f t="shared" si="0"/>
        <v>{dwID=5955,nFrame=47,szName="花苗",szNote="门派事件",[17]={},[18]={},aFocus={{dwMapID=-1,szDisplay="花苗",nMaxDistance=6,tRelation={bAll=true,bEnemy=false,bAlly=false,},tLife={bEnable=false,szOperator="&gt;",nValue=0,},},},},</v>
      </c>
    </row>
    <row r="50" spans="1:20" x14ac:dyDescent="0.15">
      <c r="C50">
        <v>5956</v>
      </c>
      <c r="D50">
        <v>47</v>
      </c>
      <c r="G50" t="s">
        <v>4539</v>
      </c>
      <c r="I50" t="s">
        <v>2503</v>
      </c>
      <c r="S50" t="s">
        <v>4540</v>
      </c>
      <c r="T50" t="str">
        <f t="shared" si="0"/>
        <v>{dwID=5956,nFrame=47,szName="花苗",szNote="门派事件",[17]={},[18]={},aFocus={{dwMapID=-1,szDisplay="花苗",nMaxDistance=6,tRelation={bAll=true,bEnemy=false,bAlly=false,},tLife={bEnable=false,szOperator="&gt;",nValue=0,},},},},</v>
      </c>
    </row>
    <row r="51" spans="1:20" x14ac:dyDescent="0.15">
      <c r="C51">
        <v>5951</v>
      </c>
      <c r="D51">
        <v>47</v>
      </c>
      <c r="I51" t="s">
        <v>2503</v>
      </c>
      <c r="S51" t="s">
        <v>4541</v>
      </c>
      <c r="T51" t="str">
        <f t="shared" si="0"/>
        <v>{dwID=5951,nFrame=47,szNote="门派事件",[17]={},[18]={},aFocus={{dwMapID=-1,nMaxDistance=0.8,tRelation={bAll=true,bEnemy=false,bAlly=false,},tLife={bEnable=false,szOperator="&gt;",nValue=0,},},},},</v>
      </c>
    </row>
    <row r="52" spans="1:20" x14ac:dyDescent="0.15">
      <c r="C52">
        <v>5883</v>
      </c>
      <c r="D52">
        <v>47</v>
      </c>
      <c r="I52" t="s">
        <v>2503</v>
      </c>
      <c r="S52" t="s">
        <v>4542</v>
      </c>
      <c r="T52" t="str">
        <f t="shared" si="0"/>
        <v>{dwID=5883,nFrame=47,szNote="门派事件",[17]={},[18]={},aFocus={{dwMapID=-1,nMaxDistance=0.5,tRelation={bAll=true,bEnemy=false,bAlly=false,},tLife={bEnable=false,szOperator="&gt;",nValue=0,},},},},</v>
      </c>
    </row>
    <row r="53" spans="1:20" x14ac:dyDescent="0.15">
      <c r="C53">
        <v>5884</v>
      </c>
      <c r="D53">
        <v>47</v>
      </c>
      <c r="I53" t="s">
        <v>2503</v>
      </c>
      <c r="S53" t="s">
        <v>4542</v>
      </c>
      <c r="T53" t="str">
        <f t="shared" si="0"/>
        <v>{dwID=5884,nFrame=47,szNote="门派事件",[17]={},[18]={},aFocus={{dwMapID=-1,nMaxDistance=0.5,tRelation={bAll=true,bEnemy=false,bAlly=false,},tLife={bEnable=false,szOperator="&gt;",nValue=0,},},},},</v>
      </c>
    </row>
    <row r="54" spans="1:20" x14ac:dyDescent="0.15">
      <c r="C54">
        <v>4696</v>
      </c>
      <c r="D54">
        <v>47</v>
      </c>
      <c r="I54" t="s">
        <v>4543</v>
      </c>
      <c r="S54" t="s">
        <v>4544</v>
      </c>
      <c r="T54" t="str">
        <f t="shared" si="0"/>
        <v>{dwID=4696,nFrame=47,szNote="孩童书·散落的书页",[17]={},[18]={},aFocus={{dwMapID=-1,szDisplay="散落的书页·孩童书",nMaxDistance=0,tRelation={bAll=true,bEnemy=false,bAlly=false,},tLife={bEnable=false,szOperator="&gt;",nValue=0,},},},},</v>
      </c>
    </row>
    <row r="55" spans="1:20" x14ac:dyDescent="0.15">
      <c r="A55" t="s">
        <v>665</v>
      </c>
      <c r="B55">
        <v>5</v>
      </c>
      <c r="T55" t="str">
        <f t="shared" si="0"/>
        <v>},[5]={</v>
      </c>
    </row>
    <row r="56" spans="1:20" x14ac:dyDescent="0.15">
      <c r="C56">
        <v>6550</v>
      </c>
      <c r="D56">
        <v>47</v>
      </c>
      <c r="G56" t="s">
        <v>4545</v>
      </c>
      <c r="S56" t="s">
        <v>4546</v>
      </c>
      <c r="T56" t="str">
        <f t="shared" si="0"/>
        <v>{dwID=6550,nFrame=47,szName="{$D6550}·气血",[17]={},[18]={},aFocus={{dwMapID=-1,szDisplay="香炉·气血",nMaxDistance=60,tRelation={bAll=true,bEnemy=false,bAlly=false,},tLife={bEnable=false,szOperator="&gt;",nValue=0,},},},},</v>
      </c>
    </row>
    <row r="57" spans="1:20" x14ac:dyDescent="0.15">
      <c r="C57">
        <v>6551</v>
      </c>
      <c r="D57">
        <v>47</v>
      </c>
      <c r="G57" t="s">
        <v>4547</v>
      </c>
      <c r="S57" t="s">
        <v>4548</v>
      </c>
      <c r="T57" t="str">
        <f t="shared" si="0"/>
        <v>{dwID=6551,nFrame=47,szName="{$D6551}·消怨念",[17]={},[18]={},aFocus={{dwMapID=-1,szDisplay="香炉·消怨念",nMaxDistance=60,tRelation={bAll=true,bEnemy=false,bAlly=false,},tLife={bEnable=false,szOperator="&gt;",nValue=0,},},},},</v>
      </c>
    </row>
    <row r="58" spans="1:20" x14ac:dyDescent="0.15">
      <c r="C58">
        <v>6548</v>
      </c>
      <c r="D58">
        <v>47</v>
      </c>
      <c r="G58" t="s">
        <v>4549</v>
      </c>
      <c r="S58" t="s">
        <v>4550</v>
      </c>
      <c r="T58" t="str">
        <f t="shared" si="0"/>
        <v>{dwID=6548,nFrame=47,szName="{$D6548}·帮战",[17]={},[18]={},aFocus={{dwMapID=-1,szDisplay="香炉·帮战",nMaxDistance=60,tRelation={bAll=true,bEnemy=false,bAlly=false,},tLife={bEnable=false,szOperator="&gt;",nValue=0,},},},},</v>
      </c>
    </row>
    <row r="59" spans="1:20" x14ac:dyDescent="0.15">
      <c r="C59">
        <v>5966</v>
      </c>
      <c r="D59">
        <v>47</v>
      </c>
      <c r="S59" t="s">
        <v>4551</v>
      </c>
      <c r="T59" t="str">
        <f t="shared" si="0"/>
        <v>{dwID=5966,nFrame=47,[17]={},[18]={},aFocus={{dwMapID=-1,szDisplay="门派事件·紫韵莲芯",nMaxDistance=10,tRelation={bAll=true,bEnemy=false,bAlly=false,},tLife={bEnable=false,szOperator="&gt;",nValue=0,},},},},</v>
      </c>
    </row>
    <row r="60" spans="1:20" x14ac:dyDescent="0.15">
      <c r="C60">
        <v>5965</v>
      </c>
      <c r="D60">
        <v>47</v>
      </c>
      <c r="S60" t="s">
        <v>4552</v>
      </c>
      <c r="T60" t="str">
        <f t="shared" si="0"/>
        <v>{dwID=5965,nFrame=47,[17]={},[18]={},aFocus={{dwMapID=-1,szDisplay="门派事件·金蝉花",nMaxDistance=10,tRelation={bAll=true,bEnemy=false,bAlly=false,},tLife={bEnable=false,szOperator="&gt;",nValue=0,},},},},</v>
      </c>
    </row>
    <row r="61" spans="1:20" x14ac:dyDescent="0.15">
      <c r="C61">
        <v>4582</v>
      </c>
      <c r="D61">
        <v>47</v>
      </c>
      <c r="G61" t="s">
        <v>4553</v>
      </c>
      <c r="N61">
        <v>1</v>
      </c>
      <c r="S61" t="s">
        <v>4554</v>
      </c>
      <c r="T61" t="str">
        <f t="shared" si="0"/>
        <v>{dwID=4582,nFrame=47,szName="酒葫芦·小果",[17]={bCenterAlarm=true,},[18]={},aFocus={{dwMapID=-1,szDisplay="酒葫芦·小果",nMaxDistance=0,tRelation={bAll=true,bEnemy=false,bAlly=false,},tLife={bEnable=false,szOperator="&gt;",nValue=0,},},},},</v>
      </c>
    </row>
    <row r="62" spans="1:20" x14ac:dyDescent="0.15">
      <c r="A62" t="s">
        <v>671</v>
      </c>
      <c r="B62">
        <v>6</v>
      </c>
      <c r="T62" t="str">
        <f t="shared" si="0"/>
        <v>},[6]={</v>
      </c>
    </row>
    <row r="63" spans="1:20" x14ac:dyDescent="0.15">
      <c r="C63">
        <v>1767</v>
      </c>
      <c r="D63">
        <v>47</v>
      </c>
      <c r="S63" t="s">
        <v>3622</v>
      </c>
      <c r="T63" t="str">
        <f t="shared" si="0"/>
        <v>{dwID=1767,nFrame=47,[17]={},[18]={},aFocus={{dwMapID=-1,nMaxDistance=30,tRelation={bAll=true,bEnemy=false,bAlly=false,},tLife={bEnable=false,szOperator="&gt;",nValue=0,},},},},</v>
      </c>
    </row>
    <row r="64" spans="1:20" x14ac:dyDescent="0.15">
      <c r="C64">
        <v>6914</v>
      </c>
      <c r="D64">
        <v>47</v>
      </c>
      <c r="I64" t="s">
        <v>4555</v>
      </c>
      <c r="S64" t="s">
        <v>4556</v>
      </c>
      <c r="T64" t="str">
        <f t="shared" si="0"/>
        <v>{dwID=6914,nFrame=47,szNote="烟花戏·埋东西的痕迹",[17]={},[18]={},aFocus={{dwMapID=-1,szDisplay="埋东西的痕迹·烟花戏",nMaxDistance=30,tRelation={bAll=true,bEnemy=false,bAlly=false,},tLife={bEnable=false,szOperator="&gt;",nValue=0,},},},},</v>
      </c>
    </row>
    <row r="65" spans="1:20" x14ac:dyDescent="0.15">
      <c r="A65" t="s">
        <v>675</v>
      </c>
      <c r="B65">
        <v>7</v>
      </c>
      <c r="T65" t="str">
        <f t="shared" si="0"/>
        <v>},[7]={</v>
      </c>
    </row>
    <row r="66" spans="1:20" x14ac:dyDescent="0.15">
      <c r="C66">
        <v>5949</v>
      </c>
      <c r="D66">
        <v>47</v>
      </c>
      <c r="S66" t="s">
        <v>4557</v>
      </c>
      <c r="T66" t="str">
        <f t="shared" ref="T66:T129" si="1">IF(ISBLANK(B66)=FALSE,IF(ISBLANK(B65),"},["&amp;B66&amp;"]={","["&amp;B66&amp;"]={"),IF(AND(ISBLANK(B66),ISBLANK(D66),ISBLANK(C66),OR(ISBLANK(B65)=FALSE,ISBLANK(D65)=FALSE,ISBLANK(C65)=FALSE)),"},},}",IF(ISBLANK(C66),"","{dwID="&amp;C66&amp;","&amp;"nFrame="&amp;D66&amp;","&amp;IF(E66&gt;0,"nCount="&amp;E66&amp;",","")&amp;IF(F66&gt;0,"bAllLeave=true,","")&amp;IF(G66&lt;&gt;"","szName="""&amp;G66&amp;""",","")&amp;IF(H66&lt;&gt;"","tKungFu={"&amp;H66&amp;"},","")&amp;IF(I66&lt;&gt;"","szNote="""&amp;I66&amp;""",","")&amp;IF(J66&lt;&gt;"","col={"&amp;J66&amp;"},","")&amp;"[17]={"&amp;IF(K66&lt;&gt;"","szVoice="""&amp;K66&amp;""",","")&amp;IF(L66&gt;0,"bTeamChannel=true,","")&amp;IF(M66&gt;0,"bWhisperChannel=true,","")&amp;IF(N66&gt;0,"bCenterAlarm=true,","")&amp;"},"&amp;"[18]={"&amp;IF(O66&lt;&gt;"","szVoice="""&amp;O66&amp;""",","")&amp;IF(P66&gt;0,"bTeamChannel=true,","")&amp;IF(Q66&gt;0,"bWhisperChannel=true,","")&amp;IF(R66&gt;0,"bCenterAlarm=true,","")&amp;"},"&amp;IF(S66&lt;&gt;"","aFocus={"&amp;S66&amp;"},","")&amp;IF(U66&lt;&gt;"","tCountdown={"&amp;_xlfn.TEXTJOIN("",TRUE,U66:ZZ66)&amp;"},","")&amp;"},")))</f>
        <v>{dwID=5949,nFrame=47,[17]={},[18]={},aFocus={{dwMapID=-1,szDisplay="纯阳香案·取香",nMaxDistance=20,tRelation={bAll=true,bEnemy=false,bAlly=false,},tLife={bEnable=false,szOperator="&gt;",nValue=0,},},},},</v>
      </c>
    </row>
    <row r="67" spans="1:20" x14ac:dyDescent="0.15">
      <c r="C67">
        <v>5945</v>
      </c>
      <c r="D67">
        <v>47</v>
      </c>
      <c r="S67" t="s">
        <v>4558</v>
      </c>
      <c r="T67" t="str">
        <f t="shared" si="1"/>
        <v>{dwID=5945,nFrame=47,[17]={},[18]={},aFocus={{dwMapID=-1,szDisplay="纯阳烛台·点香",nMaxDistance=3,tRelation={bAll=true,bEnemy=false,bAlly=false,},tLife={bEnable=false,szOperator="&gt;",nValue=0,},},},},</v>
      </c>
    </row>
    <row r="68" spans="1:20" x14ac:dyDescent="0.15">
      <c r="C68">
        <v>5946</v>
      </c>
      <c r="D68">
        <v>47</v>
      </c>
      <c r="S68" t="s">
        <v>4559</v>
      </c>
      <c r="T68" t="str">
        <f t="shared" si="1"/>
        <v>{dwID=5946,nFrame=47,[17]={},[18]={},aFocus={{dwMapID=-1,szDisplay="香炉·上香",nMaxDistance=30,tRelation={bAll=true,bEnemy=false,bAlly=false,},tLife={bEnable=false,szOperator="&gt;",nValue=0,},},},},</v>
      </c>
    </row>
    <row r="69" spans="1:20" x14ac:dyDescent="0.15">
      <c r="C69">
        <v>5893</v>
      </c>
      <c r="D69">
        <v>47</v>
      </c>
      <c r="S69" t="s">
        <v>3621</v>
      </c>
      <c r="T69" t="str">
        <f t="shared" si="1"/>
        <v>{dwID=5893,nFrame=47,[17]={},[18]={},aFocus={{dwMapID=-1,nMaxDistance=6,tRelation={bAll=true,bEnemy=false,bAlly=false,},tLife={bEnable=false,szOperator="&gt;",nValue=0,},},},},</v>
      </c>
    </row>
    <row r="70" spans="1:20" x14ac:dyDescent="0.15">
      <c r="C70">
        <v>5886</v>
      </c>
      <c r="D70">
        <v>47</v>
      </c>
      <c r="S70" t="s">
        <v>3627</v>
      </c>
      <c r="T70" t="str">
        <f t="shared" si="1"/>
        <v>{dwID=5886,nFrame=47,[17]={},[18]={},aFocus={{dwMapID=-1,nMaxDistance=10,tRelation={bAll=true,bEnemy=false,bAlly=false,},tLife={bEnable=false,szOperator="&gt;",nValue=0,},},},},</v>
      </c>
    </row>
    <row r="71" spans="1:20" x14ac:dyDescent="0.15">
      <c r="C71">
        <v>5887</v>
      </c>
      <c r="D71">
        <v>47</v>
      </c>
      <c r="S71" t="s">
        <v>3627</v>
      </c>
      <c r="T71" t="str">
        <f t="shared" si="1"/>
        <v>{dwID=5887,nFrame=47,[17]={},[18]={},aFocus={{dwMapID=-1,nMaxDistance=10,tRelation={bAll=true,bEnemy=false,bAlly=false,},tLife={bEnable=false,szOperator="&gt;",nValue=0,},},},},</v>
      </c>
    </row>
    <row r="72" spans="1:20" x14ac:dyDescent="0.15">
      <c r="C72">
        <v>5888</v>
      </c>
      <c r="D72">
        <v>47</v>
      </c>
      <c r="S72" t="s">
        <v>3627</v>
      </c>
      <c r="T72" t="str">
        <f t="shared" si="1"/>
        <v>{dwID=5888,nFrame=47,[17]={},[18]={},aFocus={{dwMapID=-1,nMaxDistance=10,tRelation={bAll=true,bEnemy=false,bAlly=false,},tLife={bEnable=false,szOperator="&gt;",nValue=0,},},},},</v>
      </c>
    </row>
    <row r="73" spans="1:20" x14ac:dyDescent="0.15">
      <c r="A73" t="s">
        <v>679</v>
      </c>
      <c r="B73">
        <v>8</v>
      </c>
      <c r="T73" t="str">
        <f t="shared" si="1"/>
        <v>},[8]={</v>
      </c>
    </row>
    <row r="74" spans="1:20" x14ac:dyDescent="0.15">
      <c r="C74">
        <v>4706</v>
      </c>
      <c r="D74">
        <v>47</v>
      </c>
      <c r="G74" t="s">
        <v>4560</v>
      </c>
      <c r="J74" t="s">
        <v>2152</v>
      </c>
      <c r="N74">
        <v>1</v>
      </c>
      <c r="S74" t="s">
        <v>4561</v>
      </c>
      <c r="T74" t="str">
        <f t="shared" si="1"/>
        <v>{dwID=4706,nFrame=47,szName="小土堆·小花",col={0,255,255,},[17]={bCenterAlarm=true,},[18]={},aFocus={{dwMapID=-1,szDisplay="小土堆·小花",nMaxDistance=0,tRelation={bAll=true,bEnemy=false,bAlly=false,},tLife={bEnable=false,szOperator="&gt;",nValue=0,},},},},</v>
      </c>
    </row>
    <row r="75" spans="1:20" x14ac:dyDescent="0.15">
      <c r="A75" t="s">
        <v>684</v>
      </c>
      <c r="B75">
        <v>9</v>
      </c>
      <c r="T75" t="str">
        <f t="shared" si="1"/>
        <v>},[9]={</v>
      </c>
    </row>
    <row r="76" spans="1:20" x14ac:dyDescent="0.15">
      <c r="C76">
        <v>8762</v>
      </c>
      <c r="D76">
        <v>47</v>
      </c>
      <c r="I76" t="s">
        <v>4562</v>
      </c>
      <c r="S76" t="s">
        <v>4563</v>
      </c>
      <c r="T76" t="str">
        <f t="shared" si="1"/>
        <v>{dwID=8762,nFrame=47,szNote="尘网中·半本秘诀",[17]={},[18]={},aFocus={{dwMapID=-1,szDisplay="半本秘诀·尘网中",nMaxDistance=60,tRelation={bAll=true,bEnemy=false,bAlly=false,},tLife={bEnable=false,szOperator="&gt;",nValue=0,},},},},</v>
      </c>
    </row>
    <row r="77" spans="1:20" x14ac:dyDescent="0.15">
      <c r="C77">
        <v>4776</v>
      </c>
      <c r="D77">
        <v>47</v>
      </c>
      <c r="I77" t="s">
        <v>4564</v>
      </c>
      <c r="S77" t="s">
        <v>4565</v>
      </c>
      <c r="T77" t="str">
        <f t="shared" si="1"/>
        <v>{dwID=4776,nFrame=47,szNote="红衣歌·小泥娃娃",[17]={},[18]={},aFocus={{dwMapID=-1,szDisplay="小泥娃娃·红衣歌",nMaxDistance=60,tRelation={bAll=true,bEnemy=false,bAlly=false,},tLife={bEnable=false,szOperator="&gt;",nValue=0,},},},},</v>
      </c>
    </row>
    <row r="78" spans="1:20" x14ac:dyDescent="0.15">
      <c r="A78" t="s">
        <v>687</v>
      </c>
      <c r="B78">
        <v>10</v>
      </c>
      <c r="T78" t="str">
        <f t="shared" si="1"/>
        <v>},[10]={</v>
      </c>
    </row>
    <row r="79" spans="1:20" x14ac:dyDescent="0.15">
      <c r="C79">
        <v>6093</v>
      </c>
      <c r="D79">
        <v>47</v>
      </c>
      <c r="I79" t="s">
        <v>4566</v>
      </c>
      <c r="S79" t="s">
        <v>4567</v>
      </c>
      <c r="T79" t="str">
        <f t="shared" si="1"/>
        <v>{dwID=6093,nFrame=47,szNote="破晓鸣·诱捕的笼子",[17]={},[18]={},aFocus={{dwMapID=-1,szDisplay="诱捕的笼子·破晓鸣",nMaxDistance=10,tRelation={bAll=true,bEnemy=false,bAlly=false,},tLife={bEnable=false,szOperator="&gt;",nValue=0,},},},},</v>
      </c>
    </row>
    <row r="80" spans="1:20" x14ac:dyDescent="0.15">
      <c r="A80" t="s">
        <v>691</v>
      </c>
      <c r="B80">
        <v>11</v>
      </c>
      <c r="T80" t="str">
        <f t="shared" si="1"/>
        <v>},[11]={</v>
      </c>
    </row>
    <row r="81" spans="1:20" x14ac:dyDescent="0.15">
      <c r="C81">
        <v>3359</v>
      </c>
      <c r="D81">
        <v>47</v>
      </c>
      <c r="S81" t="s">
        <v>3696</v>
      </c>
      <c r="T81" t="str">
        <f t="shared" si="1"/>
        <v>{dwID=3359,nFrame=47,[17]={},[18]={},aFocus={{dwMapID=-1,nMaxDistance=120,tRelation={bAll=true,bEnemy=false,bAlly=false,},tLife={bEnable=false,szOperator="&gt;",nValue=0,},},},},</v>
      </c>
    </row>
    <row r="82" spans="1:20" x14ac:dyDescent="0.15">
      <c r="A82" t="s">
        <v>233</v>
      </c>
      <c r="B82">
        <v>16</v>
      </c>
      <c r="T82" t="str">
        <f t="shared" si="1"/>
        <v>},[16]={</v>
      </c>
    </row>
    <row r="83" spans="1:20" x14ac:dyDescent="0.15">
      <c r="C83">
        <v>5851</v>
      </c>
      <c r="D83">
        <v>47</v>
      </c>
      <c r="I83" t="s">
        <v>2503</v>
      </c>
      <c r="S83" t="s">
        <v>3731</v>
      </c>
      <c r="T83" t="str">
        <f t="shared" si="1"/>
        <v>{dwID=5851,nFrame=47,szNote="门派事件",[17]={},[18]={},aFocus={{dwMapID=-1,nMaxDistance=3,tRelation={bAll=true,bEnemy=false,bAlly=false,},tLife={bEnable=false,szOperator="&gt;",nValue=0,},},},},</v>
      </c>
    </row>
    <row r="84" spans="1:20" x14ac:dyDescent="0.15">
      <c r="C84">
        <v>6915</v>
      </c>
      <c r="D84">
        <v>47</v>
      </c>
      <c r="I84" t="s">
        <v>4568</v>
      </c>
      <c r="S84" t="s">
        <v>4569</v>
      </c>
      <c r="T84" t="str">
        <f t="shared" si="1"/>
        <v>{dwID=6915,nFrame=47,szNote="烟花戏·秋·川芎",[17]={},[18]={},aFocus={{dwMapID=-1,szDisplay="川芎·烟花戏·秋",nMaxDistance=30,tRelation={bAll=true,bEnemy=false,bAlly=false,},tLife={bEnable=false,szOperator="&gt;",nValue=0,},},},},</v>
      </c>
    </row>
    <row r="85" spans="1:20" x14ac:dyDescent="0.15">
      <c r="C85">
        <v>4774</v>
      </c>
      <c r="D85">
        <v>47</v>
      </c>
      <c r="I85" t="s">
        <v>4570</v>
      </c>
      <c r="S85" t="s">
        <v>4571</v>
      </c>
      <c r="T85" t="str">
        <f t="shared" si="1"/>
        <v>{dwID=4774,nFrame=47,szNote="捉妖记·藏着木头鱼的",[17]={},[18]={},aFocus={{dwMapID=-1,szDisplay="藏着木头鱼的鱼篓·捉妖记",nMaxDistance=90,tRelation={bAll=true,bEnemy=false,bAlly=false,},tLife={bEnable=false,szOperator="&gt;",nValue=0,},},},},</v>
      </c>
    </row>
    <row r="86" spans="1:20" x14ac:dyDescent="0.15">
      <c r="C86">
        <v>4705</v>
      </c>
      <c r="D86">
        <v>47</v>
      </c>
      <c r="I86" t="s">
        <v>4572</v>
      </c>
      <c r="S86" t="s">
        <v>4573</v>
      </c>
      <c r="T86" t="str">
        <f t="shared" si="1"/>
        <v>{dwID=4705,nFrame=47,szNote="捉妖记·风筝",[17]={},[18]={},aFocus={{dwMapID=-1,szDisplay="风筝·捉妖记",nMaxDistance=60,tRelation={bAll=true,bEnemy=false,bAlly=false,},tLife={bEnable=false,szOperator="&gt;",nValue=0,},},},},</v>
      </c>
    </row>
    <row r="87" spans="1:20" x14ac:dyDescent="0.15">
      <c r="A87" t="s">
        <v>711</v>
      </c>
      <c r="B87">
        <v>21</v>
      </c>
      <c r="T87" t="str">
        <f t="shared" si="1"/>
        <v>},[21]={</v>
      </c>
    </row>
    <row r="88" spans="1:20" x14ac:dyDescent="0.15">
      <c r="C88">
        <v>6277</v>
      </c>
      <c r="D88">
        <v>47</v>
      </c>
      <c r="N88">
        <v>1</v>
      </c>
      <c r="S88" t="s">
        <v>4574</v>
      </c>
      <c r="T88" t="str">
        <f t="shared" si="1"/>
        <v>{dwID=6277,nFrame=47,[17]={bCenterAlarm=true,},[18]={},aFocus={{dwMapID=-1,szDisplay="财宝箱·御兽挑战",nMaxDistance=0,tRelation={bAll=true,bEnemy=false,bAlly=false,},tLife={bEnable=false,szOperator="&gt;",nValue=0,},},},},</v>
      </c>
    </row>
    <row r="89" spans="1:20" x14ac:dyDescent="0.15">
      <c r="C89">
        <v>3444</v>
      </c>
      <c r="D89">
        <v>47</v>
      </c>
      <c r="I89" t="s">
        <v>4575</v>
      </c>
      <c r="N89">
        <v>1</v>
      </c>
      <c r="S89" t="s">
        <v>4576</v>
      </c>
      <c r="T89" t="str">
        <f t="shared" si="1"/>
        <v>{dwID=3444,nFrame=47,szNote="方超的信物",[17]={bCenterAlarm=true,},[18]={},aFocus={{dwMapID=-1,szDisplay="方超信物·阵营前置",nMaxDistance=0,tRelation={bAll=true,bEnemy=false,bAlly=false,},tLife={bEnable=false,szOperator="&gt;",nValue=0,},},},},</v>
      </c>
    </row>
    <row r="90" spans="1:20" x14ac:dyDescent="0.15">
      <c r="C90">
        <v>3443</v>
      </c>
      <c r="D90">
        <v>47</v>
      </c>
      <c r="I90" t="s">
        <v>4577</v>
      </c>
      <c r="N90">
        <v>1</v>
      </c>
      <c r="S90" t="s">
        <v>4578</v>
      </c>
      <c r="T90" t="str">
        <f t="shared" si="1"/>
        <v>{dwID=3443,nFrame=47,szNote="赵新宇的信物",[17]={bCenterAlarm=true,},[18]={},aFocus={{dwMapID=-1,szDisplay="赵新宇信物·阵营前置",nMaxDistance=0,tRelation={bAll=true,bEnemy=false,bAlly=false,},tLife={bEnable=false,szOperator="&gt;",nValue=0,},},},},</v>
      </c>
    </row>
    <row r="91" spans="1:20" x14ac:dyDescent="0.15">
      <c r="C91">
        <v>843</v>
      </c>
      <c r="D91">
        <v>47</v>
      </c>
      <c r="I91" t="s">
        <v>4579</v>
      </c>
      <c r="S91" t="s">
        <v>4580</v>
      </c>
      <c r="T91" t="str">
        <f t="shared" si="1"/>
        <v>{dwID=843,nFrame=47,szNote="河底的沙石",[17]={},[18]={},aFocus={{dwMapID=-1,szDisplay="河底的沙石·前置",nMaxDistance=20,tRelation={bAll=false,bEnemy=true,bAlly=false,},tLife={bEnable=false,szOperator="&gt;",nValue=0,},},},},</v>
      </c>
    </row>
    <row r="92" spans="1:20" x14ac:dyDescent="0.15">
      <c r="A92" t="s">
        <v>712</v>
      </c>
      <c r="B92">
        <v>22</v>
      </c>
      <c r="T92" t="str">
        <f t="shared" si="1"/>
        <v>},[22]={</v>
      </c>
    </row>
    <row r="93" spans="1:20" x14ac:dyDescent="0.15">
      <c r="C93">
        <v>843</v>
      </c>
      <c r="D93">
        <v>47</v>
      </c>
      <c r="I93" t="s">
        <v>4579</v>
      </c>
      <c r="S93" t="s">
        <v>4580</v>
      </c>
      <c r="T93" t="str">
        <f t="shared" si="1"/>
        <v>{dwID=843,nFrame=47,szNote="河底的沙石",[17]={},[18]={},aFocus={{dwMapID=-1,szDisplay="河底的沙石·前置",nMaxDistance=20,tRelation={bAll=false,bEnemy=true,bAlly=false,},tLife={bEnable=false,szOperator="&gt;",nValue=0,},},},},</v>
      </c>
    </row>
    <row r="94" spans="1:20" x14ac:dyDescent="0.15">
      <c r="C94">
        <v>7662</v>
      </c>
      <c r="D94">
        <v>47</v>
      </c>
      <c r="I94" t="s">
        <v>4581</v>
      </c>
      <c r="N94">
        <v>1</v>
      </c>
      <c r="S94" t="s">
        <v>4582</v>
      </c>
      <c r="T94" t="str">
        <f t="shared" si="1"/>
        <v>{dwID=7662,nFrame=47,szNote="护送奖赏",[17]={bCenterAlarm=true,},[18]={},aFocus={{dwMapID=-1,szDisplay="护送奖赏·粮草先行",nMaxDistance=0,tRelation={bAll=true,bEnemy=false,bAlly=false,},tLife={bEnable=false,szOperator="&gt;",nValue=0,},},},},</v>
      </c>
    </row>
    <row r="95" spans="1:20" x14ac:dyDescent="0.15">
      <c r="C95">
        <v>7663</v>
      </c>
      <c r="D95">
        <v>47</v>
      </c>
      <c r="I95" t="s">
        <v>4583</v>
      </c>
      <c r="N95">
        <v>1</v>
      </c>
      <c r="S95" t="s">
        <v>4584</v>
      </c>
      <c r="T95" t="str">
        <f t="shared" si="1"/>
        <v>{dwID=7663,nFrame=47,szNote="拦截奖赏",[17]={bCenterAlarm=true,},[18]={},aFocus={{dwMapID=-1,szDisplay="拦截奖赏·粮草先行",nMaxDistance=0,tRelation={bAll=true,bEnemy=false,bAlly=false,},tLife={bEnable=false,szOperator="&gt;",nValue=0,},},},},</v>
      </c>
    </row>
    <row r="96" spans="1:20" x14ac:dyDescent="0.15">
      <c r="C96">
        <v>3444</v>
      </c>
      <c r="D96">
        <v>47</v>
      </c>
      <c r="I96" t="s">
        <v>4575</v>
      </c>
      <c r="N96">
        <v>1</v>
      </c>
      <c r="S96" t="s">
        <v>4576</v>
      </c>
      <c r="T96" t="str">
        <f t="shared" si="1"/>
        <v>{dwID=3444,nFrame=47,szNote="方超的信物",[17]={bCenterAlarm=true,},[18]={},aFocus={{dwMapID=-1,szDisplay="方超信物·阵营前置",nMaxDistance=0,tRelation={bAll=true,bEnemy=false,bAlly=false,},tLife={bEnable=false,szOperator="&gt;",nValue=0,},},},},</v>
      </c>
    </row>
    <row r="97" spans="1:20" x14ac:dyDescent="0.15">
      <c r="C97">
        <v>3443</v>
      </c>
      <c r="D97">
        <v>47</v>
      </c>
      <c r="I97" t="s">
        <v>4577</v>
      </c>
      <c r="N97">
        <v>1</v>
      </c>
      <c r="S97" t="s">
        <v>4578</v>
      </c>
      <c r="T97" t="str">
        <f t="shared" si="1"/>
        <v>{dwID=3443,nFrame=47,szNote="赵新宇的信物",[17]={bCenterAlarm=true,},[18]={},aFocus={{dwMapID=-1,szDisplay="赵新宇信物·阵营前置",nMaxDistance=0,tRelation={bAll=true,bEnemy=false,bAlly=false,},tLife={bEnable=false,szOperator="&gt;",nValue=0,},},},},</v>
      </c>
    </row>
    <row r="98" spans="1:20" x14ac:dyDescent="0.15">
      <c r="A98" t="s">
        <v>234</v>
      </c>
      <c r="B98">
        <v>23</v>
      </c>
      <c r="T98" t="str">
        <f t="shared" si="1"/>
        <v>},[23]={</v>
      </c>
    </row>
    <row r="99" spans="1:20" x14ac:dyDescent="0.15">
      <c r="C99">
        <v>6708</v>
      </c>
      <c r="D99">
        <v>47</v>
      </c>
      <c r="I99" t="s">
        <v>4585</v>
      </c>
      <c r="S99" t="s">
        <v>4586</v>
      </c>
      <c r="T99" t="str">
        <f t="shared" si="1"/>
        <v>{dwID=6708,nFrame=47,szNote="锋芒展·深色的沙土堆",[17]={},[18]={},aFocus={{dwMapID=-1,szDisplay="深色的沙土堆·锋芒展",nMaxDistance=60,tRelation={bAll=true,bEnemy=false,bAlly=false,},tLife={bEnable=false,szOperator="&gt;",nValue=0,},},},},</v>
      </c>
    </row>
    <row r="100" spans="1:20" x14ac:dyDescent="0.15">
      <c r="C100">
        <v>6707</v>
      </c>
      <c r="D100">
        <v>47</v>
      </c>
      <c r="I100" t="s">
        <v>4587</v>
      </c>
      <c r="S100" t="s">
        <v>4588</v>
      </c>
      <c r="T100" t="str">
        <f t="shared" si="1"/>
        <v>{dwID=6707,nFrame=47,szNote="锋芒展·散落的兵刃",[17]={},[18]={},aFocus={{dwMapID=-1,szDisplay="散落的兵刃·锋芒展",nMaxDistance=60,tRelation={bAll=true,bEnemy=false,bAlly=false,},tLife={bEnable=false,szOperator="&gt;",nValue=0,},},},},</v>
      </c>
    </row>
    <row r="101" spans="1:20" x14ac:dyDescent="0.15">
      <c r="C101">
        <v>6709</v>
      </c>
      <c r="D101">
        <v>47</v>
      </c>
      <c r="I101" t="s">
        <v>4589</v>
      </c>
      <c r="S101" t="s">
        <v>4590</v>
      </c>
      <c r="T101" t="str">
        <f t="shared" si="1"/>
        <v>{dwID=6709,nFrame=47,szNote="锋芒展·四散的弩箭",[17]={},[18]={},aFocus={{dwMapID=-1,szDisplay="四散的弩箭·锋芒展",nMaxDistance=30,tRelation={bAll=true,bEnemy=false,bAlly=false,},tLife={bEnable=false,szOperator="&gt;",nValue=0,},},},},</v>
      </c>
    </row>
    <row r="102" spans="1:20" x14ac:dyDescent="0.15">
      <c r="C102">
        <v>6861</v>
      </c>
      <c r="D102">
        <v>47</v>
      </c>
      <c r="I102" t="s">
        <v>4591</v>
      </c>
      <c r="S102" t="s">
        <v>4592</v>
      </c>
      <c r="T102" t="str">
        <f t="shared" si="1"/>
        <v>{dwID=6861,nFrame=47,szNote="锋芒展·篝火残骸",[17]={},[18]={},aFocus={{dwMapID=-1,szDisplay="篝火残骸·锋芒展",nMaxDistance=70,tRelation={bAll=true,bEnemy=false,bAlly=false,},tLife={bEnable=false,szOperator="&gt;",nValue=0,},},},},</v>
      </c>
    </row>
    <row r="103" spans="1:20" x14ac:dyDescent="0.15">
      <c r="C103">
        <v>6726</v>
      </c>
      <c r="D103">
        <v>47</v>
      </c>
      <c r="I103" t="s">
        <v>4593</v>
      </c>
      <c r="S103" t="s">
        <v>4594</v>
      </c>
      <c r="T103" t="str">
        <f t="shared" si="1"/>
        <v>{dwID=6726,nFrame=47,szNote="锋芒展·散落的刀兵",[17]={},[18]={},aFocus={{dwMapID=-1,szDisplay="散落的刀兵·锋芒展",nMaxDistance=70,tRelation={bAll=true,bEnemy=false,bAlly=false,},tLife={bEnable=false,szOperator="&gt;",nValue=0,},},},},</v>
      </c>
    </row>
    <row r="104" spans="1:20" x14ac:dyDescent="0.15">
      <c r="C104">
        <v>6727</v>
      </c>
      <c r="D104">
        <v>47</v>
      </c>
      <c r="I104" t="s">
        <v>4595</v>
      </c>
      <c r="S104" t="s">
        <v>4596</v>
      </c>
      <c r="T104" t="str">
        <f t="shared" si="1"/>
        <v>{dwID=6727,nFrame=47,szNote="锋芒展·商队货物",[17]={},[18]={},aFocus={{dwMapID=-1,szDisplay="商队货物·锋芒展",nMaxDistance=90,tRelation={bAll=true,bEnemy=false,bAlly=false,},tLife={bEnable=false,szOperator="&gt;",nValue=0,},},},},</v>
      </c>
    </row>
    <row r="105" spans="1:20" x14ac:dyDescent="0.15">
      <c r="C105">
        <v>6728</v>
      </c>
      <c r="D105">
        <v>47</v>
      </c>
      <c r="I105" t="s">
        <v>4597</v>
      </c>
      <c r="S105" t="s">
        <v>4598</v>
      </c>
      <c r="T105" t="str">
        <f t="shared" si="1"/>
        <v>{dwID=6728,nFrame=47,szNote="锋芒展·女儿红",[17]={},[18]={},aFocus={{dwMapID=-1,szDisplay="女儿红·锋芒展",nMaxDistance=3,tRelation={bAll=true,bEnemy=false,bAlly=false,},tLife={bEnable=false,szOperator="&gt;",nValue=0,},},},},</v>
      </c>
    </row>
    <row r="106" spans="1:20" x14ac:dyDescent="0.15">
      <c r="C106">
        <v>3445</v>
      </c>
      <c r="D106">
        <v>47</v>
      </c>
      <c r="I106" t="s">
        <v>4599</v>
      </c>
      <c r="N106">
        <v>1</v>
      </c>
      <c r="S106" t="s">
        <v>4600</v>
      </c>
      <c r="T106" t="str">
        <f t="shared" si="1"/>
        <v>{dwID=3445,nFrame=47,szNote="孙永恒的信物",[17]={bCenterAlarm=true,},[18]={},aFocus={{dwMapID=-1,szDisplay="孙永恒信物·阵营前置",nMaxDistance=0,tRelation={bAll=true,bEnemy=false,bAlly=false,},tLife={bEnable=false,szOperator="&gt;",nValue=0,},},},},</v>
      </c>
    </row>
    <row r="107" spans="1:20" x14ac:dyDescent="0.15">
      <c r="C107">
        <v>3442</v>
      </c>
      <c r="D107">
        <v>47</v>
      </c>
      <c r="I107" t="s">
        <v>4601</v>
      </c>
      <c r="N107">
        <v>1</v>
      </c>
      <c r="S107" t="s">
        <v>4602</v>
      </c>
      <c r="T107" t="str">
        <f t="shared" si="1"/>
        <v>{dwID=3442,nFrame=47,szNote="霸图的信物",[17]={bCenterAlarm=true,},[18]={},aFocus={{dwMapID=-1,szDisplay="霸图的信物·阵营前置",nMaxDistance=0,tRelation={bAll=true,bEnemy=false,bAlly=false,},tLife={bEnable=false,szOperator="&gt;",nValue=0,},},},},</v>
      </c>
    </row>
    <row r="108" spans="1:20" x14ac:dyDescent="0.15">
      <c r="C108">
        <v>6474</v>
      </c>
      <c r="D108">
        <v>47</v>
      </c>
      <c r="I108" t="s">
        <v>4603</v>
      </c>
      <c r="S108" t="s">
        <v>4604</v>
      </c>
      <c r="T108" t="str">
        <f t="shared" si="1"/>
        <v>{dwID=6474,nFrame=47,szNote="散落的冰魂货箱",[17]={},[18]={},aFocus={{dwMapID=-1,szDisplay="散落的冰魂货箱·前置",nMaxDistance=20,tRelation={bAll=true,bEnemy=false,bAlly=false,},tLife={bEnable=false,szOperator="&gt;",nValue=0,},},},},</v>
      </c>
    </row>
    <row r="109" spans="1:20" x14ac:dyDescent="0.15">
      <c r="A109" t="s">
        <v>716</v>
      </c>
      <c r="B109">
        <v>30</v>
      </c>
      <c r="T109" t="str">
        <f t="shared" si="1"/>
        <v>},[30]={</v>
      </c>
    </row>
    <row r="110" spans="1:20" x14ac:dyDescent="0.15">
      <c r="C110">
        <v>5053</v>
      </c>
      <c r="D110">
        <v>47</v>
      </c>
      <c r="G110" t="s">
        <v>4605</v>
      </c>
      <c r="J110" t="s">
        <v>4606</v>
      </c>
      <c r="N110">
        <v>1</v>
      </c>
      <c r="S110" t="s">
        <v>4607</v>
      </c>
      <c r="T110" t="str">
        <f t="shared" si="1"/>
        <v>{dwID=5053,nFrame=47,szName="{$D5053}·冰蓝花客",col={0,255,252,},[17]={bCenterAlarm=true,},[18]={},aFocus={{dwMapID=-1,szDisplay="冰凌雪莲·冰蓝花客",nMaxDistance=0,tRelation={bAll=true,bEnemy=false,bAlly=false,},tLife={bEnable=false,szOperator="&gt;",nValue=0,},},},},</v>
      </c>
    </row>
    <row r="111" spans="1:20" x14ac:dyDescent="0.15">
      <c r="C111">
        <v>1519</v>
      </c>
      <c r="D111">
        <v>47</v>
      </c>
      <c r="I111" t="s">
        <v>4608</v>
      </c>
      <c r="S111" t="s">
        <v>4609</v>
      </c>
      <c r="T111" t="str">
        <f t="shared" si="1"/>
        <v>{dwID=1519,nFrame=47,szNote="冰魂",[17]={},[18]={},aFocus={{dwMapID=-1,szDisplay="冰魂·阵营前置",nMaxDistance=60,tRelation={bAll=true,bEnemy=false,bAlly=false,},tLife={bEnable=false,szOperator="&gt;",nValue=0,},},},},</v>
      </c>
    </row>
    <row r="112" spans="1:20" x14ac:dyDescent="0.15">
      <c r="C112">
        <v>7662</v>
      </c>
      <c r="D112">
        <v>47</v>
      </c>
      <c r="I112" t="s">
        <v>4581</v>
      </c>
      <c r="N112">
        <v>1</v>
      </c>
      <c r="S112" t="s">
        <v>4582</v>
      </c>
      <c r="T112" t="str">
        <f t="shared" si="1"/>
        <v>{dwID=7662,nFrame=47,szNote="护送奖赏",[17]={bCenterAlarm=true,},[18]={},aFocus={{dwMapID=-1,szDisplay="护送奖赏·粮草先行",nMaxDistance=0,tRelation={bAll=true,bEnemy=false,bAlly=false,},tLife={bEnable=false,szOperator="&gt;",nValue=0,},},},},</v>
      </c>
    </row>
    <row r="113" spans="1:20" x14ac:dyDescent="0.15">
      <c r="C113">
        <v>7663</v>
      </c>
      <c r="D113">
        <v>47</v>
      </c>
      <c r="I113" t="s">
        <v>4583</v>
      </c>
      <c r="N113">
        <v>1</v>
      </c>
      <c r="S113" t="s">
        <v>4584</v>
      </c>
      <c r="T113" t="str">
        <f t="shared" si="1"/>
        <v>{dwID=7663,nFrame=47,szNote="拦截奖赏",[17]={bCenterAlarm=true,},[18]={},aFocus={{dwMapID=-1,szDisplay="拦截奖赏·粮草先行",nMaxDistance=0,tRelation={bAll=true,bEnemy=false,bAlly=false,},tLife={bEnable=false,szOperator="&gt;",nValue=0,},},},},</v>
      </c>
    </row>
    <row r="114" spans="1:20" x14ac:dyDescent="0.15">
      <c r="C114">
        <v>3445</v>
      </c>
      <c r="D114">
        <v>47</v>
      </c>
      <c r="I114" t="s">
        <v>4599</v>
      </c>
      <c r="N114">
        <v>1</v>
      </c>
      <c r="S114" t="s">
        <v>4600</v>
      </c>
      <c r="T114" t="str">
        <f t="shared" si="1"/>
        <v>{dwID=3445,nFrame=47,szNote="孙永恒的信物",[17]={bCenterAlarm=true,},[18]={},aFocus={{dwMapID=-1,szDisplay="孙永恒信物·阵营前置",nMaxDistance=0,tRelation={bAll=true,bEnemy=false,bAlly=false,},tLife={bEnable=false,szOperator="&gt;",nValue=0,},},},},</v>
      </c>
    </row>
    <row r="115" spans="1:20" x14ac:dyDescent="0.15">
      <c r="C115">
        <v>3442</v>
      </c>
      <c r="D115">
        <v>47</v>
      </c>
      <c r="I115" t="s">
        <v>4601</v>
      </c>
      <c r="N115">
        <v>1</v>
      </c>
      <c r="S115" t="s">
        <v>4602</v>
      </c>
      <c r="T115" t="str">
        <f t="shared" si="1"/>
        <v>{dwID=3442,nFrame=47,szNote="霸图的信物",[17]={bCenterAlarm=true,},[18]={},aFocus={{dwMapID=-1,szDisplay="霸图的信物·阵营前置",nMaxDistance=0,tRelation={bAll=true,bEnemy=false,bAlly=false,},tLife={bEnable=false,szOperator="&gt;",nValue=0,},},},},</v>
      </c>
    </row>
    <row r="116" spans="1:20" x14ac:dyDescent="0.15">
      <c r="A116" t="s">
        <v>242</v>
      </c>
      <c r="B116">
        <v>35</v>
      </c>
      <c r="T116" t="str">
        <f t="shared" si="1"/>
        <v>},[35]={</v>
      </c>
    </row>
    <row r="117" spans="1:20" x14ac:dyDescent="0.15">
      <c r="C117">
        <v>1727</v>
      </c>
      <c r="D117">
        <v>47</v>
      </c>
      <c r="S117" t="s">
        <v>3623</v>
      </c>
      <c r="T117" t="str">
        <f t="shared" si="1"/>
        <v>{dwID=1727,nFrame=47,[17]={},[18]={},aFocus={{dwMapID=-1,nMaxDistance=0,tRelation={bAll=true,bEnemy=false,bAlly=false,},tLife={bEnable=false,szOperator="&gt;",nValue=0,},},},},</v>
      </c>
    </row>
    <row r="118" spans="1:20" x14ac:dyDescent="0.15">
      <c r="C118">
        <v>3225</v>
      </c>
      <c r="D118">
        <v>47</v>
      </c>
      <c r="S118" t="s">
        <v>4610</v>
      </c>
      <c r="T118" t="str">
        <f t="shared" si="1"/>
        <v>{dwID=3225,nFrame=47,[17]={},[18]={},aFocus={{dwMapID=-1,szDisplay="酒壶·采仙草",nMaxDistance=60,tRelation={bAll=true,bEnemy=false,bAlly=false,},tLife={bEnable=false,szOperator="&gt;",nValue=0,},},},},</v>
      </c>
    </row>
    <row r="119" spans="1:20" x14ac:dyDescent="0.15">
      <c r="C119">
        <v>3226</v>
      </c>
      <c r="D119">
        <v>47</v>
      </c>
      <c r="S119" t="s">
        <v>4611</v>
      </c>
      <c r="T119" t="str">
        <f t="shared" si="1"/>
        <v>{dwID=3226,nFrame=47,[17]={},[18]={},aFocus={{dwMapID=-1,szDisplay="月影菇·采仙草",nMaxDistance=60,tRelation={bAll=true,bEnemy=false,bAlly=false,},tLife={bEnable=false,szOperator="&gt;",nValue=0,},},},},</v>
      </c>
    </row>
    <row r="120" spans="1:20" x14ac:dyDescent="0.15">
      <c r="C120">
        <v>3224</v>
      </c>
      <c r="D120">
        <v>47</v>
      </c>
      <c r="S120" t="s">
        <v>4612</v>
      </c>
      <c r="T120" t="str">
        <f t="shared" si="1"/>
        <v>{dwID=3224,nFrame=47,[17]={},[18]={},aFocus={{dwMapID=-1,szDisplay="七窍返心枝·采仙草",nMaxDistance=60,tRelation={bAll=true,bEnemy=false,bAlly=false,},tLife={bEnable=false,szOperator="&gt;",nValue=0,},},},},</v>
      </c>
    </row>
    <row r="121" spans="1:20" x14ac:dyDescent="0.15">
      <c r="C121">
        <v>3005</v>
      </c>
      <c r="D121">
        <v>47</v>
      </c>
      <c r="S121" t="s">
        <v>4613</v>
      </c>
      <c r="T121" t="str">
        <f t="shared" si="1"/>
        <v>{dwID=3005,nFrame=47,[17]={},[18]={},aFocus={{dwMapID=-1,szDisplay="大木箱·美人图",nMaxDistance=30,tRelation={bAll=true,bEnemy=false,bAlly=false,},tLife={bEnable=false,szOperator="&gt;",nValue=0,},},},},</v>
      </c>
    </row>
    <row r="122" spans="1:20" x14ac:dyDescent="0.15">
      <c r="C122">
        <v>3064</v>
      </c>
      <c r="D122">
        <v>47</v>
      </c>
      <c r="S122" t="s">
        <v>4614</v>
      </c>
      <c r="T122" t="str">
        <f t="shared" si="1"/>
        <v>{dwID=3064,nFrame=47,[17]={},[18]={},aFocus={{dwMapID=-1,szDisplay="脏东西·美人图",nMaxDistance=35,tRelation={bAll=true,bEnemy=false,bAlly=false,},tLife={bEnable=false,szOperator="&gt;",nValue=0,},},},},</v>
      </c>
    </row>
    <row r="123" spans="1:20" x14ac:dyDescent="0.15">
      <c r="C123">
        <v>5318</v>
      </c>
      <c r="D123">
        <v>47</v>
      </c>
      <c r="N123">
        <v>1</v>
      </c>
      <c r="S123" t="s">
        <v>4615</v>
      </c>
      <c r="T123" t="str">
        <f t="shared" si="1"/>
        <v>{dwID=5318,nFrame=47,[17]={bCenterAlarm=true,},[18]={},aFocus={{dwMapID=-1,szDisplay="赠礼·毒手催画",nMaxDistance=0,tRelation={bAll=true,bEnemy=false,bAlly=false,},tLife={bEnable=false,szOperator="&gt;",nValue=0,},},},},</v>
      </c>
    </row>
    <row r="124" spans="1:20" x14ac:dyDescent="0.15">
      <c r="C124">
        <v>5221</v>
      </c>
      <c r="D124">
        <v>47</v>
      </c>
      <c r="S124" t="s">
        <v>4616</v>
      </c>
      <c r="T124" t="str">
        <f t="shared" si="1"/>
        <v>{dwID=5221,nFrame=47,[17]={},[18]={},aFocus={{dwMapID=-1,szDisplay="招魂幡",nMaxDistance=25,tRelation={bAll=true,bEnemy=false,bAlly=false,},tLife={bEnable=false,szOperator="&gt;",nValue=0,},},},},</v>
      </c>
    </row>
    <row r="125" spans="1:20" x14ac:dyDescent="0.15">
      <c r="A125" t="s">
        <v>723</v>
      </c>
      <c r="B125">
        <v>38</v>
      </c>
      <c r="T125" t="str">
        <f t="shared" si="1"/>
        <v>},[38]={</v>
      </c>
    </row>
    <row r="126" spans="1:20" x14ac:dyDescent="0.15">
      <c r="C126">
        <v>6407</v>
      </c>
      <c r="D126">
        <v>47</v>
      </c>
      <c r="S126" t="s">
        <v>3623</v>
      </c>
      <c r="T126" t="str">
        <f t="shared" si="1"/>
        <v>{dwID=6407,nFrame=47,[17]={},[18]={},aFocus={{dwMapID=-1,nMaxDistance=0,tRelation={bAll=true,bEnemy=false,bAlly=false,},tLife={bEnable=false,szOperator="&gt;",nValue=0,},},},},</v>
      </c>
    </row>
    <row r="127" spans="1:20" x14ac:dyDescent="0.15">
      <c r="A127" t="s">
        <v>733</v>
      </c>
      <c r="B127">
        <v>48</v>
      </c>
      <c r="T127" t="str">
        <f t="shared" si="1"/>
        <v>},[48]={</v>
      </c>
    </row>
    <row r="128" spans="1:20" x14ac:dyDescent="0.15">
      <c r="C128">
        <v>1742</v>
      </c>
      <c r="D128">
        <v>47</v>
      </c>
      <c r="S128" t="s">
        <v>3623</v>
      </c>
      <c r="T128" t="str">
        <f t="shared" si="1"/>
        <v>{dwID=1742,nFrame=47,[17]={},[18]={},aFocus={{dwMapID=-1,nMaxDistance=0,tRelation={bAll=true,bEnemy=false,bAlly=false,},tLife={bEnable=false,szOperator="&gt;",nValue=0,},},},},</v>
      </c>
    </row>
    <row r="129" spans="1:20" x14ac:dyDescent="0.15">
      <c r="A129" t="s">
        <v>734</v>
      </c>
      <c r="B129">
        <v>49</v>
      </c>
      <c r="T129" t="str">
        <f t="shared" si="1"/>
        <v>},[49]={</v>
      </c>
    </row>
    <row r="130" spans="1:20" x14ac:dyDescent="0.15">
      <c r="C130">
        <v>5860</v>
      </c>
      <c r="D130">
        <v>47</v>
      </c>
      <c r="S130" t="s">
        <v>3731</v>
      </c>
      <c r="T130" t="str">
        <f t="shared" ref="T130:T193" si="2">IF(ISBLANK(B130)=FALSE,IF(ISBLANK(B129),"},["&amp;B130&amp;"]={","["&amp;B130&amp;"]={"),IF(AND(ISBLANK(B130),ISBLANK(D130),ISBLANK(C130),OR(ISBLANK(B129)=FALSE,ISBLANK(D129)=FALSE,ISBLANK(C129)=FALSE)),"},},}",IF(ISBLANK(C130),"","{dwID="&amp;C130&amp;","&amp;"nFrame="&amp;D130&amp;","&amp;IF(E130&gt;0,"nCount="&amp;E130&amp;",","")&amp;IF(F130&gt;0,"bAllLeave=true,","")&amp;IF(G130&lt;&gt;"","szName="""&amp;G130&amp;""",","")&amp;IF(H130&lt;&gt;"","tKungFu={"&amp;H130&amp;"},","")&amp;IF(I130&lt;&gt;"","szNote="""&amp;I130&amp;""",","")&amp;IF(J130&lt;&gt;"","col={"&amp;J130&amp;"},","")&amp;"[17]={"&amp;IF(K130&lt;&gt;"","szVoice="""&amp;K130&amp;""",","")&amp;IF(L130&gt;0,"bTeamChannel=true,","")&amp;IF(M130&gt;0,"bWhisperChannel=true,","")&amp;IF(N130&gt;0,"bCenterAlarm=true,","")&amp;"},"&amp;"[18]={"&amp;IF(O130&lt;&gt;"","szVoice="""&amp;O130&amp;""",","")&amp;IF(P130&gt;0,"bTeamChannel=true,","")&amp;IF(Q130&gt;0,"bWhisperChannel=true,","")&amp;IF(R130&gt;0,"bCenterAlarm=true,","")&amp;"},"&amp;IF(S130&lt;&gt;"","aFocus={"&amp;S130&amp;"},","")&amp;IF(U130&lt;&gt;"","tCountdown={"&amp;_xlfn.TEXTJOIN("",TRUE,U130:ZZ130)&amp;"},","")&amp;"},")))</f>
        <v>{dwID=5860,nFrame=47,[17]={},[18]={},aFocus={{dwMapID=-1,nMaxDistance=3,tRelation={bAll=true,bEnemy=false,bAlly=false,},tLife={bEnable=false,szOperator="&gt;",nValue=0,},},},},</v>
      </c>
    </row>
    <row r="131" spans="1:20" x14ac:dyDescent="0.15">
      <c r="C131">
        <v>5901</v>
      </c>
      <c r="D131">
        <v>47</v>
      </c>
      <c r="S131" t="s">
        <v>3627</v>
      </c>
      <c r="T131" t="str">
        <f t="shared" si="2"/>
        <v>{dwID=5901,nFrame=47,[17]={},[18]={},aFocus={{dwMapID=-1,nMaxDistance=10,tRelation={bAll=true,bEnemy=false,bAlly=false,},tLife={bEnable=false,szOperator="&gt;",nValue=0,},},},},</v>
      </c>
    </row>
    <row r="132" spans="1:20" x14ac:dyDescent="0.15">
      <c r="C132">
        <v>5900</v>
      </c>
      <c r="D132">
        <v>47</v>
      </c>
      <c r="S132" t="s">
        <v>3627</v>
      </c>
      <c r="T132" t="str">
        <f t="shared" si="2"/>
        <v>{dwID=5900,nFrame=47,[17]={},[18]={},aFocus={{dwMapID=-1,nMaxDistance=10,tRelation={bAll=true,bEnemy=false,bAlly=false,},tLife={bEnable=false,szOperator="&gt;",nValue=0,},},},},</v>
      </c>
    </row>
    <row r="133" spans="1:20" x14ac:dyDescent="0.15">
      <c r="C133">
        <v>5941</v>
      </c>
      <c r="D133">
        <v>47</v>
      </c>
      <c r="S133" t="s">
        <v>4617</v>
      </c>
      <c r="T133" t="str">
        <f t="shared" si="2"/>
        <v>{dwID=5941,nFrame=47,[17]={},[18]={},aFocus={{dwMapID=-1,nMaxDistance=1.5,tRelation={bAll=true,bEnemy=false,bAlly=false,},tLife={bEnable=false,szOperator="&gt;",nValue=0,},},},},</v>
      </c>
    </row>
    <row r="134" spans="1:20" x14ac:dyDescent="0.15">
      <c r="C134">
        <v>5939</v>
      </c>
      <c r="D134">
        <v>47</v>
      </c>
      <c r="S134" t="s">
        <v>4617</v>
      </c>
      <c r="T134" t="str">
        <f t="shared" si="2"/>
        <v>{dwID=5939,nFrame=47,[17]={},[18]={},aFocus={{dwMapID=-1,nMaxDistance=1.5,tRelation={bAll=true,bEnemy=false,bAlly=false,},tLife={bEnable=false,szOperator="&gt;",nValue=0,},},},},</v>
      </c>
    </row>
    <row r="135" spans="1:20" x14ac:dyDescent="0.15">
      <c r="C135">
        <v>5942</v>
      </c>
      <c r="D135">
        <v>47</v>
      </c>
      <c r="S135" t="s">
        <v>4617</v>
      </c>
      <c r="T135" t="str">
        <f t="shared" si="2"/>
        <v>{dwID=5942,nFrame=47,[17]={},[18]={},aFocus={{dwMapID=-1,nMaxDistance=1.5,tRelation={bAll=true,bEnemy=false,bAlly=false,},tLife={bEnable=false,szOperator="&gt;",nValue=0,},},},},</v>
      </c>
    </row>
    <row r="136" spans="1:20" x14ac:dyDescent="0.15">
      <c r="C136">
        <v>5940</v>
      </c>
      <c r="D136">
        <v>47</v>
      </c>
      <c r="S136" t="s">
        <v>4617</v>
      </c>
      <c r="T136" t="str">
        <f t="shared" si="2"/>
        <v>{dwID=5940,nFrame=47,[17]={},[18]={},aFocus={{dwMapID=-1,nMaxDistance=1.5,tRelation={bAll=true,bEnemy=false,bAlly=false,},tLife={bEnable=false,szOperator="&gt;",nValue=0,},},},},</v>
      </c>
    </row>
    <row r="137" spans="1:20" x14ac:dyDescent="0.15">
      <c r="C137">
        <v>5916</v>
      </c>
      <c r="D137">
        <v>47</v>
      </c>
      <c r="S137" t="s">
        <v>4617</v>
      </c>
      <c r="T137" t="str">
        <f t="shared" si="2"/>
        <v>{dwID=5916,nFrame=47,[17]={},[18]={},aFocus={{dwMapID=-1,nMaxDistance=1.5,tRelation={bAll=true,bEnemy=false,bAlly=false,},tLife={bEnable=false,szOperator="&gt;",nValue=0,},},},},</v>
      </c>
    </row>
    <row r="138" spans="1:20" x14ac:dyDescent="0.15">
      <c r="A138" t="s">
        <v>243</v>
      </c>
      <c r="B138">
        <v>52</v>
      </c>
      <c r="T138" t="str">
        <f t="shared" si="2"/>
        <v>},[52]={</v>
      </c>
    </row>
    <row r="139" spans="1:20" x14ac:dyDescent="0.15">
      <c r="C139">
        <v>1450</v>
      </c>
      <c r="D139">
        <v>47</v>
      </c>
      <c r="S139" t="s">
        <v>3623</v>
      </c>
      <c r="T139" t="str">
        <f t="shared" si="2"/>
        <v>{dwID=1450,nFrame=47,[17]={},[18]={},aFocus={{dwMapID=-1,nMaxDistance=0,tRelation={bAll=true,bEnemy=false,bAlly=false,},tLife={bEnable=false,szOperator="&gt;",nValue=0,},},},},</v>
      </c>
    </row>
    <row r="140" spans="1:20" x14ac:dyDescent="0.15">
      <c r="A140" t="s">
        <v>756</v>
      </c>
      <c r="B140">
        <v>74</v>
      </c>
      <c r="T140" t="str">
        <f t="shared" si="2"/>
        <v>},[74]={</v>
      </c>
    </row>
    <row r="141" spans="1:20" x14ac:dyDescent="0.15">
      <c r="C141">
        <v>10470</v>
      </c>
      <c r="D141">
        <v>47</v>
      </c>
      <c r="G141" t="s">
        <v>4618</v>
      </c>
      <c r="I141" t="s">
        <v>4619</v>
      </c>
      <c r="S141" t="s">
        <v>4620</v>
      </c>
      <c r="T141" t="str">
        <f t="shared" si="2"/>
        <v>{dwID=10470,nFrame=47,szName="帮会订单宝堆",szNote="帮会订单宝堆1",[17]={},[18]={},aFocus={{dwMapID=-1,szDisplay="帮会订单宝堆1",nMaxDistance=20,tRelation={bAll=true,bEnemy=false,bAlly=false,},tLife={bEnable=false,szOperator="&gt;",nValue=0,},},},},</v>
      </c>
    </row>
    <row r="142" spans="1:20" x14ac:dyDescent="0.15">
      <c r="C142">
        <v>10471</v>
      </c>
      <c r="D142">
        <v>47</v>
      </c>
      <c r="G142" t="s">
        <v>4618</v>
      </c>
      <c r="I142" t="s">
        <v>4621</v>
      </c>
      <c r="S142" t="s">
        <v>4622</v>
      </c>
      <c r="T142" t="str">
        <f t="shared" si="2"/>
        <v>{dwID=10471,nFrame=47,szName="帮会订单宝堆",szNote="帮会订单宝堆2",[17]={},[18]={},aFocus={{dwMapID=-1,szDisplay="帮会订单宝堆2",nMaxDistance=20,tRelation={bAll=true,bEnemy=false,bAlly=false,},tLife={bEnable=false,szOperator="&gt;",nValue=0,},},},},</v>
      </c>
    </row>
    <row r="143" spans="1:20" x14ac:dyDescent="0.15">
      <c r="C143">
        <v>10472</v>
      </c>
      <c r="D143">
        <v>47</v>
      </c>
      <c r="G143" t="s">
        <v>4618</v>
      </c>
      <c r="I143" t="s">
        <v>4623</v>
      </c>
      <c r="S143" t="s">
        <v>4624</v>
      </c>
      <c r="T143" t="str">
        <f t="shared" si="2"/>
        <v>{dwID=10472,nFrame=47,szName="帮会订单宝堆",szNote="帮会订单宝堆3",[17]={},[18]={},aFocus={{dwMapID=-1,szDisplay="帮会订单宝堆3",nMaxDistance=20,tRelation={bAll=true,bEnemy=false,bAlly=false,},tLife={bEnable=false,szOperator="&gt;",nValue=0,},},},},</v>
      </c>
    </row>
    <row r="144" spans="1:20" x14ac:dyDescent="0.15">
      <c r="A144" t="s">
        <v>758</v>
      </c>
      <c r="B144">
        <v>100</v>
      </c>
      <c r="T144" t="str">
        <f t="shared" si="2"/>
        <v>},[100]={</v>
      </c>
    </row>
    <row r="145" spans="1:20" x14ac:dyDescent="0.15">
      <c r="C145">
        <v>2726</v>
      </c>
      <c r="D145">
        <v>47</v>
      </c>
      <c r="S145" t="s">
        <v>3622</v>
      </c>
      <c r="T145" t="str">
        <f t="shared" si="2"/>
        <v>{dwID=2726,nFrame=47,[17]={},[18]={},aFocus={{dwMapID=-1,nMaxDistance=30,tRelation={bAll=true,bEnemy=false,bAlly=false,},tLife={bEnable=false,szOperator="&gt;",nValue=0,},},},},</v>
      </c>
    </row>
    <row r="146" spans="1:20" x14ac:dyDescent="0.15">
      <c r="C146">
        <v>4763</v>
      </c>
      <c r="D146">
        <v>47</v>
      </c>
      <c r="G146" t="s">
        <v>4625</v>
      </c>
      <c r="J146" t="s">
        <v>2152</v>
      </c>
      <c r="N146">
        <v>1</v>
      </c>
      <c r="S146" t="s">
        <v>4626</v>
      </c>
      <c r="T146" t="str">
        <f t="shared" si="2"/>
        <v>{dwID=4763,nFrame=47,szName="破旧的纸卷·小诺",col={0,255,255,},[17]={bCenterAlarm=true,},[18]={},aFocus={{dwMapID=-1,szDisplay="破旧的纸卷·小诺",nMaxDistance=0,tRelation={bAll=true,bEnemy=false,bAlly=false,},tLife={bEnable=false,szOperator="&gt;",nValue=0,},},},},</v>
      </c>
    </row>
    <row r="147" spans="1:20" x14ac:dyDescent="0.15">
      <c r="C147">
        <v>2018</v>
      </c>
      <c r="D147">
        <v>47</v>
      </c>
      <c r="S147" t="s">
        <v>3627</v>
      </c>
      <c r="T147" t="str">
        <f t="shared" si="2"/>
        <v>{dwID=2018,nFrame=47,[17]={},[18]={},aFocus={{dwMapID=-1,nMaxDistance=10,tRelation={bAll=true,bEnemy=false,bAlly=false,},tLife={bEnable=false,szOperator="&gt;",nValue=0,},},},},</v>
      </c>
    </row>
    <row r="148" spans="1:20" x14ac:dyDescent="0.15">
      <c r="A148" t="s">
        <v>759</v>
      </c>
      <c r="B148">
        <v>101</v>
      </c>
      <c r="T148" t="str">
        <f t="shared" si="2"/>
        <v>},[101]={</v>
      </c>
    </row>
    <row r="149" spans="1:20" x14ac:dyDescent="0.15">
      <c r="C149">
        <v>5155</v>
      </c>
      <c r="D149">
        <v>47</v>
      </c>
      <c r="I149" t="s">
        <v>4627</v>
      </c>
      <c r="J149" t="s">
        <v>2152</v>
      </c>
      <c r="N149">
        <v>1</v>
      </c>
      <c r="S149" t="s">
        <v>4628</v>
      </c>
      <c r="T149" t="str">
        <f t="shared" si="2"/>
        <v>{dwID=5155,nFrame=47,szNote="泥沙堆·红羽大将军",col={0,255,255,},[17]={bCenterAlarm=true,},[18]={},aFocus={{dwMapID=-1,szDisplay="泥沙堆·红羽大将军",nMaxDistance=0,tRelation={bAll=true,bEnemy=false,bAlly=false,},tLife={bEnable=false,szOperator="&gt;",nValue=0,},},},},</v>
      </c>
    </row>
    <row r="150" spans="1:20" x14ac:dyDescent="0.15">
      <c r="C150">
        <v>2862</v>
      </c>
      <c r="D150">
        <v>47</v>
      </c>
      <c r="S150" t="s">
        <v>3733</v>
      </c>
      <c r="T150" t="str">
        <f t="shared" si="2"/>
        <v>{dwID=2862,nFrame=47,[17]={},[18]={},aFocus={{dwMapID=-1,nMaxDistance=60,tRelation={bAll=true,bEnemy=false,bAlly=false,},tLife={bEnable=false,szOperator="&gt;",nValue=0,},},},},</v>
      </c>
    </row>
    <row r="151" spans="1:20" x14ac:dyDescent="0.15">
      <c r="C151">
        <v>6101</v>
      </c>
      <c r="D151">
        <v>47</v>
      </c>
      <c r="I151" t="s">
        <v>4629</v>
      </c>
      <c r="S151" t="s">
        <v>4630</v>
      </c>
      <c r="T151" t="str">
        <f t="shared" si="2"/>
        <v>{dwID=6101,nFrame=47,szNote="竹马情·发光的物件",[17]={},[18]={},aFocus={{dwMapID=-1,szDisplay="一个闪闪发光的物件·竹马情",nMaxDistance=90,tRelation={bAll=true,bEnemy=false,bAlly=false,},tLife={bEnable=false,szOperator="&gt;",nValue=0,},},},},</v>
      </c>
    </row>
    <row r="152" spans="1:20" x14ac:dyDescent="0.15">
      <c r="A152" t="s">
        <v>760</v>
      </c>
      <c r="B152">
        <v>102</v>
      </c>
      <c r="T152" t="str">
        <f t="shared" si="2"/>
        <v>},[102]={</v>
      </c>
    </row>
    <row r="153" spans="1:20" x14ac:dyDescent="0.15">
      <c r="C153">
        <v>6376</v>
      </c>
      <c r="D153">
        <v>47</v>
      </c>
      <c r="S153" t="s">
        <v>4631</v>
      </c>
      <c r="T153" t="str">
        <f t="shared" si="2"/>
        <v>{dwID=6376,nFrame=47,[17]={},[18]={},aFocus={{dwMapID=-1,szDisplay="隐藏任务·方士3级",nMaxDistance=0,tRelation={bAll=true,bEnemy=false,bAlly=false,},tLife={bEnable=false,szOperator="&gt;",nValue=0,},},},},</v>
      </c>
    </row>
    <row r="154" spans="1:20" x14ac:dyDescent="0.15">
      <c r="C154">
        <v>5976</v>
      </c>
      <c r="D154">
        <v>47</v>
      </c>
      <c r="I154" t="s">
        <v>2503</v>
      </c>
      <c r="S154" t="s">
        <v>4632</v>
      </c>
      <c r="T154" t="str">
        <f t="shared" si="2"/>
        <v>{dwID=5976,nFrame=47,szNote="门派事件",[17]={},[18]={},aFocus={{dwMapID=-1,szDisplay="灵符阵法·门派事件",nMaxDistance=1,tRelation={bAll=true,bEnemy=false,bAlly=false,},tLife={bEnable=false,szOperator="&gt;",nValue=0,},},},},</v>
      </c>
    </row>
    <row r="155" spans="1:20" x14ac:dyDescent="0.15">
      <c r="C155">
        <v>6366</v>
      </c>
      <c r="D155">
        <v>47</v>
      </c>
      <c r="G155" t="s">
        <v>4633</v>
      </c>
      <c r="I155" t="s">
        <v>4634</v>
      </c>
      <c r="S155" t="s">
        <v>3733</v>
      </c>
      <c r="T155" t="str">
        <f t="shared" si="2"/>
        <v>{dwID=6366,nFrame=47,szName="小土堆·滇南行",szNote="滇南行·小土堆",[17]={},[18]={},aFocus={{dwMapID=-1,nMaxDistance=60,tRelation={bAll=true,bEnemy=false,bAlly=false,},tLife={bEnable=false,szOperator="&gt;",nValue=0,},},},},</v>
      </c>
    </row>
    <row r="156" spans="1:20" x14ac:dyDescent="0.15">
      <c r="C156">
        <v>6367</v>
      </c>
      <c r="D156">
        <v>47</v>
      </c>
      <c r="G156" t="s">
        <v>4635</v>
      </c>
      <c r="I156" t="s">
        <v>4636</v>
      </c>
      <c r="S156" t="s">
        <v>4637</v>
      </c>
      <c r="T156" t="str">
        <f t="shared" si="2"/>
        <v>{dwID=6367,nFrame=47,szName="换颜草·滇南行",szNote="滇南行·换颜草",[17]={},[18]={},aFocus={{dwMapID=-1,szDisplay="换颜草·滇南行",nMaxDistance=60,tRelation={bAll=true,bEnemy=false,bAlly=false,},tLife={bEnable=false,szOperator="&gt;",nValue=0,},},},},</v>
      </c>
    </row>
    <row r="157" spans="1:20" x14ac:dyDescent="0.15">
      <c r="A157" t="s">
        <v>761</v>
      </c>
      <c r="B157">
        <v>103</v>
      </c>
      <c r="T157" t="str">
        <f t="shared" si="2"/>
        <v>},[103]={</v>
      </c>
    </row>
    <row r="158" spans="1:20" x14ac:dyDescent="0.15">
      <c r="C158">
        <v>5316</v>
      </c>
      <c r="D158">
        <v>47</v>
      </c>
      <c r="G158" t="s">
        <v>4638</v>
      </c>
      <c r="J158" t="s">
        <v>2152</v>
      </c>
      <c r="N158">
        <v>1</v>
      </c>
      <c r="S158" t="s">
        <v>4639</v>
      </c>
      <c r="T158" t="str">
        <f t="shared" si="2"/>
        <v>{dwID=5316,nFrame=47,szName="小土堆·商周客",col={0,255,255,},[17]={bCenterAlarm=true,},[18]={},aFocus={{dwMapID=-1,szDisplay="小土堆·商周客",nMaxDistance=0,tRelation={bAll=true,bEnemy=false,bAlly=false,},tLife={bEnable=false,szOperator="&gt;",nValue=0,},},},},</v>
      </c>
    </row>
    <row r="159" spans="1:20" x14ac:dyDescent="0.15">
      <c r="A159" t="s">
        <v>762</v>
      </c>
      <c r="B159">
        <v>104</v>
      </c>
      <c r="T159" t="str">
        <f t="shared" si="2"/>
        <v>},[104]={</v>
      </c>
    </row>
    <row r="160" spans="1:20" x14ac:dyDescent="0.15">
      <c r="C160">
        <v>2861</v>
      </c>
      <c r="D160">
        <v>47</v>
      </c>
      <c r="S160" t="s">
        <v>4021</v>
      </c>
      <c r="T160" t="str">
        <f t="shared" si="2"/>
        <v>{dwID=2861,nFrame=47,[17]={},[18]={},aFocus={{dwMapID=-1,nMaxDistance=90,tRelation={bAll=true,bEnemy=false,bAlly=false,},tLife={bEnable=false,szOperator="&gt;",nValue=0,},},},},</v>
      </c>
    </row>
    <row r="161" spans="1:20" x14ac:dyDescent="0.15">
      <c r="A161" t="s">
        <v>763</v>
      </c>
      <c r="B161">
        <v>105</v>
      </c>
      <c r="T161" t="str">
        <f t="shared" si="2"/>
        <v>},[105]={</v>
      </c>
    </row>
    <row r="162" spans="1:20" x14ac:dyDescent="0.15">
      <c r="C162">
        <v>3321</v>
      </c>
      <c r="D162">
        <v>47</v>
      </c>
      <c r="S162" t="s">
        <v>4028</v>
      </c>
      <c r="T162" t="str">
        <f t="shared" si="2"/>
        <v>{dwID=3321,nFrame=47,[17]={},[18]={},aFocus={{dwMapID=-1,nMaxDistance=20,tRelation={bAll=true,bEnemy=false,bAlly=false,},tLife={bEnable=false,szOperator="&gt;",nValue=0,},},},},</v>
      </c>
    </row>
    <row r="163" spans="1:20" x14ac:dyDescent="0.15">
      <c r="A163" t="s">
        <v>766</v>
      </c>
      <c r="B163">
        <v>108</v>
      </c>
      <c r="T163" t="str">
        <f t="shared" si="2"/>
        <v>},[108]={</v>
      </c>
    </row>
    <row r="164" spans="1:20" x14ac:dyDescent="0.15">
      <c r="C164">
        <v>6064</v>
      </c>
      <c r="D164">
        <v>47</v>
      </c>
      <c r="G164" t="s">
        <v>4640</v>
      </c>
      <c r="J164" t="s">
        <v>2152</v>
      </c>
      <c r="S164" t="s">
        <v>4641</v>
      </c>
      <c r="T164" t="str">
        <f t="shared" si="2"/>
        <v>{dwID=6064,nFrame=47,szName="小土堆·石敢当",col={0,255,255,},[17]={},[18]={},aFocus={{dwMapID=-1,szDisplay="小土堆·石敢当",nMaxDistance=30,tRelation={bAll=true,bEnemy=false,bAlly=false,},tLife={bEnable=false,szOperator="&gt;",nValue=0,},},},},</v>
      </c>
    </row>
    <row r="165" spans="1:20" x14ac:dyDescent="0.15">
      <c r="C165">
        <v>2724</v>
      </c>
      <c r="D165">
        <v>47</v>
      </c>
      <c r="S165" t="s">
        <v>4021</v>
      </c>
      <c r="T165" t="str">
        <f t="shared" si="2"/>
        <v>{dwID=2724,nFrame=47,[17]={},[18]={},aFocus={{dwMapID=-1,nMaxDistance=90,tRelation={bAll=true,bEnemy=false,bAlly=false,},tLife={bEnable=false,szOperator="&gt;",nValue=0,},},},},</v>
      </c>
    </row>
    <row r="166" spans="1:20" x14ac:dyDescent="0.15">
      <c r="A166" t="s">
        <v>778</v>
      </c>
      <c r="B166">
        <v>120</v>
      </c>
      <c r="T166" t="str">
        <f t="shared" si="2"/>
        <v>},[120]={</v>
      </c>
    </row>
    <row r="167" spans="1:20" x14ac:dyDescent="0.15">
      <c r="C167">
        <v>1392</v>
      </c>
      <c r="D167">
        <v>47</v>
      </c>
      <c r="G167" t="s">
        <v>4642</v>
      </c>
      <c r="N167">
        <v>1</v>
      </c>
      <c r="S167" t="s">
        <v>4643</v>
      </c>
      <c r="T167" t="str">
        <f t="shared" si="2"/>
        <v>{dwID=1392,nFrame=47,szName="红衣教的赏赐",[17]={bCenterAlarm=true,},[18]={},aFocus={{dwMapID=-1,szDisplay="红衣教的赏赐",nMaxDistance=0,tRelation={bAll=true,bEnemy=false,bAlly=false,},tLife={bEnable=false,szOperator="&gt;",nValue=0,},},},},</v>
      </c>
    </row>
    <row r="168" spans="1:20" x14ac:dyDescent="0.15">
      <c r="A168" t="s">
        <v>244</v>
      </c>
      <c r="B168">
        <v>122</v>
      </c>
      <c r="T168" t="str">
        <f t="shared" si="2"/>
        <v>},[122]={</v>
      </c>
    </row>
    <row r="169" spans="1:20" x14ac:dyDescent="0.15">
      <c r="C169">
        <v>5996</v>
      </c>
      <c r="D169">
        <v>47</v>
      </c>
      <c r="S169" t="s">
        <v>3627</v>
      </c>
      <c r="T169" t="str">
        <f t="shared" si="2"/>
        <v>{dwID=5996,nFrame=47,[17]={},[18]={},aFocus={{dwMapID=-1,nMaxDistance=10,tRelation={bAll=true,bEnemy=false,bAlly=false,},tLife={bEnable=false,szOperator="&gt;",nValue=0,},},},},</v>
      </c>
    </row>
    <row r="170" spans="1:20" x14ac:dyDescent="0.15">
      <c r="C170">
        <v>5997</v>
      </c>
      <c r="D170">
        <v>47</v>
      </c>
      <c r="S170" t="s">
        <v>3627</v>
      </c>
      <c r="T170" t="str">
        <f t="shared" si="2"/>
        <v>{dwID=5997,nFrame=47,[17]={},[18]={},aFocus={{dwMapID=-1,nMaxDistance=10,tRelation={bAll=true,bEnemy=false,bAlly=false,},tLife={bEnable=false,szOperator="&gt;",nValue=0,},},},},</v>
      </c>
    </row>
    <row r="171" spans="1:20" x14ac:dyDescent="0.15">
      <c r="A171" t="s">
        <v>245</v>
      </c>
      <c r="B171">
        <v>150</v>
      </c>
      <c r="T171" t="str">
        <f t="shared" si="2"/>
        <v>},[150]={</v>
      </c>
    </row>
    <row r="172" spans="1:20" x14ac:dyDescent="0.15">
      <c r="C172">
        <v>6299</v>
      </c>
      <c r="D172">
        <v>47</v>
      </c>
      <c r="S172" t="s">
        <v>3733</v>
      </c>
      <c r="T172" t="str">
        <f t="shared" si="2"/>
        <v>{dwID=6299,nFrame=47,[17]={},[18]={},aFocus={{dwMapID=-1,nMaxDistance=60,tRelation={bAll=true,bEnemy=false,bAlly=false,},tLife={bEnable=false,szOperator="&gt;",nValue=0,},},},},</v>
      </c>
    </row>
    <row r="173" spans="1:20" x14ac:dyDescent="0.15">
      <c r="C173">
        <v>6000</v>
      </c>
      <c r="D173">
        <v>47</v>
      </c>
      <c r="S173" t="s">
        <v>4028</v>
      </c>
      <c r="T173" t="str">
        <f t="shared" si="2"/>
        <v>{dwID=6000,nFrame=47,[17]={},[18]={},aFocus={{dwMapID=-1,nMaxDistance=20,tRelation={bAll=true,bEnemy=false,bAlly=false,},tLife={bEnable=false,szOperator="&gt;",nValue=0,},},},},</v>
      </c>
    </row>
    <row r="174" spans="1:20" x14ac:dyDescent="0.15">
      <c r="C174">
        <v>6220</v>
      </c>
      <c r="D174">
        <v>47</v>
      </c>
      <c r="S174" t="s">
        <v>4028</v>
      </c>
      <c r="T174" t="str">
        <f t="shared" si="2"/>
        <v>{dwID=6220,nFrame=47,[17]={},[18]={},aFocus={{dwMapID=-1,nMaxDistance=20,tRelation={bAll=true,bEnemy=false,bAlly=false,},tLife={bEnable=false,szOperator="&gt;",nValue=0,},},},},</v>
      </c>
    </row>
    <row r="175" spans="1:20" x14ac:dyDescent="0.15">
      <c r="A175" t="s">
        <v>801</v>
      </c>
      <c r="B175">
        <v>151</v>
      </c>
      <c r="T175" t="str">
        <f t="shared" si="2"/>
        <v>},[151]={</v>
      </c>
    </row>
    <row r="176" spans="1:20" x14ac:dyDescent="0.15">
      <c r="C176">
        <v>6109</v>
      </c>
      <c r="D176">
        <v>47</v>
      </c>
      <c r="G176" t="s">
        <v>4644</v>
      </c>
      <c r="S176" t="s">
        <v>4645</v>
      </c>
      <c r="T176" t="str">
        <f t="shared" si="2"/>
        <v>{dwID=6109,nFrame=47,szName="情报箱·兽王佩",[17]={},[18]={},aFocus={{dwMapID=-1,szDisplay="情报箱·兽王佩",nMaxDistance=0,tRelation={bAll=true,bEnemy=false,bAlly=false,},tLife={bEnable=false,szOperator="&gt;",nValue=0,},},},},</v>
      </c>
    </row>
    <row r="177" spans="1:24" x14ac:dyDescent="0.15">
      <c r="C177">
        <v>4304</v>
      </c>
      <c r="D177">
        <v>47</v>
      </c>
      <c r="G177" t="s">
        <v>4646</v>
      </c>
      <c r="J177" t="s">
        <v>2152</v>
      </c>
      <c r="S177" t="s">
        <v>4647</v>
      </c>
      <c r="T177" t="str">
        <f t="shared" si="2"/>
        <v>{dwID=4304,nFrame=47,szName="军机宝箱·阿里",col={0,255,255,},[17]={},[18]={},aFocus={{dwMapID=-1,szDisplay="军机宝箱·阿里",nMaxDistance=0,tRelation={bAll=true,bEnemy=false,bAlly=false,},tLife={bEnable=false,szOperator="&gt;",nValue=0,},},},},</v>
      </c>
    </row>
    <row r="178" spans="1:24" x14ac:dyDescent="0.15">
      <c r="C178">
        <v>4316</v>
      </c>
      <c r="D178">
        <v>47</v>
      </c>
      <c r="S178" t="s">
        <v>4648</v>
      </c>
      <c r="T178" t="str">
        <f t="shared" si="2"/>
        <v>{dwID=4316,nFrame=47,[17]={},[18]={},aFocus={{dwMapID=-1,szDisplay="搜刮的财务·路见不平",nMaxDistance=30,tRelation={bAll=true,bEnemy=false,bAlly=false,},tLife={bEnable=false,szOperator="&gt;",nValue=0,},},},},</v>
      </c>
    </row>
    <row r="179" spans="1:24" x14ac:dyDescent="0.15">
      <c r="C179">
        <v>4221</v>
      </c>
      <c r="D179">
        <v>47</v>
      </c>
      <c r="I179" t="s">
        <v>4113</v>
      </c>
      <c r="S179" t="s">
        <v>4268</v>
      </c>
      <c r="T179" t="str">
        <f t="shared" si="2"/>
        <v>{dwID=4221,nFrame=47,szNote="隐藏任务·遗愿清单",[17]={},[18]={},aFocus={{dwMapID=-1,nMaxDistance=40,tRelation={bAll=true,bEnemy=false,bAlly=false,},tLife={bEnable=false,szOperator="&gt;",nValue=0,},},},},</v>
      </c>
    </row>
    <row r="180" spans="1:24" x14ac:dyDescent="0.15">
      <c r="C180">
        <v>8246</v>
      </c>
      <c r="D180">
        <v>47</v>
      </c>
      <c r="S180" t="s">
        <v>3627</v>
      </c>
      <c r="T180" t="str">
        <f t="shared" si="2"/>
        <v>{dwID=8246,nFrame=47,[17]={},[18]={},aFocus={{dwMapID=-1,nMaxDistance=10,tRelation={bAll=true,bEnemy=false,bAlly=false,},tLife={bEnable=false,szOperator="&gt;",nValue=0,},},},tCountdown={{nClass=17,nIcon=17135,nFrame=7,bHold=true,szName="对话·阎规·阅读·鲁小兔的留书",nTime=600,key="奇遇提示2",},{nClass=17,nIcon=17135,nFrame=7,bHold=true,szName="再次对话·阎规·随后对话·神秘人",nTime=600,key="奇遇提示3",},{nClass=18,nIcon=17135,nFrame=7,bHold=true,szName="前往棚子·对话·神秘人",nTime=600,nRefresh=600,key="奇遇提示2",},{nClass=18,nIcon=17135,nFrame=7,bHold=true,szName="返回鲁小兔之墓·对话·阎规",nTime=600,nRefresh=600,key="奇遇提示3",},},},</v>
      </c>
      <c r="U180" t="s">
        <v>4649</v>
      </c>
      <c r="V180" t="s">
        <v>4650</v>
      </c>
      <c r="W180" t="s">
        <v>4651</v>
      </c>
      <c r="X180" t="s">
        <v>4652</v>
      </c>
    </row>
    <row r="181" spans="1:24" x14ac:dyDescent="0.15">
      <c r="C181">
        <v>8287</v>
      </c>
      <c r="D181">
        <v>47</v>
      </c>
      <c r="S181" t="s">
        <v>3731</v>
      </c>
      <c r="T181" t="str">
        <f t="shared" si="2"/>
        <v>{dwID=8287,nFrame=47,[17]={},[18]={},aFocus={{dwMapID=-1,nMaxDistance=3,tRelation={bAll=true,bEnemy=false,bAlly=false,},tLife={bEnable=false,szOperator="&gt;",nValue=0,},},},tCountdown={{nClass=17,nIcon=17135,nFrame=7,bHold=true,szName="奇遇提示2",nTime=-2,key="奇遇提示2",},{nClass=17,nIcon=17135,nFrame=7,bHold=true,szName="奇遇提示3",nTime=-2,key="奇遇提示3",},{nClass=17,nIcon=17135,nFrame=7,bHold=true,szName="完成奇遇·兔江湖",nTime=10,nRefresh=7200,key="奇遇提示2",},{nClass=17,nIcon=17135,nFrame=7,bHold=true,szName="完成奇遇·兔江湖",nTime=10,nRefresh=7200,key="奇遇提示3",},},},</v>
      </c>
      <c r="U181" t="s">
        <v>4653</v>
      </c>
      <c r="V181" t="s">
        <v>4654</v>
      </c>
      <c r="W181" t="s">
        <v>4655</v>
      </c>
      <c r="X181" t="s">
        <v>4656</v>
      </c>
    </row>
    <row r="182" spans="1:24" x14ac:dyDescent="0.15">
      <c r="A182" t="s">
        <v>805</v>
      </c>
      <c r="B182">
        <v>156</v>
      </c>
      <c r="T182" t="str">
        <f t="shared" si="2"/>
        <v>},[156]={</v>
      </c>
    </row>
    <row r="183" spans="1:24" x14ac:dyDescent="0.15">
      <c r="C183">
        <v>4316</v>
      </c>
      <c r="D183">
        <v>47</v>
      </c>
      <c r="S183" t="s">
        <v>4648</v>
      </c>
      <c r="T183" t="str">
        <f t="shared" si="2"/>
        <v>{dwID=4316,nFrame=47,[17]={},[18]={},aFocus={{dwMapID=-1,szDisplay="搜刮的财务·路见不平",nMaxDistance=30,tRelation={bAll=true,bEnemy=false,bAlly=false,},tLife={bEnable=false,szOperator="&gt;",nValue=0,},},},},</v>
      </c>
    </row>
    <row r="184" spans="1:24" x14ac:dyDescent="0.15">
      <c r="C184">
        <v>4431</v>
      </c>
      <c r="D184">
        <v>47</v>
      </c>
      <c r="S184" t="s">
        <v>4657</v>
      </c>
      <c r="T184" t="str">
        <f t="shared" si="2"/>
        <v>{dwID=4431,nFrame=47,[17]={},[18]={},aFocus={{dwMapID=-1,szDisplay="传送·长安地宫",nMaxDistance=6,tRelation={bAll=true,bEnemy=false,bAlly=false,},tLife={bEnable=false,szOperator="&gt;",nValue=0,},},},},</v>
      </c>
    </row>
    <row r="185" spans="1:24" x14ac:dyDescent="0.15">
      <c r="A185" t="s">
        <v>807</v>
      </c>
      <c r="B185">
        <v>158</v>
      </c>
      <c r="T185" t="str">
        <f t="shared" si="2"/>
        <v>},[158]={</v>
      </c>
    </row>
    <row r="186" spans="1:24" x14ac:dyDescent="0.15">
      <c r="C186">
        <v>5858</v>
      </c>
      <c r="D186">
        <v>47</v>
      </c>
      <c r="S186" t="s">
        <v>3621</v>
      </c>
      <c r="T186" t="str">
        <f t="shared" si="2"/>
        <v>{dwID=5858,nFrame=47,[17]={},[18]={},aFocus={{dwMapID=-1,nMaxDistance=6,tRelation={bAll=true,bEnemy=false,bAlly=false,},tLife={bEnable=false,szOperator="&gt;",nValue=0,},},},},</v>
      </c>
    </row>
    <row r="187" spans="1:24" x14ac:dyDescent="0.15">
      <c r="C187">
        <v>5898</v>
      </c>
      <c r="D187">
        <v>47</v>
      </c>
      <c r="S187" t="s">
        <v>3621</v>
      </c>
      <c r="T187" t="str">
        <f t="shared" si="2"/>
        <v>{dwID=5898,nFrame=47,[17]={},[18]={},aFocus={{dwMapID=-1,nMaxDistance=6,tRelation={bAll=true,bEnemy=false,bAlly=false,},tLife={bEnable=false,szOperator="&gt;",nValue=0,},},},},</v>
      </c>
    </row>
    <row r="188" spans="1:24" x14ac:dyDescent="0.15">
      <c r="A188" t="s">
        <v>246</v>
      </c>
      <c r="B188">
        <v>159</v>
      </c>
      <c r="T188" t="str">
        <f t="shared" si="2"/>
        <v>},[159]={</v>
      </c>
    </row>
    <row r="189" spans="1:24" x14ac:dyDescent="0.15">
      <c r="C189">
        <v>6006</v>
      </c>
      <c r="D189">
        <v>47</v>
      </c>
      <c r="I189" t="s">
        <v>2503</v>
      </c>
      <c r="S189" t="s">
        <v>4177</v>
      </c>
      <c r="T189" t="str">
        <f t="shared" si="2"/>
        <v>{dwID=6006,nFrame=47,szNote="门派事件",[17]={},[18]={},aFocus={{dwMapID=-1,nMaxDistance=5,tRelation={bAll=true,bEnemy=false,bAlly=false,},tLife={bEnable=false,szOperator="&gt;",nValue=0,},},},},</v>
      </c>
    </row>
    <row r="190" spans="1:24" x14ac:dyDescent="0.15">
      <c r="C190">
        <v>6343</v>
      </c>
      <c r="D190">
        <v>47</v>
      </c>
      <c r="G190" t="s">
        <v>4658</v>
      </c>
      <c r="S190" t="s">
        <v>4659</v>
      </c>
      <c r="T190" t="str">
        <f t="shared" si="2"/>
        <v>{dwID=6343,nFrame=47,szName="猴儿酒·稚子心",[17]={},[18]={},aFocus={{dwMapID=-1,szDisplay="猴儿酒·稚子心",nMaxDistance=120,tRelation={bAll=true,bEnemy=false,bAlly=false,},tLife={bEnable=false,szOperator="&gt;",nValue=0,},},},},</v>
      </c>
    </row>
    <row r="191" spans="1:24" x14ac:dyDescent="0.15">
      <c r="C191">
        <v>5985</v>
      </c>
      <c r="D191">
        <v>47</v>
      </c>
      <c r="I191" t="s">
        <v>2503</v>
      </c>
      <c r="S191" t="s">
        <v>3627</v>
      </c>
      <c r="T191" t="str">
        <f t="shared" si="2"/>
        <v>{dwID=5985,nFrame=47,szNote="门派事件",[17]={},[18]={},aFocus={{dwMapID=-1,nMaxDistance=10,tRelation={bAll=true,bEnemy=false,bAlly=false,},tLife={bEnable=false,szOperator="&gt;",nValue=0,},},},},</v>
      </c>
    </row>
    <row r="192" spans="1:24" x14ac:dyDescent="0.15">
      <c r="C192">
        <v>5986</v>
      </c>
      <c r="D192">
        <v>47</v>
      </c>
      <c r="I192" t="s">
        <v>2503</v>
      </c>
      <c r="S192" t="s">
        <v>3627</v>
      </c>
      <c r="T192" t="str">
        <f t="shared" si="2"/>
        <v>{dwID=5986,nFrame=47,szNote="门派事件",[17]={},[18]={},aFocus={{dwMapID=-1,nMaxDistance=10,tRelation={bAll=true,bEnemy=false,bAlly=false,},tLife={bEnable=false,szOperator="&gt;",nValue=0,},},},},</v>
      </c>
    </row>
    <row r="193" spans="1:20" x14ac:dyDescent="0.15">
      <c r="C193">
        <v>6009</v>
      </c>
      <c r="D193">
        <v>47</v>
      </c>
      <c r="I193" t="s">
        <v>2503</v>
      </c>
      <c r="S193" t="s">
        <v>4660</v>
      </c>
      <c r="T193" t="str">
        <f t="shared" si="2"/>
        <v>{dwID=6009,nFrame=47,szNote="门派事件",[17]={},[18]={},aFocus={{dwMapID=-1,szDisplay="鱼篓·上交",nMaxDistance=10,tRelation={bAll=true,bEnemy=false,bAlly=false,},tLife={bEnable=false,szOperator="&gt;",nValue=0,},},},},</v>
      </c>
    </row>
    <row r="194" spans="1:20" x14ac:dyDescent="0.15">
      <c r="A194" t="s">
        <v>813</v>
      </c>
      <c r="B194">
        <v>165</v>
      </c>
      <c r="T194" t="str">
        <f t="shared" ref="T194:T257" si="3">IF(ISBLANK(B194)=FALSE,IF(ISBLANK(B193),"},["&amp;B194&amp;"]={","["&amp;B194&amp;"]={"),IF(AND(ISBLANK(B194),ISBLANK(D194),ISBLANK(C194),OR(ISBLANK(B193)=FALSE,ISBLANK(D193)=FALSE,ISBLANK(C193)=FALSE)),"},},}",IF(ISBLANK(C194),"","{dwID="&amp;C194&amp;","&amp;"nFrame="&amp;D194&amp;","&amp;IF(E194&gt;0,"nCount="&amp;E194&amp;",","")&amp;IF(F194&gt;0,"bAllLeave=true,","")&amp;IF(G194&lt;&gt;"","szName="""&amp;G194&amp;""",","")&amp;IF(H194&lt;&gt;"","tKungFu={"&amp;H194&amp;"},","")&amp;IF(I194&lt;&gt;"","szNote="""&amp;I194&amp;""",","")&amp;IF(J194&lt;&gt;"","col={"&amp;J194&amp;"},","")&amp;"[17]={"&amp;IF(K194&lt;&gt;"","szVoice="""&amp;K194&amp;""",","")&amp;IF(L194&gt;0,"bTeamChannel=true,","")&amp;IF(M194&gt;0,"bWhisperChannel=true,","")&amp;IF(N194&gt;0,"bCenterAlarm=true,","")&amp;"},"&amp;"[18]={"&amp;IF(O194&lt;&gt;"","szVoice="""&amp;O194&amp;""",","")&amp;IF(P194&gt;0,"bTeamChannel=true,","")&amp;IF(Q194&gt;0,"bWhisperChannel=true,","")&amp;IF(R194&gt;0,"bCenterAlarm=true,","")&amp;"},"&amp;IF(S194&lt;&gt;"","aFocus={"&amp;S194&amp;"},","")&amp;IF(U194&lt;&gt;"","tCountdown={"&amp;_xlfn.TEXTJOIN("",TRUE,U194:ZZ194)&amp;"},","")&amp;"},")))</f>
        <v>},[165]={</v>
      </c>
    </row>
    <row r="195" spans="1:20" x14ac:dyDescent="0.15">
      <c r="C195">
        <v>4252</v>
      </c>
      <c r="D195">
        <v>47</v>
      </c>
      <c r="S195" t="s">
        <v>3623</v>
      </c>
      <c r="T195" t="str">
        <f t="shared" si="3"/>
        <v>{dwID=4252,nFrame=47,[17]={},[18]={},aFocus={{dwMapID=-1,nMaxDistance=0,tRelation={bAll=true,bEnemy=false,bAlly=false,},tLife={bEnable=false,szOperator="&gt;",nValue=0,},},},},</v>
      </c>
    </row>
    <row r="196" spans="1:20" x14ac:dyDescent="0.15">
      <c r="A196" t="s">
        <v>250</v>
      </c>
      <c r="B196">
        <v>172</v>
      </c>
      <c r="T196" t="str">
        <f t="shared" si="3"/>
        <v>},[172]={</v>
      </c>
    </row>
    <row r="197" spans="1:20" x14ac:dyDescent="0.15">
      <c r="C197">
        <v>4418</v>
      </c>
      <c r="D197">
        <v>47</v>
      </c>
      <c r="S197" t="s">
        <v>3623</v>
      </c>
      <c r="T197" t="str">
        <f t="shared" si="3"/>
        <v>{dwID=4418,nFrame=47,[17]={},[18]={},aFocus={{dwMapID=-1,nMaxDistance=0,tRelation={bAll=true,bEnemy=false,bAlly=false,},tLife={bEnable=false,szOperator="&gt;",nValue=0,},},},},</v>
      </c>
    </row>
    <row r="198" spans="1:20" x14ac:dyDescent="0.15">
      <c r="C198">
        <v>4431</v>
      </c>
      <c r="D198">
        <v>47</v>
      </c>
      <c r="S198" t="s">
        <v>4661</v>
      </c>
      <c r="T198" t="str">
        <f t="shared" si="3"/>
        <v>{dwID=4431,nFrame=47,[17]={},[18]={},aFocus={{dwMapID=-1,szDisplay="传送·长安地宫",nMaxDistance=10,tRelation={bAll=true,bEnemy=false,bAlly=false,},tLife={bEnable=false,szOperator="&gt;",nValue=0,},},},},</v>
      </c>
    </row>
    <row r="199" spans="1:20" x14ac:dyDescent="0.15">
      <c r="C199">
        <v>4432</v>
      </c>
      <c r="D199">
        <v>47</v>
      </c>
      <c r="S199" t="s">
        <v>4661</v>
      </c>
      <c r="T199" t="str">
        <f t="shared" si="3"/>
        <v>{dwID=4432,nFrame=47,[17]={},[18]={},aFocus={{dwMapID=-1,szDisplay="传送·长安地宫",nMaxDistance=10,tRelation={bAll=true,bEnemy=false,bAlly=false,},tLife={bEnable=false,szOperator="&gt;",nValue=0,},},},},</v>
      </c>
    </row>
    <row r="200" spans="1:20" x14ac:dyDescent="0.15">
      <c r="C200">
        <v>4477</v>
      </c>
      <c r="D200">
        <v>47</v>
      </c>
      <c r="S200" t="s">
        <v>3733</v>
      </c>
      <c r="T200" t="str">
        <f t="shared" si="3"/>
        <v>{dwID=4477,nFrame=47,[17]={},[18]={},aFocus={{dwMapID=-1,nMaxDistance=60,tRelation={bAll=true,bEnemy=false,bAlly=false,},tLife={bEnable=false,szOperator="&gt;",nValue=0,},},},},</v>
      </c>
    </row>
    <row r="201" spans="1:20" x14ac:dyDescent="0.15">
      <c r="C201">
        <v>4478</v>
      </c>
      <c r="D201">
        <v>47</v>
      </c>
      <c r="S201" t="s">
        <v>3733</v>
      </c>
      <c r="T201" t="str">
        <f t="shared" si="3"/>
        <v>{dwID=4478,nFrame=47,[17]={},[18]={},aFocus={{dwMapID=-1,nMaxDistance=60,tRelation={bAll=true,bEnemy=false,bAlly=false,},tLife={bEnable=false,szOperator="&gt;",nValue=0,},},},},</v>
      </c>
    </row>
    <row r="202" spans="1:20" x14ac:dyDescent="0.15">
      <c r="C202">
        <v>6588</v>
      </c>
      <c r="D202">
        <v>47</v>
      </c>
      <c r="S202" t="s">
        <v>4662</v>
      </c>
      <c r="T202" t="str">
        <f t="shared" si="3"/>
        <v>{dwID=6588,nFrame=47,[17]={},[18]={},aFocus={{dwMapID=-1,szDisplay="小土堆·故园风雨",nMaxDistance=40,tRelation={bAll=true,bEnemy=false,bAlly=false,},tLife={bEnable=false,szOperator="&gt;",nValue=0,},},},},</v>
      </c>
    </row>
    <row r="203" spans="1:20" x14ac:dyDescent="0.15">
      <c r="C203">
        <v>4527</v>
      </c>
      <c r="D203">
        <v>47</v>
      </c>
      <c r="S203" t="s">
        <v>4663</v>
      </c>
      <c r="T203" t="str">
        <f t="shared" si="3"/>
        <v>{dwID=4527,nFrame=47,[17]={},[18]={},aFocus={{dwMapID=-1,szDisplay="颠倒梦想·迷仙引",nMaxDistance=20,tRelation={bAll=true,bEnemy=false,bAlly=false,},tLife={bEnable=false,szOperator="&gt;",nValue=0,},},},},</v>
      </c>
    </row>
    <row r="204" spans="1:20" x14ac:dyDescent="0.15">
      <c r="C204">
        <v>8296</v>
      </c>
      <c r="D204">
        <v>47</v>
      </c>
      <c r="S204" t="s">
        <v>4661</v>
      </c>
      <c r="T204" t="str">
        <f t="shared" si="3"/>
        <v>{dwID=8296,nFrame=47,[17]={},[18]={},aFocus={{dwMapID=-1,szDisplay="传送·长安地宫",nMaxDistance=10,tRelation={bAll=true,bEnemy=false,bAlly=false,},tLife={bEnable=false,szOperator="&gt;",nValue=0,},},},},</v>
      </c>
    </row>
    <row r="205" spans="1:20" x14ac:dyDescent="0.15">
      <c r="A205" t="s">
        <v>827</v>
      </c>
      <c r="B205">
        <v>184</v>
      </c>
      <c r="T205" t="str">
        <f t="shared" si="3"/>
        <v>},[184]={</v>
      </c>
    </row>
    <row r="206" spans="1:20" x14ac:dyDescent="0.15">
      <c r="C206">
        <v>4691</v>
      </c>
      <c r="D206">
        <v>47</v>
      </c>
      <c r="G206" t="s">
        <v>504</v>
      </c>
      <c r="S206" t="s">
        <v>4664</v>
      </c>
      <c r="T206" t="str">
        <f t="shared" si="3"/>
        <v>{dwID=4691,nFrame=47,szName="机关",[17]={},[18]={},aFocus={{dwMapID=-1,szDisplay="机关",nMaxDistance=6,tRelation={bAll=true,bEnemy=false,bAlly=false,},tLife={bEnable=false,szOperator="&gt;",nValue=0,},},},},</v>
      </c>
    </row>
    <row r="207" spans="1:20" x14ac:dyDescent="0.15">
      <c r="A207" t="s">
        <v>251</v>
      </c>
      <c r="B207">
        <v>186</v>
      </c>
      <c r="T207" t="str">
        <f t="shared" si="3"/>
        <v>},[186]={</v>
      </c>
    </row>
    <row r="208" spans="1:20" x14ac:dyDescent="0.15">
      <c r="C208">
        <v>4734</v>
      </c>
      <c r="D208">
        <v>47</v>
      </c>
      <c r="I208" t="s">
        <v>4665</v>
      </c>
      <c r="J208" t="s">
        <v>2524</v>
      </c>
      <c r="N208">
        <v>1</v>
      </c>
      <c r="S208" t="s">
        <v>3623</v>
      </c>
      <c r="T208" t="str">
        <f t="shared" si="3"/>
        <v>{dwID=4734,nFrame=47,szNote="蓝方菌箱",col={100,100,255,},[17]={bCenterAlarm=true,},[18]={},aFocus={{dwMapID=-1,nMaxDistance=0,tRelation={bAll=true,bEnemy=false,bAlly=false,},tLife={bEnable=false,szOperator="&gt;",nValue=0,},},},},</v>
      </c>
    </row>
    <row r="209" spans="1:20" x14ac:dyDescent="0.15">
      <c r="C209">
        <v>4733</v>
      </c>
      <c r="D209">
        <v>47</v>
      </c>
      <c r="I209" t="s">
        <v>4666</v>
      </c>
      <c r="J209" t="s">
        <v>2529</v>
      </c>
      <c r="N209">
        <v>1</v>
      </c>
      <c r="S209" t="s">
        <v>3623</v>
      </c>
      <c r="T209" t="str">
        <f t="shared" si="3"/>
        <v>{dwID=4733,nFrame=47,szNote="红方菌箱",col={255,100,100,},[17]={bCenterAlarm=true,},[18]={},aFocus={{dwMapID=-1,nMaxDistance=0,tRelation={bAll=true,bEnemy=false,bAlly=false,},tLife={bEnable=false,szOperator="&gt;",nValue=0,},},},},</v>
      </c>
    </row>
    <row r="210" spans="1:20" x14ac:dyDescent="0.15">
      <c r="A210" t="s">
        <v>833</v>
      </c>
      <c r="B210">
        <v>193</v>
      </c>
      <c r="T210" t="str">
        <f t="shared" si="3"/>
        <v>},[193]={</v>
      </c>
    </row>
    <row r="211" spans="1:20" x14ac:dyDescent="0.15">
      <c r="C211">
        <v>4996</v>
      </c>
      <c r="D211">
        <v>47</v>
      </c>
      <c r="S211" t="s">
        <v>4667</v>
      </c>
      <c r="T211" t="str">
        <f t="shared" si="3"/>
        <v>{dwID=4996,nFrame=47,[17]={},[18]={},aFocus={{dwMapID=-1,szDisplay="衣物箱·门派事件",nMaxDistance=6,tRelation={bAll=true,bEnemy=false,bAlly=false,},tLife={bEnable=false,szOperator="&gt;",nValue=0,},},},},</v>
      </c>
    </row>
    <row r="212" spans="1:20" x14ac:dyDescent="0.15">
      <c r="C212">
        <v>4993</v>
      </c>
      <c r="D212">
        <v>47</v>
      </c>
      <c r="S212" t="s">
        <v>4668</v>
      </c>
      <c r="T212" t="str">
        <f t="shared" si="3"/>
        <v>{dwID=4993,nFrame=47,[17]={},[18]={},aFocus={{dwMapID=-1,szDisplay="弓箭架·门派事件",nMaxDistance=10,tRelation={bAll=true,bEnemy=false,bAlly=false,},tLife={bEnable=false,szOperator="&gt;",nValue=0,},},},},</v>
      </c>
    </row>
    <row r="213" spans="1:20" x14ac:dyDescent="0.15">
      <c r="C213">
        <v>4999</v>
      </c>
      <c r="D213">
        <v>47</v>
      </c>
      <c r="S213" t="s">
        <v>4669</v>
      </c>
      <c r="T213" t="str">
        <f t="shared" si="3"/>
        <v>{dwID=4999,nFrame=47,[17]={},[18]={},aFocus={{dwMapID=-1,szDisplay="贯云梯·传送",nMaxDistance=10,tRelation={bAll=true,bEnemy=false,bAlly=false,},tLife={bEnable=false,szOperator="&gt;",nValue=0,},},},},</v>
      </c>
    </row>
    <row r="214" spans="1:20" x14ac:dyDescent="0.15">
      <c r="C214">
        <v>5862</v>
      </c>
      <c r="D214">
        <v>47</v>
      </c>
      <c r="S214" t="s">
        <v>4670</v>
      </c>
      <c r="T214" t="str">
        <f t="shared" si="3"/>
        <v>{dwID=5862,nFrame=47,[17]={},[18]={},aFocus={{dwMapID=-1,szDisplay="玄铁矿·门派事件",nMaxDistance=30,tRelation={bAll=true,bEnemy=false,bAlly=false,},tLife={bEnable=false,szOperator="&gt;",nValue=0,},},},},</v>
      </c>
    </row>
    <row r="215" spans="1:20" x14ac:dyDescent="0.15">
      <c r="A215" t="s">
        <v>834</v>
      </c>
      <c r="B215">
        <v>194</v>
      </c>
      <c r="T215" t="str">
        <f t="shared" si="3"/>
        <v>},[194]={</v>
      </c>
    </row>
    <row r="216" spans="1:20" x14ac:dyDescent="0.15">
      <c r="C216">
        <v>5752</v>
      </c>
      <c r="D216">
        <v>47</v>
      </c>
      <c r="S216" t="s">
        <v>3623</v>
      </c>
      <c r="T216" t="str">
        <f t="shared" si="3"/>
        <v>{dwID=5752,nFrame=47,[17]={},[18]={},aFocus={{dwMapID=-1,nMaxDistance=0,tRelation={bAll=true,bEnemy=false,bAlly=false,},tLife={bEnable=false,szOperator="&gt;",nValue=0,},},},},</v>
      </c>
    </row>
    <row r="217" spans="1:20" x14ac:dyDescent="0.15">
      <c r="C217">
        <v>5055</v>
      </c>
      <c r="D217">
        <v>47</v>
      </c>
      <c r="G217" t="s">
        <v>4671</v>
      </c>
      <c r="J217" t="s">
        <v>2152</v>
      </c>
      <c r="N217">
        <v>1</v>
      </c>
      <c r="S217" t="s">
        <v>4672</v>
      </c>
      <c r="T217" t="str">
        <f t="shared" si="3"/>
        <v>{dwID=5055,nFrame=47,szName="坚果·果果",col={0,255,255,},[17]={bCenterAlarm=true,},[18]={},aFocus={{dwMapID=-1,szDisplay="坚果·果果",nMaxDistance=0,tRelation={bAll=true,bEnemy=false,bAlly=false,},tLife={bEnable=false,szOperator="&gt;",nValue=0,},},},},</v>
      </c>
    </row>
    <row r="218" spans="1:20" x14ac:dyDescent="0.15">
      <c r="C218">
        <v>5099</v>
      </c>
      <c r="D218">
        <v>47</v>
      </c>
      <c r="I218" t="s">
        <v>4673</v>
      </c>
      <c r="S218" t="s">
        <v>4674</v>
      </c>
      <c r="T218" t="str">
        <f t="shared" si="3"/>
        <v>{dwID=5099,nFrame=47,szNote="日行一善",[17]={},[18]={},aFocus={{dwMapID=-1,szDisplay="尸骨·日行一善",nMaxDistance=30,tRelation={bAll=true,bEnemy=false,bAlly=false,},tLife={bEnable=false,szOperator="&gt;",nValue=0,},},},},</v>
      </c>
    </row>
    <row r="219" spans="1:20" x14ac:dyDescent="0.15">
      <c r="C219">
        <v>4909</v>
      </c>
      <c r="D219">
        <v>47</v>
      </c>
      <c r="S219" t="s">
        <v>4177</v>
      </c>
      <c r="T219" t="str">
        <f t="shared" si="3"/>
        <v>{dwID=4909,nFrame=47,[17]={},[18]={},aFocus={{dwMapID=-1,nMaxDistance=5,tRelation={bAll=true,bEnemy=false,bAlly=false,},tLife={bEnable=false,szOperator="&gt;",nValue=0,},},},},</v>
      </c>
    </row>
    <row r="220" spans="1:20" x14ac:dyDescent="0.15">
      <c r="A220" t="s">
        <v>847</v>
      </c>
      <c r="B220">
        <v>213</v>
      </c>
      <c r="T220" t="str">
        <f t="shared" si="3"/>
        <v>},[213]={</v>
      </c>
    </row>
    <row r="221" spans="1:20" x14ac:dyDescent="0.15">
      <c r="C221">
        <v>5627</v>
      </c>
      <c r="D221">
        <v>47</v>
      </c>
      <c r="S221" t="s">
        <v>3621</v>
      </c>
      <c r="T221" t="str">
        <f t="shared" si="3"/>
        <v>{dwID=5627,nFrame=47,[17]={},[18]={},aFocus={{dwMapID=-1,nMaxDistance=6,tRelation={bAll=true,bEnemy=false,bAlly=false,},tLife={bEnable=false,szOperator="&gt;",nValue=0,},},},},</v>
      </c>
    </row>
    <row r="222" spans="1:20" x14ac:dyDescent="0.15">
      <c r="C222">
        <v>5628</v>
      </c>
      <c r="D222">
        <v>47</v>
      </c>
      <c r="S222" t="s">
        <v>3731</v>
      </c>
      <c r="T222" t="str">
        <f t="shared" si="3"/>
        <v>{dwID=5628,nFrame=47,[17]={},[18]={},aFocus={{dwMapID=-1,nMaxDistance=3,tRelation={bAll=true,bEnemy=false,bAlly=false,},tLife={bEnable=false,szOperator="&gt;",nValue=0,},},},},</v>
      </c>
    </row>
    <row r="223" spans="1:20" x14ac:dyDescent="0.15">
      <c r="A223" t="s">
        <v>252</v>
      </c>
      <c r="B223">
        <v>214</v>
      </c>
      <c r="T223" t="str">
        <f t="shared" si="3"/>
        <v>},[214]={</v>
      </c>
    </row>
    <row r="224" spans="1:20" x14ac:dyDescent="0.15">
      <c r="C224">
        <v>5583</v>
      </c>
      <c r="D224">
        <v>47</v>
      </c>
      <c r="I224" t="s">
        <v>2551</v>
      </c>
      <c r="J224" t="s">
        <v>2168</v>
      </c>
      <c r="S224" t="s">
        <v>3623</v>
      </c>
      <c r="T224" t="str">
        <f t="shared" si="3"/>
        <v>{dwID=5583,nFrame=47,szNote="五台山·无遮大会",col={0,255,0,},[17]={},[18]={},aFocus={{dwMapID=-1,nMaxDistance=0,tRelation={bAll=true,bEnemy=false,bAlly=false,},tLife={bEnable=false,szOperator="&gt;",nValue=0,},},},},</v>
      </c>
    </row>
    <row r="225" spans="1:20" x14ac:dyDescent="0.15">
      <c r="A225" t="s">
        <v>256</v>
      </c>
      <c r="B225">
        <v>216</v>
      </c>
      <c r="T225" t="str">
        <f t="shared" si="3"/>
        <v>},[216]={</v>
      </c>
    </row>
    <row r="226" spans="1:20" x14ac:dyDescent="0.15">
      <c r="C226">
        <v>10371</v>
      </c>
      <c r="D226">
        <v>47</v>
      </c>
      <c r="G226" t="s">
        <v>4521</v>
      </c>
      <c r="N226">
        <v>1</v>
      </c>
      <c r="S226" t="s">
        <v>4522</v>
      </c>
      <c r="T226" t="str">
        <f t="shared" si="3"/>
        <v>{dwID=10371,nFrame=47,szName="的卢·宝堆",[17]={bCenterAlarm=true,},[18]={},aFocus={{dwMapID=-1,szDisplay="的卢·宝堆",nMaxDistance=120,tRelation={bAll=true,bEnemy=false,bAlly=false,},tLife={bEnable=false,szOperator="&gt;",nValue=0,},},},},</v>
      </c>
    </row>
    <row r="227" spans="1:20" x14ac:dyDescent="0.15">
      <c r="C227">
        <v>5732</v>
      </c>
      <c r="D227">
        <v>47</v>
      </c>
      <c r="N227">
        <v>1</v>
      </c>
      <c r="S227" t="s">
        <v>3623</v>
      </c>
      <c r="T227" t="str">
        <f t="shared" si="3"/>
        <v>{dwID=5732,nFrame=47,[17]={bCenterAlarm=true,},[18]={},aFocus={{dwMapID=-1,nMaxDistance=0,tRelation={bAll=true,bEnemy=false,bAlly=false,},tLife={bEnable=false,szOperator="&gt;",nValue=0,},},},},</v>
      </c>
    </row>
    <row r="228" spans="1:20" x14ac:dyDescent="0.15">
      <c r="C228">
        <v>5731</v>
      </c>
      <c r="D228">
        <v>47</v>
      </c>
      <c r="N228">
        <v>1</v>
      </c>
      <c r="S228" t="s">
        <v>3623</v>
      </c>
      <c r="T228" t="str">
        <f t="shared" si="3"/>
        <v>{dwID=5731,nFrame=47,[17]={bCenterAlarm=true,},[18]={},aFocus={{dwMapID=-1,nMaxDistance=0,tRelation={bAll=true,bEnemy=false,bAlly=false,},tLife={bEnable=false,szOperator="&gt;",nValue=0,},},},},</v>
      </c>
    </row>
    <row r="229" spans="1:20" x14ac:dyDescent="0.15">
      <c r="C229">
        <v>5752</v>
      </c>
      <c r="D229">
        <v>47</v>
      </c>
      <c r="S229" t="s">
        <v>3623</v>
      </c>
      <c r="T229" t="str">
        <f t="shared" si="3"/>
        <v>{dwID=5752,nFrame=47,[17]={},[18]={},aFocus={{dwMapID=-1,nMaxDistance=0,tRelation={bAll=true,bEnemy=false,bAlly=false,},tLife={bEnable=false,szOperator="&gt;",nValue=0,},},},},</v>
      </c>
    </row>
    <row r="230" spans="1:20" x14ac:dyDescent="0.15">
      <c r="C230">
        <v>10559</v>
      </c>
      <c r="D230">
        <v>47</v>
      </c>
      <c r="I230" t="s">
        <v>4440</v>
      </c>
      <c r="S230" t="s">
        <v>4675</v>
      </c>
      <c r="T230" t="str">
        <f t="shared" si="3"/>
        <v>{dwID=10559,nFrame=47,szNote="泛天河",[17]={},[18]={},aFocus={{dwMapID=-1,szDisplay="金晶岩·泛天河",nMaxDistance=120,tRelation={bAll=true,bEnemy=false,bAlly=false,},tLife={bEnable=false,szOperator="&gt;",nValue=0,},},},},</v>
      </c>
    </row>
    <row r="231" spans="1:20" x14ac:dyDescent="0.15">
      <c r="A231" t="s">
        <v>257</v>
      </c>
      <c r="B231">
        <v>217</v>
      </c>
      <c r="T231" t="str">
        <f t="shared" si="3"/>
        <v>},[217]={</v>
      </c>
    </row>
    <row r="232" spans="1:20" x14ac:dyDescent="0.15">
      <c r="C232">
        <v>4818</v>
      </c>
      <c r="D232">
        <v>47</v>
      </c>
      <c r="S232" t="s">
        <v>3623</v>
      </c>
      <c r="T232" t="str">
        <f t="shared" si="3"/>
        <v>{dwID=4818,nFrame=47,[17]={},[18]={},aFocus={{dwMapID=-1,nMaxDistance=0,tRelation={bAll=true,bEnemy=false,bAlly=false,},tLife={bEnable=false,szOperator="&gt;",nValue=0,},},},},</v>
      </c>
    </row>
    <row r="233" spans="1:20" x14ac:dyDescent="0.15">
      <c r="C233">
        <v>4817</v>
      </c>
      <c r="D233">
        <v>47</v>
      </c>
      <c r="S233" t="s">
        <v>3623</v>
      </c>
      <c r="T233" t="str">
        <f t="shared" si="3"/>
        <v>{dwID=4817,nFrame=47,[17]={},[18]={},aFocus={{dwMapID=-1,nMaxDistance=0,tRelation={bAll=true,bEnemy=false,bAlly=false,},tLife={bEnable=false,szOperator="&gt;",nValue=0,},},},},</v>
      </c>
    </row>
    <row r="234" spans="1:20" x14ac:dyDescent="0.15">
      <c r="C234">
        <v>10371</v>
      </c>
      <c r="D234">
        <v>47</v>
      </c>
      <c r="G234" t="s">
        <v>4521</v>
      </c>
      <c r="N234">
        <v>1</v>
      </c>
      <c r="S234" t="s">
        <v>4522</v>
      </c>
      <c r="T234" t="str">
        <f t="shared" si="3"/>
        <v>{dwID=10371,nFrame=47,szName="的卢·宝堆",[17]={bCenterAlarm=true,},[18]={},aFocus={{dwMapID=-1,szDisplay="的卢·宝堆",nMaxDistance=120,tRelation={bAll=true,bEnemy=false,bAlly=false,},tLife={bEnable=false,szOperator="&gt;",nValue=0,},},},},</v>
      </c>
    </row>
    <row r="235" spans="1:20" x14ac:dyDescent="0.15">
      <c r="C235">
        <v>5732</v>
      </c>
      <c r="D235">
        <v>47</v>
      </c>
      <c r="N235">
        <v>1</v>
      </c>
      <c r="S235" t="s">
        <v>3623</v>
      </c>
      <c r="T235" t="str">
        <f t="shared" si="3"/>
        <v>{dwID=5732,nFrame=47,[17]={bCenterAlarm=true,},[18]={},aFocus={{dwMapID=-1,nMaxDistance=0,tRelation={bAll=true,bEnemy=false,bAlly=false,},tLife={bEnable=false,szOperator="&gt;",nValue=0,},},},},</v>
      </c>
    </row>
    <row r="236" spans="1:20" x14ac:dyDescent="0.15">
      <c r="C236">
        <v>5731</v>
      </c>
      <c r="D236">
        <v>47</v>
      </c>
      <c r="N236">
        <v>1</v>
      </c>
      <c r="S236" t="s">
        <v>3623</v>
      </c>
      <c r="T236" t="str">
        <f t="shared" si="3"/>
        <v>{dwID=5731,nFrame=47,[17]={bCenterAlarm=true,},[18]={},aFocus={{dwMapID=-1,nMaxDistance=0,tRelation={bAll=true,bEnemy=false,bAlly=false,},tLife={bEnable=false,szOperator="&gt;",nValue=0,},},},},</v>
      </c>
    </row>
    <row r="237" spans="1:20" x14ac:dyDescent="0.15">
      <c r="A237" t="s">
        <v>258</v>
      </c>
      <c r="B237">
        <v>239</v>
      </c>
      <c r="T237" t="str">
        <f t="shared" si="3"/>
        <v>},[239]={</v>
      </c>
    </row>
    <row r="238" spans="1:20" x14ac:dyDescent="0.15">
      <c r="C238">
        <v>6356</v>
      </c>
      <c r="D238">
        <v>47</v>
      </c>
      <c r="S238" t="s">
        <v>4676</v>
      </c>
      <c r="T238" t="str">
        <f t="shared" si="3"/>
        <v>{dwID=6356,nFrame=47,[17]={},[18]={},aFocus={{dwMapID=-1,szDisplay="小水桶·隐藏任务",nMaxDistance=20,tRelation={bAll=true,bEnemy=false,bAlly=false,},tLife={bEnable=false,szOperator="&gt;",nValue=0,},},},},</v>
      </c>
    </row>
    <row r="239" spans="1:20" x14ac:dyDescent="0.15">
      <c r="C239">
        <v>6829</v>
      </c>
      <c r="D239">
        <v>47</v>
      </c>
      <c r="I239" t="s">
        <v>4293</v>
      </c>
      <c r="N239">
        <v>1</v>
      </c>
      <c r="S239" t="s">
        <v>3623</v>
      </c>
      <c r="T239" t="str">
        <f t="shared" si="3"/>
        <v>{dwID=6829,nFrame=47,szNote="洛阳神兵暗角逐",[17]={bCenterAlarm=true,},[18]={},aFocus={{dwMapID=-1,nMaxDistance=0,tRelation={bAll=true,bEnemy=false,bAlly=false,},tLife={bEnable=false,szOperator="&gt;",nValue=0,},},},},</v>
      </c>
    </row>
    <row r="240" spans="1:20" x14ac:dyDescent="0.15">
      <c r="C240">
        <v>6830</v>
      </c>
      <c r="D240">
        <v>47</v>
      </c>
      <c r="I240" t="s">
        <v>4293</v>
      </c>
      <c r="N240">
        <v>1</v>
      </c>
      <c r="S240" t="s">
        <v>3623</v>
      </c>
      <c r="T240" t="str">
        <f t="shared" si="3"/>
        <v>{dwID=6830,nFrame=47,szNote="洛阳神兵暗角逐",[17]={bCenterAlarm=true,},[18]={},aFocus={{dwMapID=-1,nMaxDistance=0,tRelation={bAll=true,bEnemy=false,bAlly=false,},tLife={bEnable=false,szOperator="&gt;",nValue=0,},},},},</v>
      </c>
    </row>
    <row r="241" spans="1:20" x14ac:dyDescent="0.15">
      <c r="A241" t="s">
        <v>903</v>
      </c>
      <c r="B241">
        <v>286</v>
      </c>
      <c r="T241" t="str">
        <f t="shared" si="3"/>
        <v>},[286]={</v>
      </c>
    </row>
    <row r="242" spans="1:20" x14ac:dyDescent="0.15">
      <c r="C242">
        <v>6920</v>
      </c>
      <c r="D242">
        <v>47</v>
      </c>
      <c r="S242" t="s">
        <v>4343</v>
      </c>
      <c r="T242" t="str">
        <f t="shared" si="3"/>
        <v>{dwID=6920,nFrame=47,[17]={},[18]={},aFocus={{dwMapID=-1,nMaxDistance=50,tRelation={bAll=true,bEnemy=false,bAlly=false,},tLife={bEnable=false,szOperator="&gt;",nValue=0,},},},},</v>
      </c>
    </row>
    <row r="243" spans="1:20" x14ac:dyDescent="0.15">
      <c r="A243" t="s">
        <v>260</v>
      </c>
      <c r="B243">
        <v>302</v>
      </c>
      <c r="T243" t="str">
        <f t="shared" si="3"/>
        <v>},[302]={</v>
      </c>
    </row>
    <row r="244" spans="1:20" x14ac:dyDescent="0.15">
      <c r="C244">
        <v>7116</v>
      </c>
      <c r="D244">
        <v>47</v>
      </c>
      <c r="S244" t="s">
        <v>4028</v>
      </c>
      <c r="T244" t="str">
        <f t="shared" si="3"/>
        <v>{dwID=7116,nFrame=47,[17]={},[18]={},aFocus={{dwMapID=-1,nMaxDistance=20,tRelation={bAll=true,bEnemy=false,bAlly=false,},tLife={bEnable=false,szOperator="&gt;",nValue=0,},},},},</v>
      </c>
    </row>
    <row r="245" spans="1:20" x14ac:dyDescent="0.15">
      <c r="A245" t="s">
        <v>261</v>
      </c>
      <c r="B245">
        <v>330</v>
      </c>
      <c r="T245" t="str">
        <f t="shared" si="3"/>
        <v>},[330]={</v>
      </c>
    </row>
    <row r="246" spans="1:20" x14ac:dyDescent="0.15">
      <c r="C246">
        <v>7250</v>
      </c>
      <c r="D246">
        <v>47</v>
      </c>
      <c r="I246" t="s">
        <v>3405</v>
      </c>
      <c r="S246" t="s">
        <v>4677</v>
      </c>
      <c r="T246" t="str">
        <f t="shared" si="3"/>
        <v>{dwID=7250,nFrame=47,szNote="雪国冬猎",[17]={},[18]={},aFocus={{dwMapID=-1,szDisplay="野人参·20分",nMaxDistance=0,tRelation={bAll=true,bEnemy=false,bAlly=false,},tLife={bEnable=false,szOperator="&gt;",nValue=0,},},},},</v>
      </c>
    </row>
    <row r="247" spans="1:20" x14ac:dyDescent="0.15">
      <c r="C247">
        <v>7251</v>
      </c>
      <c r="D247">
        <v>47</v>
      </c>
      <c r="I247" t="s">
        <v>3405</v>
      </c>
      <c r="S247" t="s">
        <v>4678</v>
      </c>
      <c r="T247" t="str">
        <f t="shared" si="3"/>
        <v>{dwID=7251,nFrame=47,szNote="雪国冬猎",[17]={},[18]={},aFocus={{dwMapID=-1,szDisplay="木材·6分",nMaxDistance=30,tRelation={bAll=true,bEnemy=false,bAlly=false,},tLife={bEnable=false,szOperator="&gt;",nValue=0,},},},},</v>
      </c>
    </row>
    <row r="248" spans="1:20" x14ac:dyDescent="0.15">
      <c r="C248">
        <v>7252</v>
      </c>
      <c r="D248">
        <v>47</v>
      </c>
      <c r="G248" t="s">
        <v>4679</v>
      </c>
      <c r="I248" t="s">
        <v>3405</v>
      </c>
      <c r="S248" t="s">
        <v>4680</v>
      </c>
      <c r="T248" t="str">
        <f t="shared" si="3"/>
        <v>{dwID=7252,nFrame=47,szName="冰面",szNote="雪国冬猎",[17]={},[18]={},aFocus={{dwMapID=-1,szDisplay="冰面",nMaxDistance=6,tRelation={bAll=true,bEnemy=false,bAlly=false,},tLife={bEnable=false,szOperator="&gt;",nValue=0,},},},},</v>
      </c>
    </row>
    <row r="249" spans="1:20" x14ac:dyDescent="0.15">
      <c r="A249" t="s">
        <v>941</v>
      </c>
      <c r="B249">
        <v>332</v>
      </c>
      <c r="T249" t="str">
        <f t="shared" si="3"/>
        <v>},[332]={</v>
      </c>
    </row>
    <row r="250" spans="1:20" x14ac:dyDescent="0.15">
      <c r="C250">
        <v>7656</v>
      </c>
      <c r="D250">
        <v>47</v>
      </c>
      <c r="N250">
        <v>1</v>
      </c>
      <c r="S250" t="s">
        <v>3623</v>
      </c>
      <c r="T250" t="str">
        <f t="shared" si="3"/>
        <v>{dwID=7656,nFrame=47,[17]={bCenterAlarm=true,},[18]={},aFocus={{dwMapID=-1,nMaxDistance=0,tRelation={bAll=true,bEnemy=false,bAlly=false,},tLife={bEnable=false,szOperator="&gt;",nValue=0,},},},},</v>
      </c>
    </row>
    <row r="251" spans="1:20" x14ac:dyDescent="0.15">
      <c r="C251">
        <v>7525</v>
      </c>
      <c r="D251">
        <v>47</v>
      </c>
      <c r="S251" t="s">
        <v>3623</v>
      </c>
      <c r="T251" t="str">
        <f t="shared" si="3"/>
        <v>{dwID=7525,nFrame=47,[17]={},[18]={},aFocus={{dwMapID=-1,nMaxDistance=0,tRelation={bAll=true,bEnemy=false,bAlly=false,},tLife={bEnable=false,szOperator="&gt;",nValue=0,},},},},</v>
      </c>
    </row>
    <row r="252" spans="1:20" x14ac:dyDescent="0.15">
      <c r="A252" t="s">
        <v>262</v>
      </c>
      <c r="B252">
        <v>334</v>
      </c>
      <c r="T252" t="str">
        <f t="shared" si="3"/>
        <v>},[334]={</v>
      </c>
    </row>
    <row r="253" spans="1:20" x14ac:dyDescent="0.15">
      <c r="C253">
        <v>7634</v>
      </c>
      <c r="D253">
        <v>47</v>
      </c>
      <c r="S253" t="s">
        <v>3623</v>
      </c>
      <c r="T253" t="str">
        <f t="shared" si="3"/>
        <v>{dwID=7634,nFrame=47,[17]={},[18]={},aFocus={{dwMapID=-1,nMaxDistance=0,tRelation={bAll=true,bEnemy=false,bAlly=false,},tLife={bEnable=false,szOperator="&gt;",nValue=0,},},},},</v>
      </c>
    </row>
    <row r="254" spans="1:20" x14ac:dyDescent="0.15">
      <c r="A254" t="s">
        <v>947</v>
      </c>
      <c r="B254">
        <v>341</v>
      </c>
      <c r="T254" t="str">
        <f t="shared" si="3"/>
        <v>},[341]={</v>
      </c>
    </row>
    <row r="255" spans="1:20" x14ac:dyDescent="0.15">
      <c r="C255">
        <v>7642</v>
      </c>
      <c r="D255">
        <v>47</v>
      </c>
      <c r="S255" t="s">
        <v>3623</v>
      </c>
      <c r="T255" t="str">
        <f t="shared" si="3"/>
        <v>{dwID=7642,nFrame=47,[17]={},[18]={},aFocus={{dwMapID=-1,nMaxDistance=0,tRelation={bAll=true,bEnemy=false,bAlly=false,},tLife={bEnable=false,szOperator="&gt;",nValue=0,},},},},</v>
      </c>
    </row>
    <row r="256" spans="1:20" x14ac:dyDescent="0.15">
      <c r="C256">
        <v>7539</v>
      </c>
      <c r="D256">
        <v>47</v>
      </c>
      <c r="S256" t="s">
        <v>3623</v>
      </c>
      <c r="T256" t="str">
        <f t="shared" si="3"/>
        <v>{dwID=7539,nFrame=47,[17]={},[18]={},aFocus={{dwMapID=-1,nMaxDistance=0,tRelation={bAll=true,bEnemy=false,bAlly=false,},tLife={bEnable=false,szOperator="&gt;",nValue=0,},},},},</v>
      </c>
    </row>
    <row r="257" spans="1:20" x14ac:dyDescent="0.15">
      <c r="A257" t="s">
        <v>955</v>
      </c>
      <c r="B257">
        <v>354</v>
      </c>
      <c r="T257" t="str">
        <f t="shared" si="3"/>
        <v>},[354]={</v>
      </c>
    </row>
    <row r="258" spans="1:20" x14ac:dyDescent="0.15">
      <c r="C258">
        <v>7642</v>
      </c>
      <c r="D258">
        <v>47</v>
      </c>
      <c r="S258" t="s">
        <v>3623</v>
      </c>
      <c r="T258" t="str">
        <f t="shared" ref="T258:T321" si="4">IF(ISBLANK(B258)=FALSE,IF(ISBLANK(B257),"},["&amp;B258&amp;"]={","["&amp;B258&amp;"]={"),IF(AND(ISBLANK(B258),ISBLANK(D258),ISBLANK(C258),OR(ISBLANK(B257)=FALSE,ISBLANK(D257)=FALSE,ISBLANK(C257)=FALSE)),"},},}",IF(ISBLANK(C258),"","{dwID="&amp;C258&amp;","&amp;"nFrame="&amp;D258&amp;","&amp;IF(E258&gt;0,"nCount="&amp;E258&amp;",","")&amp;IF(F258&gt;0,"bAllLeave=true,","")&amp;IF(G258&lt;&gt;"","szName="""&amp;G258&amp;""",","")&amp;IF(H258&lt;&gt;"","tKungFu={"&amp;H258&amp;"},","")&amp;IF(I258&lt;&gt;"","szNote="""&amp;I258&amp;""",","")&amp;IF(J258&lt;&gt;"","col={"&amp;J258&amp;"},","")&amp;"[17]={"&amp;IF(K258&lt;&gt;"","szVoice="""&amp;K258&amp;""",","")&amp;IF(L258&gt;0,"bTeamChannel=true,","")&amp;IF(M258&gt;0,"bWhisperChannel=true,","")&amp;IF(N258&gt;0,"bCenterAlarm=true,","")&amp;"},"&amp;"[18]={"&amp;IF(O258&lt;&gt;"","szVoice="""&amp;O258&amp;""",","")&amp;IF(P258&gt;0,"bTeamChannel=true,","")&amp;IF(Q258&gt;0,"bWhisperChannel=true,","")&amp;IF(R258&gt;0,"bCenterAlarm=true,","")&amp;"},"&amp;IF(S258&lt;&gt;"","aFocus={"&amp;S258&amp;"},","")&amp;IF(U258&lt;&gt;"","tCountdown={"&amp;_xlfn.TEXTJOIN("",TRUE,U258:ZZ258)&amp;"},","")&amp;"},")))</f>
        <v>{dwID=7642,nFrame=47,[17]={},[18]={},aFocus={{dwMapID=-1,nMaxDistance=0,tRelation={bAll=true,bEnemy=false,bAlly=false,},tLife={bEnable=false,szOperator="&gt;",nValue=0,},},},},</v>
      </c>
    </row>
    <row r="259" spans="1:20" x14ac:dyDescent="0.15">
      <c r="C259">
        <v>7539</v>
      </c>
      <c r="D259">
        <v>47</v>
      </c>
      <c r="S259" t="s">
        <v>3623</v>
      </c>
      <c r="T259" t="str">
        <f t="shared" si="4"/>
        <v>{dwID=7539,nFrame=47,[17]={},[18]={},aFocus={{dwMapID=-1,nMaxDistance=0,tRelation={bAll=true,bEnemy=false,bAlly=false,},tLife={bEnable=false,szOperator="&gt;",nValue=0,},},},},</v>
      </c>
    </row>
    <row r="260" spans="1:20" x14ac:dyDescent="0.15">
      <c r="A260" t="s">
        <v>961</v>
      </c>
      <c r="B260">
        <v>360</v>
      </c>
      <c r="T260" t="str">
        <f t="shared" si="4"/>
        <v>},[360]={</v>
      </c>
    </row>
    <row r="261" spans="1:20" x14ac:dyDescent="0.15">
      <c r="C261">
        <v>7642</v>
      </c>
      <c r="D261">
        <v>47</v>
      </c>
      <c r="T261" t="str">
        <f t="shared" si="4"/>
        <v>{dwID=7642,nFrame=47,[17]={},[18]={},},</v>
      </c>
    </row>
    <row r="262" spans="1:20" x14ac:dyDescent="0.15">
      <c r="C262">
        <v>7539</v>
      </c>
      <c r="D262">
        <v>47</v>
      </c>
      <c r="S262" t="s">
        <v>3623</v>
      </c>
      <c r="T262" t="str">
        <f t="shared" si="4"/>
        <v>{dwID=7539,nFrame=47,[17]={},[18]={},aFocus={{dwMapID=-1,nMaxDistance=0,tRelation={bAll=true,bEnemy=false,bAlly=false,},tLife={bEnable=false,szOperator="&gt;",nValue=0,},},},},</v>
      </c>
    </row>
    <row r="263" spans="1:20" x14ac:dyDescent="0.15">
      <c r="A263" t="s">
        <v>264</v>
      </c>
      <c r="B263">
        <v>411</v>
      </c>
      <c r="T263" t="str">
        <f t="shared" si="4"/>
        <v>},[411]={</v>
      </c>
    </row>
    <row r="264" spans="1:20" x14ac:dyDescent="0.15">
      <c r="C264">
        <v>10371</v>
      </c>
      <c r="D264">
        <v>47</v>
      </c>
      <c r="G264" t="s">
        <v>4521</v>
      </c>
      <c r="N264">
        <v>1</v>
      </c>
      <c r="S264" t="s">
        <v>4522</v>
      </c>
      <c r="T264" t="str">
        <f t="shared" si="4"/>
        <v>{dwID=10371,nFrame=47,szName="的卢·宝堆",[17]={bCenterAlarm=true,},[18]={},aFocus={{dwMapID=-1,szDisplay="的卢·宝堆",nMaxDistance=120,tRelation={bAll=true,bEnemy=false,bAlly=false,},tLife={bEnable=false,szOperator="&gt;",nValue=0,},},},},</v>
      </c>
    </row>
    <row r="265" spans="1:20" x14ac:dyDescent="0.15">
      <c r="A265" t="s">
        <v>1002</v>
      </c>
      <c r="B265">
        <v>444</v>
      </c>
      <c r="T265" t="str">
        <f t="shared" si="4"/>
        <v>},[444]={</v>
      </c>
    </row>
    <row r="266" spans="1:20" x14ac:dyDescent="0.15">
      <c r="C266">
        <v>7525</v>
      </c>
      <c r="D266">
        <v>47</v>
      </c>
      <c r="S266" t="s">
        <v>3623</v>
      </c>
      <c r="T266" t="str">
        <f t="shared" si="4"/>
        <v>{dwID=7525,nFrame=47,[17]={},[18]={},aFocus={{dwMapID=-1,nMaxDistance=0,tRelation={bAll=true,bEnemy=false,bAlly=false,},tLife={bEnable=false,szOperator="&gt;",nValue=0,},},},},</v>
      </c>
    </row>
    <row r="267" spans="1:20" x14ac:dyDescent="0.15">
      <c r="A267" t="s">
        <v>265</v>
      </c>
      <c r="B267">
        <v>451</v>
      </c>
      <c r="T267" t="str">
        <f t="shared" si="4"/>
        <v>},[451]={</v>
      </c>
    </row>
    <row r="268" spans="1:20" x14ac:dyDescent="0.15">
      <c r="C268">
        <v>9533</v>
      </c>
      <c r="D268">
        <v>47</v>
      </c>
      <c r="S268" t="s">
        <v>3621</v>
      </c>
      <c r="T268" t="str">
        <f t="shared" si="4"/>
        <v>{dwID=9533,nFrame=47,[17]={},[18]={},aFocus={{dwMapID=-1,nMaxDistance=6,tRelation={bAll=true,bEnemy=false,bAlly=false,},tLife={bEnable=false,szOperator="&gt;",nValue=0,},},},},</v>
      </c>
    </row>
    <row r="269" spans="1:20" x14ac:dyDescent="0.15">
      <c r="C269">
        <v>8113</v>
      </c>
      <c r="D269">
        <v>47</v>
      </c>
      <c r="S269" t="s">
        <v>4028</v>
      </c>
      <c r="T269" t="str">
        <f t="shared" si="4"/>
        <v>{dwID=8113,nFrame=47,[17]={},[18]={},aFocus={{dwMapID=-1,nMaxDistance=20,tRelation={bAll=true,bEnemy=false,bAlly=false,},tLife={bEnable=false,szOperator="&gt;",nValue=0,},},},},</v>
      </c>
    </row>
    <row r="270" spans="1:20" x14ac:dyDescent="0.15">
      <c r="C270">
        <v>9527</v>
      </c>
      <c r="D270">
        <v>47</v>
      </c>
      <c r="S270" t="s">
        <v>3622</v>
      </c>
      <c r="T270" t="str">
        <f t="shared" si="4"/>
        <v>{dwID=9527,nFrame=47,[17]={},[18]={},aFocus={{dwMapID=-1,nMaxDistance=30,tRelation={bAll=true,bEnemy=false,bAlly=false,},tLife={bEnable=false,szOperator="&gt;",nValue=0,},},},},</v>
      </c>
    </row>
    <row r="271" spans="1:20" x14ac:dyDescent="0.15">
      <c r="C271">
        <v>9537</v>
      </c>
      <c r="D271">
        <v>47</v>
      </c>
      <c r="S271" t="s">
        <v>3621</v>
      </c>
      <c r="T271" t="str">
        <f t="shared" si="4"/>
        <v>{dwID=9537,nFrame=47,[17]={},[18]={},aFocus={{dwMapID=-1,nMaxDistance=6,tRelation={bAll=true,bEnemy=false,bAlly=false,},tLife={bEnable=false,szOperator="&gt;",nValue=0,},},},},</v>
      </c>
    </row>
    <row r="272" spans="1:20" x14ac:dyDescent="0.15">
      <c r="C272">
        <v>10529</v>
      </c>
      <c r="D272">
        <v>47</v>
      </c>
      <c r="S272" t="s">
        <v>3627</v>
      </c>
      <c r="T272" t="str">
        <f t="shared" si="4"/>
        <v>{dwID=10529,nFrame=47,[17]={},[18]={},aFocus={{dwMapID=-1,nMaxDistance=10,tRelation={bAll=true,bEnemy=false,bAlly=false,},tLife={bEnable=false,szOperator="&gt;",nValue=0,},},},},</v>
      </c>
    </row>
    <row r="273" spans="1:20" x14ac:dyDescent="0.15">
      <c r="C273">
        <v>8112</v>
      </c>
      <c r="D273">
        <v>47</v>
      </c>
      <c r="S273" t="s">
        <v>3621</v>
      </c>
      <c r="T273" t="str">
        <f t="shared" si="4"/>
        <v>{dwID=8112,nFrame=47,[17]={},[18]={},aFocus={{dwMapID=-1,nMaxDistance=6,tRelation={bAll=true,bEnemy=false,bAlly=false,},tLife={bEnable=false,szOperator="&gt;",nValue=0,},},},},</v>
      </c>
    </row>
    <row r="274" spans="1:20" x14ac:dyDescent="0.15">
      <c r="A274" t="s">
        <v>1022</v>
      </c>
      <c r="B274">
        <v>468</v>
      </c>
      <c r="T274" t="str">
        <f t="shared" si="4"/>
        <v>},[468]={</v>
      </c>
    </row>
    <row r="275" spans="1:20" x14ac:dyDescent="0.15">
      <c r="C275">
        <v>8386</v>
      </c>
      <c r="D275">
        <v>47</v>
      </c>
      <c r="S275" t="s">
        <v>3733</v>
      </c>
      <c r="T275" t="str">
        <f t="shared" si="4"/>
        <v>{dwID=8386,nFrame=47,[17]={},[18]={},aFocus={{dwMapID=-1,nMaxDistance=60,tRelation={bAll=true,bEnemy=false,bAlly=false,},tLife={bEnable=false,szOperator="&gt;",nValue=0,},},},},</v>
      </c>
    </row>
    <row r="276" spans="1:20" x14ac:dyDescent="0.15">
      <c r="C276">
        <v>8785</v>
      </c>
      <c r="D276">
        <v>47</v>
      </c>
      <c r="S276" t="s">
        <v>4028</v>
      </c>
      <c r="T276" t="str">
        <f t="shared" si="4"/>
        <v>{dwID=8785,nFrame=47,[17]={},[18]={},aFocus={{dwMapID=-1,nMaxDistance=20,tRelation={bAll=true,bEnemy=false,bAlly=false,},tLife={bEnable=false,szOperator="&gt;",nValue=0,},},},},</v>
      </c>
    </row>
    <row r="277" spans="1:20" x14ac:dyDescent="0.15">
      <c r="C277">
        <v>8780</v>
      </c>
      <c r="D277">
        <v>47</v>
      </c>
      <c r="S277" t="s">
        <v>3622</v>
      </c>
      <c r="T277" t="str">
        <f t="shared" si="4"/>
        <v>{dwID=8780,nFrame=47,[17]={},[18]={},aFocus={{dwMapID=-1,nMaxDistance=30,tRelation={bAll=true,bEnemy=false,bAlly=false,},tLife={bEnable=false,szOperator="&gt;",nValue=0,},},},},</v>
      </c>
    </row>
    <row r="278" spans="1:20" x14ac:dyDescent="0.15">
      <c r="C278">
        <v>8782</v>
      </c>
      <c r="D278">
        <v>47</v>
      </c>
      <c r="S278" t="s">
        <v>3621</v>
      </c>
      <c r="T278" t="str">
        <f t="shared" si="4"/>
        <v>{dwID=8782,nFrame=47,[17]={},[18]={},aFocus={{dwMapID=-1,nMaxDistance=6,tRelation={bAll=true,bEnemy=false,bAlly=false,},tLife={bEnable=false,szOperator="&gt;",nValue=0,},},},},</v>
      </c>
    </row>
    <row r="279" spans="1:20" x14ac:dyDescent="0.15">
      <c r="C279">
        <v>8779</v>
      </c>
      <c r="D279">
        <v>47</v>
      </c>
      <c r="S279" t="s">
        <v>3621</v>
      </c>
      <c r="T279" t="str">
        <f t="shared" si="4"/>
        <v>{dwID=8779,nFrame=47,[17]={},[18]={},aFocus={{dwMapID=-1,nMaxDistance=6,tRelation={bAll=true,bEnemy=false,bAlly=false,},tLife={bEnable=false,szOperator="&gt;",nValue=0,},},},},</v>
      </c>
    </row>
    <row r="280" spans="1:20" x14ac:dyDescent="0.15">
      <c r="C280">
        <v>8784</v>
      </c>
      <c r="D280">
        <v>47</v>
      </c>
      <c r="S280" t="s">
        <v>3621</v>
      </c>
      <c r="T280" t="str">
        <f t="shared" si="4"/>
        <v>{dwID=8784,nFrame=47,[17]={},[18]={},aFocus={{dwMapID=-1,nMaxDistance=6,tRelation={bAll=true,bEnemy=false,bAlly=false,},tLife={bEnable=false,szOperator="&gt;",nValue=0,},},},},</v>
      </c>
    </row>
    <row r="281" spans="1:20" x14ac:dyDescent="0.15">
      <c r="C281">
        <v>8781</v>
      </c>
      <c r="D281">
        <v>47</v>
      </c>
      <c r="S281" t="s">
        <v>3621</v>
      </c>
      <c r="T281" t="str">
        <f t="shared" si="4"/>
        <v>{dwID=8781,nFrame=47,[17]={},[18]={},aFocus={{dwMapID=-1,nMaxDistance=6,tRelation={bAll=true,bEnemy=false,bAlly=false,},tLife={bEnable=false,szOperator="&gt;",nValue=0,},},},},</v>
      </c>
    </row>
    <row r="282" spans="1:20" x14ac:dyDescent="0.15">
      <c r="C282">
        <v>8786</v>
      </c>
      <c r="D282">
        <v>47</v>
      </c>
      <c r="S282" t="s">
        <v>3622</v>
      </c>
      <c r="T282" t="str">
        <f t="shared" si="4"/>
        <v>{dwID=8786,nFrame=47,[17]={},[18]={},aFocus={{dwMapID=-1,nMaxDistance=30,tRelation={bAll=true,bEnemy=false,bAlly=false,},tLife={bEnable=false,szOperator="&gt;",nValue=0,},},},},</v>
      </c>
    </row>
    <row r="283" spans="1:20" x14ac:dyDescent="0.15">
      <c r="C283">
        <v>8783</v>
      </c>
      <c r="D283">
        <v>47</v>
      </c>
      <c r="S283" t="s">
        <v>3627</v>
      </c>
      <c r="T283" t="str">
        <f t="shared" si="4"/>
        <v>{dwID=8783,nFrame=47,[17]={},[18]={},aFocus={{dwMapID=-1,nMaxDistance=10,tRelation={bAll=true,bEnemy=false,bAlly=false,},tLife={bEnable=false,szOperator="&gt;",nValue=0,},},},},</v>
      </c>
    </row>
    <row r="284" spans="1:20" x14ac:dyDescent="0.15">
      <c r="A284" t="s">
        <v>1023</v>
      </c>
      <c r="B284">
        <v>469</v>
      </c>
      <c r="T284" t="str">
        <f t="shared" si="4"/>
        <v>},[469]={</v>
      </c>
    </row>
    <row r="285" spans="1:20" x14ac:dyDescent="0.15">
      <c r="C285">
        <v>8386</v>
      </c>
      <c r="D285">
        <v>47</v>
      </c>
      <c r="S285" t="s">
        <v>3733</v>
      </c>
      <c r="T285" t="str">
        <f t="shared" si="4"/>
        <v>{dwID=8386,nFrame=47,[17]={},[18]={},aFocus={{dwMapID=-1,nMaxDistance=60,tRelation={bAll=true,bEnemy=false,bAlly=false,},tLife={bEnable=false,szOperator="&gt;",nValue=0,},},},},</v>
      </c>
    </row>
    <row r="286" spans="1:20" x14ac:dyDescent="0.15">
      <c r="A286" t="s">
        <v>1028</v>
      </c>
      <c r="B286">
        <v>475</v>
      </c>
      <c r="T286" t="str">
        <f t="shared" si="4"/>
        <v>},[475]={</v>
      </c>
    </row>
    <row r="287" spans="1:20" x14ac:dyDescent="0.15">
      <c r="C287">
        <v>8609</v>
      </c>
      <c r="D287">
        <v>47</v>
      </c>
      <c r="I287" t="s">
        <v>1028</v>
      </c>
      <c r="S287" t="s">
        <v>3623</v>
      </c>
      <c r="T287" t="str">
        <f t="shared" si="4"/>
        <v>{dwID=8609,nFrame=47,szNote="少林·乱世",[17]={},[18]={},aFocus={{dwMapID=-1,nMaxDistance=0,tRelation={bAll=true,bEnemy=false,bAlly=false,},tLife={bEnable=false,szOperator="&gt;",nValue=0,},},},},</v>
      </c>
    </row>
    <row r="288" spans="1:20" x14ac:dyDescent="0.15">
      <c r="A288" t="s">
        <v>1076</v>
      </c>
      <c r="B288">
        <v>525</v>
      </c>
      <c r="T288" t="str">
        <f t="shared" si="4"/>
        <v>},[525]={</v>
      </c>
    </row>
    <row r="289" spans="1:20" x14ac:dyDescent="0.15">
      <c r="C289">
        <v>9173</v>
      </c>
      <c r="D289">
        <v>47</v>
      </c>
      <c r="G289" t="s">
        <v>4681</v>
      </c>
      <c r="S289" t="s">
        <v>4682</v>
      </c>
      <c r="T289" t="str">
        <f t="shared" si="4"/>
        <v>{dwID=9173,nFrame=47,szName="林海珍奇宝箱",[17]={},[18]={},aFocus={{dwMapID=-1,szDisplay="林海珍奇宝箱",nMaxDistance=0,tRelation={bAll=true,bEnemy=false,bAlly=false,},tLife={bEnable=false,szOperator="&gt;",nValue=0,},},},},</v>
      </c>
    </row>
    <row r="290" spans="1:20" x14ac:dyDescent="0.15">
      <c r="A290" t="s">
        <v>1109</v>
      </c>
      <c r="B290">
        <v>565</v>
      </c>
      <c r="T290" t="str">
        <f t="shared" si="4"/>
        <v>},[565]={</v>
      </c>
    </row>
    <row r="291" spans="1:20" x14ac:dyDescent="0.15">
      <c r="C291">
        <v>9562</v>
      </c>
      <c r="D291">
        <v>47</v>
      </c>
      <c r="S291" t="s">
        <v>3623</v>
      </c>
      <c r="T291" t="str">
        <f t="shared" si="4"/>
        <v>{dwID=9562,nFrame=47,[17]={},[18]={},aFocus={{dwMapID=-1,nMaxDistance=0,tRelation={bAll=true,bEnemy=false,bAlly=false,},tLife={bEnable=false,szOperator="&gt;",nValue=0,},},},},</v>
      </c>
    </row>
    <row r="292" spans="1:20" x14ac:dyDescent="0.15">
      <c r="A292" t="s">
        <v>1123</v>
      </c>
      <c r="B292">
        <v>579</v>
      </c>
      <c r="T292" t="str">
        <f t="shared" si="4"/>
        <v>},[579]={</v>
      </c>
    </row>
    <row r="293" spans="1:20" x14ac:dyDescent="0.15">
      <c r="C293">
        <v>10421</v>
      </c>
      <c r="D293">
        <v>47</v>
      </c>
      <c r="I293" t="s">
        <v>4683</v>
      </c>
      <c r="S293" t="s">
        <v>4684</v>
      </c>
      <c r="T293" t="str">
        <f t="shared" si="4"/>
        <v>{dwID=10421,nFrame=47,szNote="寓天涯·莓莓",[17]={},[18]={},aFocus={{dwMapID=-1,szDisplay="莓莓·寓天涯",nMaxDistance=10,tRelation={bAll=true,bEnemy=false,bAlly=false,},tLife={bEnable=false,szOperator="&gt;",nValue=0,},},},},</v>
      </c>
    </row>
    <row r="294" spans="1:20" x14ac:dyDescent="0.15">
      <c r="C294">
        <v>10419</v>
      </c>
      <c r="D294">
        <v>47</v>
      </c>
      <c r="G294" t="s">
        <v>4685</v>
      </c>
      <c r="I294" t="s">
        <v>4685</v>
      </c>
      <c r="S294" t="s">
        <v>4686</v>
      </c>
      <c r="T294" t="str">
        <f t="shared" si="4"/>
        <v>{dwID=10419,nFrame=47,szName="寓天涯·海螺壳",szNote="寓天涯·海螺壳",[17]={},[18]={},aFocus={{dwMapID=-1,szDisplay="海螺壳·寓天涯",nMaxDistance=60,tRelation={bAll=true,bEnemy=false,bAlly=false,},tLife={bEnable=false,szOperator="&gt;",nValue=0,},},},},</v>
      </c>
    </row>
    <row r="295" spans="1:20" x14ac:dyDescent="0.15">
      <c r="C295">
        <v>10173</v>
      </c>
      <c r="D295">
        <v>47</v>
      </c>
      <c r="G295" t="s">
        <v>4687</v>
      </c>
      <c r="I295" t="s">
        <v>3460</v>
      </c>
      <c r="S295" t="s">
        <v>4688</v>
      </c>
      <c r="T295" t="str">
        <f t="shared" si="4"/>
        <v>{dwID=10173,nFrame=47,szName="乱红鸾·QTE",szNote="乱红鸾",[17]={},[18]={},aFocus={{dwMapID=-1,szDisplay="乱红鸾·QTE",nMaxDistance=6,tRelation={bAll=true,bEnemy=false,bAlly=false,},tLife={bEnable=false,szOperator="&gt;",nValue=0,},},},},</v>
      </c>
    </row>
    <row r="296" spans="1:20" x14ac:dyDescent="0.15">
      <c r="C296">
        <v>10174</v>
      </c>
      <c r="D296">
        <v>47</v>
      </c>
      <c r="G296" t="s">
        <v>4687</v>
      </c>
      <c r="I296" t="s">
        <v>4689</v>
      </c>
      <c r="S296" t="s">
        <v>4688</v>
      </c>
      <c r="T296" t="str">
        <f t="shared" si="4"/>
        <v>{dwID=10174,nFrame=47,szName="乱红鸾·QTE",szNote="乱红鸾·QTE2",[17]={},[18]={},aFocus={{dwMapID=-1,szDisplay="乱红鸾·QTE",nMaxDistance=6,tRelation={bAll=true,bEnemy=false,bAlly=false,},tLife={bEnable=false,szOperator="&gt;",nValue=0,},},},},</v>
      </c>
    </row>
    <row r="297" spans="1:20" x14ac:dyDescent="0.15">
      <c r="C297">
        <v>10175</v>
      </c>
      <c r="D297">
        <v>47</v>
      </c>
      <c r="G297" t="s">
        <v>4690</v>
      </c>
      <c r="I297" t="s">
        <v>3460</v>
      </c>
      <c r="S297" t="s">
        <v>4691</v>
      </c>
      <c r="T297" t="str">
        <f t="shared" si="4"/>
        <v>{dwID=10175,nFrame=47,szName="乱红鸾·出逃",szNote="乱红鸾",[17]={},[18]={},aFocus={{dwMapID=-1,szDisplay="乱红鸾·出逃",nMaxDistance=0,tRelation={bAll=true,bEnemy=false,bAlly=false,},tLife={bEnable=false,szOperator="&gt;",nValue=0,},},},},</v>
      </c>
    </row>
    <row r="298" spans="1:20" x14ac:dyDescent="0.15">
      <c r="A298" t="s">
        <v>1125</v>
      </c>
      <c r="B298">
        <v>581</v>
      </c>
      <c r="T298" t="str">
        <f t="shared" si="4"/>
        <v>},[581]={</v>
      </c>
    </row>
    <row r="299" spans="1:20" x14ac:dyDescent="0.15">
      <c r="C299">
        <v>10156</v>
      </c>
      <c r="D299">
        <v>47</v>
      </c>
      <c r="I299" t="s">
        <v>4692</v>
      </c>
      <c r="S299" t="s">
        <v>3622</v>
      </c>
      <c r="T299" t="str">
        <f t="shared" si="4"/>
        <v>{dwID=10156,nFrame=47,szNote="夜哀鸣·蹲守",[17]={},[18]={},aFocus={{dwMapID=-1,nMaxDistance=30,tRelation={bAll=true,bEnemy=false,bAlly=false,},tLife={bEnable=false,szOperator="&gt;",nValue=0,},},},},</v>
      </c>
    </row>
    <row r="300" spans="1:20" x14ac:dyDescent="0.15">
      <c r="C300">
        <v>10164</v>
      </c>
      <c r="D300">
        <v>47</v>
      </c>
      <c r="I300" t="s">
        <v>4693</v>
      </c>
      <c r="S300" t="s">
        <v>4694</v>
      </c>
      <c r="T300" t="str">
        <f t="shared" si="4"/>
        <v>{dwID=10164,nFrame=47,szNote="夜哀鸣·止血草",[17]={},[18]={},aFocus={{dwMapID=-1,szDisplay="止血草·夜哀鸣",nMaxDistance=80,tRelation={bAll=true,bEnemy=false,bAlly=false,},tLife={bEnable=false,szOperator="&gt;",nValue=0,},},},},</v>
      </c>
    </row>
    <row r="301" spans="1:20" x14ac:dyDescent="0.15">
      <c r="C301">
        <v>10167</v>
      </c>
      <c r="D301">
        <v>47</v>
      </c>
      <c r="I301" t="s">
        <v>4695</v>
      </c>
      <c r="S301" t="s">
        <v>4696</v>
      </c>
      <c r="T301" t="str">
        <f t="shared" si="4"/>
        <v>{dwID=10167,nFrame=47,szNote="夜哀鸣·试探",[17]={},[18]={},aFocus={{dwMapID=-1,szDisplay="试探·夜哀鸣",nMaxDistance=60,tRelation={bAll=true,bEnemy=false,bAlly=false,},tLife={bEnable=false,szOperator="&gt;",nValue=0,},},},},</v>
      </c>
    </row>
    <row r="302" spans="1:20" x14ac:dyDescent="0.15">
      <c r="C302">
        <v>10169</v>
      </c>
      <c r="D302">
        <v>47</v>
      </c>
      <c r="I302" t="s">
        <v>4697</v>
      </c>
      <c r="S302" t="s">
        <v>4698</v>
      </c>
      <c r="T302" t="str">
        <f t="shared" si="4"/>
        <v>{dwID=10169,nFrame=47,szNote="夜哀鸣·甜果",[17]={},[18]={},aFocus={{dwMapID=-1,szDisplay="甜果·夜哀鸣",nMaxDistance=90,tRelation={bAll=true,bEnemy=false,bAlly=false,},tLife={bEnable=false,szOperator="&gt;",nValue=0,},},},},</v>
      </c>
    </row>
    <row r="303" spans="1:20" x14ac:dyDescent="0.15">
      <c r="A303" t="s">
        <v>267</v>
      </c>
      <c r="B303">
        <v>582</v>
      </c>
      <c r="T303" t="str">
        <f t="shared" si="4"/>
        <v>},[582]={</v>
      </c>
    </row>
    <row r="304" spans="1:20" x14ac:dyDescent="0.15">
      <c r="C304">
        <v>10054</v>
      </c>
      <c r="D304">
        <v>47</v>
      </c>
      <c r="I304" t="s">
        <v>4699</v>
      </c>
      <c r="S304" t="s">
        <v>4700</v>
      </c>
      <c r="T304" t="str">
        <f t="shared" si="4"/>
        <v>{dwID=10054,nFrame=47,szNote="故岁辞·散落的羽毛",[17]={},[18]={},aFocus={{dwMapID=-1,szDisplay="散落的羽毛·故岁辞",nMaxDistance=120,tRelation={bAll=true,bEnemy=false,bAlly=false,},tLife={bEnable=false,szOperator="&gt;",nValue=0,},},},},</v>
      </c>
    </row>
    <row r="305" spans="1:20" x14ac:dyDescent="0.15">
      <c r="C305">
        <v>10057</v>
      </c>
      <c r="D305">
        <v>47</v>
      </c>
      <c r="G305" t="s">
        <v>4701</v>
      </c>
      <c r="I305" t="s">
        <v>4702</v>
      </c>
      <c r="S305" t="s">
        <v>4703</v>
      </c>
      <c r="T305" t="str">
        <f t="shared" si="4"/>
        <v>{dwID=10057,nFrame=47,szName="故岁辞·光圈",szNote="故岁辞·光圈1",[17]={},[18]={},aFocus={{dwMapID=-1,szDisplay="光圈·故岁辞",nMaxDistance=120,tRelation={bAll=true,bEnemy=false,bAlly=false,},tLife={bEnable=false,szOperator="&gt;",nValue=0,},},},},</v>
      </c>
    </row>
    <row r="306" spans="1:20" x14ac:dyDescent="0.15">
      <c r="C306">
        <v>10058</v>
      </c>
      <c r="D306">
        <v>47</v>
      </c>
      <c r="G306" t="s">
        <v>4701</v>
      </c>
      <c r="I306" t="s">
        <v>4704</v>
      </c>
      <c r="S306" t="s">
        <v>4703</v>
      </c>
      <c r="T306" t="str">
        <f t="shared" si="4"/>
        <v>{dwID=10058,nFrame=47,szName="故岁辞·光圈",szNote="故岁辞·光圈2",[17]={},[18]={},aFocus={{dwMapID=-1,szDisplay="光圈·故岁辞",nMaxDistance=120,tRelation={bAll=true,bEnemy=false,bAlly=false,},tLife={bEnable=false,szOperator="&gt;",nValue=0,},},},},</v>
      </c>
    </row>
    <row r="307" spans="1:20" x14ac:dyDescent="0.15">
      <c r="C307">
        <v>10059</v>
      </c>
      <c r="D307">
        <v>47</v>
      </c>
      <c r="I307" t="s">
        <v>4705</v>
      </c>
      <c r="S307" t="s">
        <v>4706</v>
      </c>
      <c r="T307" t="str">
        <f t="shared" si="4"/>
        <v>{dwID=10059,nFrame=47,szNote="故岁辞·鸟笼",[17]={},[18]={},aFocus={{dwMapID=-1,szDisplay="鸟笼·故岁辞",nMaxDistance=40,tRelation={bAll=true,bEnemy=false,bAlly=false,},tLife={bEnable=false,szOperator="&gt;",nValue=0,},},},},</v>
      </c>
    </row>
    <row r="308" spans="1:20" x14ac:dyDescent="0.15">
      <c r="A308" t="s">
        <v>1137</v>
      </c>
      <c r="B308">
        <v>596</v>
      </c>
      <c r="T308" t="str">
        <f t="shared" si="4"/>
        <v>},[596]={</v>
      </c>
    </row>
    <row r="309" spans="1:20" x14ac:dyDescent="0.15">
      <c r="C309">
        <v>10516</v>
      </c>
      <c r="D309">
        <v>47</v>
      </c>
      <c r="S309" t="s">
        <v>3623</v>
      </c>
      <c r="T309" t="str">
        <f t="shared" si="4"/>
        <v>{dwID=10516,nFrame=47,[17]={},[18]={},aFocus={{dwMapID=-1,nMaxDistance=0,tRelation={bAll=true,bEnemy=false,bAlly=false,},tLife={bEnable=false,szOperator="&gt;",nValue=0,},},},},</v>
      </c>
    </row>
    <row r="310" spans="1:20" x14ac:dyDescent="0.15">
      <c r="A310" t="s">
        <v>1138</v>
      </c>
      <c r="B310">
        <v>597</v>
      </c>
      <c r="T310" t="str">
        <f t="shared" si="4"/>
        <v>},[597]={</v>
      </c>
    </row>
    <row r="311" spans="1:20" x14ac:dyDescent="0.15">
      <c r="C311">
        <v>10516</v>
      </c>
      <c r="D311">
        <v>47</v>
      </c>
      <c r="S311" t="s">
        <v>3623</v>
      </c>
      <c r="T311" t="str">
        <f t="shared" si="4"/>
        <v>{dwID=10516,nFrame=47,[17]={},[18]={},aFocus={{dwMapID=-1,nMaxDistance=0,tRelation={bAll=true,bEnemy=false,bAlly=false,},tLife={bEnable=false,szOperator="&gt;",nValue=0,},},},},</v>
      </c>
    </row>
    <row r="312" spans="1:20" x14ac:dyDescent="0.15">
      <c r="A312" t="s">
        <v>1139</v>
      </c>
      <c r="B312">
        <v>598</v>
      </c>
      <c r="T312" t="str">
        <f t="shared" si="4"/>
        <v>},[598]={</v>
      </c>
    </row>
    <row r="313" spans="1:20" x14ac:dyDescent="0.15">
      <c r="C313">
        <v>10516</v>
      </c>
      <c r="D313">
        <v>47</v>
      </c>
      <c r="S313" t="s">
        <v>3623</v>
      </c>
      <c r="T313" t="str">
        <f t="shared" si="4"/>
        <v>{dwID=10516,nFrame=47,[17]={},[18]={},aFocus={{dwMapID=-1,nMaxDistance=0,tRelation={bAll=true,bEnemy=false,bAlly=false,},tLife={bEnable=false,szOperator="&gt;",nValue=0,},},},},</v>
      </c>
    </row>
    <row r="314" spans="1:20" x14ac:dyDescent="0.15">
      <c r="A314" t="s">
        <v>1140</v>
      </c>
      <c r="B314">
        <v>599</v>
      </c>
      <c r="T314" t="str">
        <f t="shared" si="4"/>
        <v>},[599]={</v>
      </c>
    </row>
    <row r="315" spans="1:20" x14ac:dyDescent="0.15">
      <c r="C315">
        <v>10516</v>
      </c>
      <c r="D315">
        <v>47</v>
      </c>
      <c r="S315" t="s">
        <v>3623</v>
      </c>
      <c r="T315" t="str">
        <f t="shared" si="4"/>
        <v>{dwID=10516,nFrame=47,[17]={},[18]={},aFocus={{dwMapID=-1,nMaxDistance=0,tRelation={bAll=true,bEnemy=false,bAlly=false,},tLife={bEnable=false,szOperator="&gt;",nValue=0,},},},},</v>
      </c>
    </row>
    <row r="316" spans="1:20" x14ac:dyDescent="0.15">
      <c r="A316" t="s">
        <v>1147</v>
      </c>
      <c r="B316">
        <v>606</v>
      </c>
      <c r="T316" t="str">
        <f t="shared" si="4"/>
        <v>},[606]={</v>
      </c>
    </row>
    <row r="317" spans="1:20" x14ac:dyDescent="0.15">
      <c r="C317">
        <v>10516</v>
      </c>
      <c r="D317">
        <v>47</v>
      </c>
      <c r="S317" t="s">
        <v>3623</v>
      </c>
      <c r="T317" t="str">
        <f t="shared" si="4"/>
        <v>{dwID=10516,nFrame=47,[17]={},[18]={},aFocus={{dwMapID=-1,nMaxDistance=0,tRelation={bAll=true,bEnemy=false,bAlly=false,},tLife={bEnable=false,szOperator="&gt;",nValue=0,},},},},</v>
      </c>
    </row>
    <row r="318" spans="1:20" x14ac:dyDescent="0.15">
      <c r="A318" t="s">
        <v>1148</v>
      </c>
      <c r="B318">
        <v>607</v>
      </c>
      <c r="T318" t="str">
        <f t="shared" si="4"/>
        <v>},[607]={</v>
      </c>
    </row>
    <row r="319" spans="1:20" x14ac:dyDescent="0.15">
      <c r="C319">
        <v>10516</v>
      </c>
      <c r="D319">
        <v>47</v>
      </c>
      <c r="S319" t="s">
        <v>3623</v>
      </c>
      <c r="T319" t="str">
        <f t="shared" si="4"/>
        <v>{dwID=10516,nFrame=47,[17]={},[18]={},aFocus={{dwMapID=-1,nMaxDistance=0,tRelation={bAll=true,bEnemy=false,bAlly=false,},tLife={bEnable=false,szOperator="&gt;",nValue=0,},},},},</v>
      </c>
    </row>
    <row r="320" spans="1:20" x14ac:dyDescent="0.15">
      <c r="A320" t="s">
        <v>1162</v>
      </c>
      <c r="B320">
        <v>622</v>
      </c>
      <c r="T320" t="str">
        <f t="shared" si="4"/>
        <v>},[622]={</v>
      </c>
    </row>
    <row r="321" spans="1:20" x14ac:dyDescent="0.15">
      <c r="C321">
        <v>10516</v>
      </c>
      <c r="D321">
        <v>47</v>
      </c>
      <c r="S321" t="s">
        <v>3623</v>
      </c>
      <c r="T321" t="str">
        <f t="shared" si="4"/>
        <v>{dwID=10516,nFrame=47,[17]={},[18]={},aFocus={{dwMapID=-1,nMaxDistance=0,tRelation={bAll=true,bEnemy=false,bAlly=false,},tLife={bEnable=false,szOperator="&gt;",nValue=0,},},},},</v>
      </c>
    </row>
    <row r="322" spans="1:20" x14ac:dyDescent="0.15">
      <c r="A322" t="s">
        <v>1163</v>
      </c>
      <c r="B322">
        <v>623</v>
      </c>
      <c r="T322" t="str">
        <f t="shared" ref="T322:T359" si="5">IF(ISBLANK(B322)=FALSE,IF(ISBLANK(B321),"},["&amp;B322&amp;"]={","["&amp;B322&amp;"]={"),IF(AND(ISBLANK(B322),ISBLANK(D322),ISBLANK(C322),OR(ISBLANK(B321)=FALSE,ISBLANK(D321)=FALSE,ISBLANK(C321)=FALSE)),"},},}",IF(ISBLANK(C322),"","{dwID="&amp;C322&amp;","&amp;"nFrame="&amp;D322&amp;","&amp;IF(E322&gt;0,"nCount="&amp;E322&amp;",","")&amp;IF(F322&gt;0,"bAllLeave=true,","")&amp;IF(G322&lt;&gt;"","szName="""&amp;G322&amp;""",","")&amp;IF(H322&lt;&gt;"","tKungFu={"&amp;H322&amp;"},","")&amp;IF(I322&lt;&gt;"","szNote="""&amp;I322&amp;""",","")&amp;IF(J322&lt;&gt;"","col={"&amp;J322&amp;"},","")&amp;"[17]={"&amp;IF(K322&lt;&gt;"","szVoice="""&amp;K322&amp;""",","")&amp;IF(L322&gt;0,"bTeamChannel=true,","")&amp;IF(M322&gt;0,"bWhisperChannel=true,","")&amp;IF(N322&gt;0,"bCenterAlarm=true,","")&amp;"},"&amp;"[18]={"&amp;IF(O322&lt;&gt;"","szVoice="""&amp;O322&amp;""",","")&amp;IF(P322&gt;0,"bTeamChannel=true,","")&amp;IF(Q322&gt;0,"bWhisperChannel=true,","")&amp;IF(R322&gt;0,"bCenterAlarm=true,","")&amp;"},"&amp;IF(S322&lt;&gt;"","aFocus={"&amp;S322&amp;"},","")&amp;IF(U322&lt;&gt;"","tCountdown={"&amp;_xlfn.TEXTJOIN("",TRUE,U322:ZZ322)&amp;"},","")&amp;"},")))</f>
        <v>},[623]={</v>
      </c>
    </row>
    <row r="323" spans="1:20" x14ac:dyDescent="0.15">
      <c r="C323">
        <v>10516</v>
      </c>
      <c r="D323">
        <v>47</v>
      </c>
      <c r="S323" t="s">
        <v>3623</v>
      </c>
      <c r="T323" t="str">
        <f t="shared" si="5"/>
        <v>{dwID=10516,nFrame=47,[17]={},[18]={},aFocus={{dwMapID=-1,nMaxDistance=0,tRelation={bAll=true,bEnemy=false,bAlly=false,},tLife={bEnable=false,szOperator="&gt;",nValue=0,},},},},</v>
      </c>
    </row>
    <row r="324" spans="1:20" x14ac:dyDescent="0.15">
      <c r="A324" t="s">
        <v>1167</v>
      </c>
      <c r="B324">
        <v>627</v>
      </c>
      <c r="T324" t="str">
        <f t="shared" si="5"/>
        <v>},[627]={</v>
      </c>
    </row>
    <row r="325" spans="1:20" x14ac:dyDescent="0.15">
      <c r="C325">
        <v>9759</v>
      </c>
      <c r="D325">
        <v>47</v>
      </c>
      <c r="I325" t="s">
        <v>4707</v>
      </c>
      <c r="N325">
        <v>1</v>
      </c>
      <c r="S325" t="s">
        <v>3623</v>
      </c>
      <c r="T325" t="str">
        <f t="shared" si="5"/>
        <v>{dwID=9759,nFrame=47,szNote="出车奖励",[17]={bCenterAlarm=true,},[18]={},aFocus={{dwMapID=-1,nMaxDistance=0,tRelation={bAll=true,bEnemy=false,bAlly=false,},tLife={bEnable=false,szOperator="&gt;",nValue=0,},},},},</v>
      </c>
    </row>
    <row r="326" spans="1:20" x14ac:dyDescent="0.15">
      <c r="C326">
        <v>4255</v>
      </c>
      <c r="D326">
        <v>47</v>
      </c>
      <c r="I326" t="s">
        <v>4708</v>
      </c>
      <c r="S326" t="s">
        <v>3623</v>
      </c>
      <c r="T326" t="str">
        <f t="shared" si="5"/>
        <v>{dwID=4255,nFrame=47,szNote="世界首领掉落",[17]={},[18]={},aFocus={{dwMapID=-1,nMaxDistance=0,tRelation={bAll=true,bEnemy=false,bAlly=false,},tLife={bEnable=false,szOperator="&gt;",nValue=0,},},},},</v>
      </c>
    </row>
    <row r="327" spans="1:20" x14ac:dyDescent="0.15">
      <c r="C327">
        <v>9813</v>
      </c>
      <c r="D327">
        <v>47</v>
      </c>
      <c r="S327" t="s">
        <v>3644</v>
      </c>
      <c r="T327" t="str">
        <f t="shared" si="5"/>
        <v>{dwID=9813,nFrame=47,[17]={},[18]={},aFocus={{dwMapID=-1,nMaxDistance=0,tRelation={bAll=false,bEnemy=true,bAlly=false,},tLife={bEnable=false,szOperator="&gt;",nValue=0,},},},},</v>
      </c>
    </row>
    <row r="328" spans="1:20" x14ac:dyDescent="0.15">
      <c r="C328">
        <v>9812</v>
      </c>
      <c r="D328">
        <v>47</v>
      </c>
      <c r="S328" t="s">
        <v>3644</v>
      </c>
      <c r="T328" t="str">
        <f t="shared" si="5"/>
        <v>{dwID=9812,nFrame=47,[17]={},[18]={},aFocus={{dwMapID=-1,nMaxDistance=0,tRelation={bAll=false,bEnemy=true,bAlly=false,},tLife={bEnable=false,szOperator="&gt;",nValue=0,},},},},</v>
      </c>
    </row>
    <row r="329" spans="1:20" x14ac:dyDescent="0.15">
      <c r="C329">
        <v>9980</v>
      </c>
      <c r="D329">
        <v>47</v>
      </c>
      <c r="G329" t="s">
        <v>4709</v>
      </c>
      <c r="I329" t="s">
        <v>4709</v>
      </c>
      <c r="N329">
        <v>1</v>
      </c>
      <c r="S329" t="s">
        <v>4710</v>
      </c>
      <c r="T329" t="str">
        <f t="shared" si="5"/>
        <v>{dwID=9980,nFrame=47,szName="隐樵关·宝箱",szNote="隐樵关·宝箱",[17]={bCenterAlarm=true,},[18]={},aFocus={{dwMapID=-1,szDisplay="隐樵关·宝堆",nMaxDistance=0,tRelation={bAll=true,bEnemy=false,bAlly=false,},tLife={bEnable=false,szOperator="&gt;",nValue=0,},},},},</v>
      </c>
    </row>
    <row r="330" spans="1:20" x14ac:dyDescent="0.15">
      <c r="C330">
        <v>10005</v>
      </c>
      <c r="D330">
        <v>47</v>
      </c>
      <c r="G330" t="s">
        <v>4711</v>
      </c>
      <c r="I330" t="s">
        <v>4711</v>
      </c>
      <c r="N330">
        <v>1</v>
      </c>
      <c r="S330" t="s">
        <v>4712</v>
      </c>
      <c r="T330" t="str">
        <f t="shared" si="5"/>
        <v>{dwID=10005,nFrame=47,szName="天生关·宝箱",szNote="天生关·宝箱",[17]={bCenterAlarm=true,},[18]={},aFocus={{dwMapID=-1,szDisplay="天生关·宝堆",nMaxDistance=0,tRelation={bAll=true,bEnemy=false,bAlly=false,},tLife={bEnable=false,szOperator="&gt;",nValue=0,},},},},</v>
      </c>
    </row>
    <row r="331" spans="1:20" x14ac:dyDescent="0.15">
      <c r="C331">
        <v>9981</v>
      </c>
      <c r="D331">
        <v>47</v>
      </c>
      <c r="G331" t="s">
        <v>4713</v>
      </c>
      <c r="I331" t="s">
        <v>4713</v>
      </c>
      <c r="N331">
        <v>1</v>
      </c>
      <c r="S331" t="s">
        <v>4714</v>
      </c>
      <c r="T331" t="str">
        <f t="shared" si="5"/>
        <v>{dwID=9981,nFrame=47,szName="赤岩关·宝箱",szNote="赤岩关·宝箱",[17]={bCenterAlarm=true,},[18]={},aFocus={{dwMapID=-1,szDisplay="赤岩关·宝堆",nMaxDistance=0,tRelation={bAll=true,bEnemy=false,bAlly=false,},tLife={bEnable=false,szOperator="&gt;",nValue=0,},},},},</v>
      </c>
    </row>
    <row r="332" spans="1:20" x14ac:dyDescent="0.15">
      <c r="A332" t="s">
        <v>1178</v>
      </c>
      <c r="B332">
        <v>639</v>
      </c>
      <c r="T332" t="str">
        <f t="shared" si="5"/>
        <v>},[639]={</v>
      </c>
    </row>
    <row r="333" spans="1:20" x14ac:dyDescent="0.15">
      <c r="C333">
        <v>10516</v>
      </c>
      <c r="D333">
        <v>47</v>
      </c>
      <c r="S333" t="s">
        <v>3623</v>
      </c>
      <c r="T333" t="str">
        <f t="shared" si="5"/>
        <v>{dwID=10516,nFrame=47,[17]={},[18]={},aFocus={{dwMapID=-1,nMaxDistance=0,tRelation={bAll=true,bEnemy=false,bAlly=false,},tLife={bEnable=false,szOperator="&gt;",nValue=0,},},},},</v>
      </c>
    </row>
    <row r="334" spans="1:20" x14ac:dyDescent="0.15">
      <c r="A334" t="s">
        <v>1179</v>
      </c>
      <c r="B334">
        <v>640</v>
      </c>
      <c r="T334" t="str">
        <f t="shared" si="5"/>
        <v>},[640]={</v>
      </c>
    </row>
    <row r="335" spans="1:20" x14ac:dyDescent="0.15">
      <c r="C335">
        <v>10516</v>
      </c>
      <c r="D335">
        <v>47</v>
      </c>
      <c r="S335" t="s">
        <v>3623</v>
      </c>
      <c r="T335" t="str">
        <f t="shared" si="5"/>
        <v>{dwID=10516,nFrame=47,[17]={},[18]={},aFocus={{dwMapID=-1,nMaxDistance=0,tRelation={bAll=true,bEnemy=false,bAlly=false,},tLife={bEnable=false,szOperator="&gt;",nValue=0,},},},},</v>
      </c>
    </row>
    <row r="336" spans="1:20" x14ac:dyDescent="0.15">
      <c r="A336" t="s">
        <v>268</v>
      </c>
      <c r="B336">
        <v>642</v>
      </c>
      <c r="T336" t="str">
        <f t="shared" si="5"/>
        <v>},[642]={</v>
      </c>
    </row>
    <row r="337" spans="1:20" x14ac:dyDescent="0.15">
      <c r="C337">
        <v>10356</v>
      </c>
      <c r="D337">
        <v>47</v>
      </c>
      <c r="G337" t="s">
        <v>4715</v>
      </c>
      <c r="I337" t="s">
        <v>4716</v>
      </c>
      <c r="J337" t="s">
        <v>2152</v>
      </c>
      <c r="S337" t="s">
        <v>4717</v>
      </c>
      <c r="T337" t="str">
        <f t="shared" si="5"/>
        <v>{dwID=10356,nFrame=47,szName="树叶堆·解心语",szNote="解心语",col={0,255,255,},[17]={},[18]={},aFocus={{dwMapID=-1,szDisplay="树叶堆·解心语",nMaxDistance=30,tRelation={bAll=true,bEnemy=false,bAlly=false,},tLife={bEnable=false,szOperator="&gt;",nValue=0,},},},},</v>
      </c>
    </row>
    <row r="338" spans="1:20" x14ac:dyDescent="0.15">
      <c r="A338" t="s">
        <v>1184</v>
      </c>
      <c r="B338">
        <v>647</v>
      </c>
      <c r="T338" t="str">
        <f t="shared" si="5"/>
        <v>},[647]={</v>
      </c>
    </row>
    <row r="339" spans="1:20" x14ac:dyDescent="0.15">
      <c r="C339">
        <v>10254</v>
      </c>
      <c r="D339">
        <v>47</v>
      </c>
      <c r="S339" t="s">
        <v>3623</v>
      </c>
      <c r="T339" t="str">
        <f t="shared" si="5"/>
        <v>{dwID=10254,nFrame=47,[17]={},[18]={},aFocus={{dwMapID=-1,nMaxDistance=0,tRelation={bAll=true,bEnemy=false,bAlly=false,},tLife={bEnable=false,szOperator="&gt;",nValue=0,},},},},</v>
      </c>
    </row>
    <row r="340" spans="1:20" x14ac:dyDescent="0.15">
      <c r="C340">
        <v>10417</v>
      </c>
      <c r="D340">
        <v>47</v>
      </c>
      <c r="S340" t="s">
        <v>4718</v>
      </c>
      <c r="T340" t="str">
        <f t="shared" si="5"/>
        <v>{dwID=10417,nFrame=47,[17]={},[18]={},aFocus={{dwMapID=-1,szDisplay="炼气丸·35",nMaxDistance=0,tRelation={bAll=true,bEnemy=false,bAlly=false,},tLife={bEnable=false,szOperator="&gt;",nValue=0,},},},},</v>
      </c>
    </row>
    <row r="341" spans="1:20" x14ac:dyDescent="0.15">
      <c r="C341">
        <v>10412</v>
      </c>
      <c r="D341">
        <v>47</v>
      </c>
      <c r="S341" t="s">
        <v>4719</v>
      </c>
      <c r="T341" t="str">
        <f t="shared" si="5"/>
        <v>{dwID=10412,nFrame=47,[17]={},[18]={},aFocus={{dwMapID=-1,szDisplay="雪堆·宝箱",nMaxDistance=0,tRelation={bAll=true,bEnemy=false,bAlly=false,},tLife={bEnable=false,szOperator="&gt;",nValue=0,},},},},</v>
      </c>
    </row>
    <row r="342" spans="1:20" x14ac:dyDescent="0.15">
      <c r="C342">
        <v>10434</v>
      </c>
      <c r="D342">
        <v>47</v>
      </c>
      <c r="S342" t="s">
        <v>4720</v>
      </c>
      <c r="T342" t="str">
        <f t="shared" si="5"/>
        <v>{dwID=10434,nFrame=47,[17]={},[18]={},aFocus={{dwMapID=-1,szDisplay="土堆·宝箱",nMaxDistance=0,tRelation={bAll=true,bEnemy=false,bAlly=false,},tLife={bEnable=false,szOperator="&gt;",nValue=0,},},},},</v>
      </c>
    </row>
    <row r="343" spans="1:20" x14ac:dyDescent="0.15">
      <c r="C343">
        <v>10432</v>
      </c>
      <c r="D343">
        <v>47</v>
      </c>
      <c r="S343" t="s">
        <v>4721</v>
      </c>
      <c r="T343" t="str">
        <f t="shared" si="5"/>
        <v>{dwID=10432,nFrame=47,[17]={},[18]={},aFocus={{dwMapID=-1,szDisplay="果子·宝箱",nMaxDistance=0,tRelation={bAll=true,bEnemy=false,bAlly=false,},tLife={bEnable=false,szOperator="&gt;",nValue=0,},},},},</v>
      </c>
    </row>
    <row r="344" spans="1:20" x14ac:dyDescent="0.15">
      <c r="C344">
        <v>10411</v>
      </c>
      <c r="D344">
        <v>47</v>
      </c>
      <c r="S344" t="s">
        <v>4722</v>
      </c>
      <c r="T344" t="str">
        <f t="shared" si="5"/>
        <v>{dwID=10411,nFrame=47,[17]={},[18]={},aFocus={{dwMapID=-1,szDisplay="落叶堆·宝箱",nMaxDistance=0,tRelation={bAll=true,bEnemy=false,bAlly=false,},tLife={bEnable=false,szOperator="&gt;",nValue=0,},},},},</v>
      </c>
    </row>
    <row r="345" spans="1:20" x14ac:dyDescent="0.15">
      <c r="C345">
        <v>10444</v>
      </c>
      <c r="D345">
        <v>47</v>
      </c>
      <c r="I345" t="s">
        <v>4454</v>
      </c>
      <c r="S345" t="s">
        <v>3696</v>
      </c>
      <c r="T345" t="str">
        <f t="shared" si="5"/>
        <v>{dwID=10444,nFrame=47,szNote="云从券·贰",[17]={},[18]={},aFocus={{dwMapID=-1,nMaxDistance=120,tRelation={bAll=true,bEnemy=false,bAlly=false,},tLife={bEnable=false,szOperator="&gt;",nValue=0,},},},},</v>
      </c>
    </row>
    <row r="346" spans="1:20" x14ac:dyDescent="0.15">
      <c r="C346">
        <v>10445</v>
      </c>
      <c r="D346">
        <v>47</v>
      </c>
      <c r="I346" t="s">
        <v>4454</v>
      </c>
      <c r="S346" t="s">
        <v>3623</v>
      </c>
      <c r="T346" t="str">
        <f t="shared" si="5"/>
        <v>{dwID=10445,nFrame=47,szNote="云从券·贰",[17]={},[18]={},aFocus={{dwMapID=-1,nMaxDistance=0,tRelation={bAll=true,bEnemy=false,bAlly=false,},tLife={bEnable=false,szOperator="&gt;",nValue=0,},},},},</v>
      </c>
    </row>
    <row r="347" spans="1:20" x14ac:dyDescent="0.15">
      <c r="C347">
        <v>10234</v>
      </c>
      <c r="D347">
        <v>47</v>
      </c>
      <c r="S347" t="s">
        <v>4528</v>
      </c>
      <c r="T347" t="str">
        <f t="shared" si="5"/>
        <v>{dwID=10234,nFrame=47,[17]={},[18]={},aFocus={{dwMapID=-1,nMaxDistance=15,tRelation={bAll=true,bEnemy=false,bAlly=false,},tLife={bEnable=false,szOperator="&gt;",nValue=0,},},},},</v>
      </c>
    </row>
    <row r="348" spans="1:20" x14ac:dyDescent="0.15">
      <c r="C348">
        <v>10272</v>
      </c>
      <c r="D348">
        <v>47</v>
      </c>
      <c r="S348" t="s">
        <v>3732</v>
      </c>
      <c r="T348" t="str">
        <f t="shared" si="5"/>
        <v>{dwID=10272,nFrame=47,[17]={},[18]={},aFocus={{dwMapID=-1,nMaxDistance=1,tRelation={bAll=true,bEnemy=false,bAlly=false,},tLife={bEnable=false,szOperator="&gt;",nValue=0,},},},},</v>
      </c>
    </row>
    <row r="349" spans="1:20" x14ac:dyDescent="0.15">
      <c r="C349">
        <v>10275</v>
      </c>
      <c r="D349">
        <v>47</v>
      </c>
      <c r="S349" t="s">
        <v>3731</v>
      </c>
      <c r="T349" t="str">
        <f t="shared" si="5"/>
        <v>{dwID=10275,nFrame=47,[17]={},[18]={},aFocus={{dwMapID=-1,nMaxDistance=3,tRelation={bAll=true,bEnemy=false,bAlly=false,},tLife={bEnable=false,szOperator="&gt;",nValue=0,},},},},</v>
      </c>
    </row>
    <row r="350" spans="1:20" x14ac:dyDescent="0.15">
      <c r="C350">
        <v>10394</v>
      </c>
      <c r="D350">
        <v>47</v>
      </c>
      <c r="S350" t="s">
        <v>3621</v>
      </c>
      <c r="T350" t="str">
        <f t="shared" si="5"/>
        <v>{dwID=10394,nFrame=47,[17]={},[18]={},aFocus={{dwMapID=-1,nMaxDistance=6,tRelation={bAll=true,bEnemy=false,bAlly=false,},tLife={bEnable=false,szOperator="&gt;",nValue=0,},},},},</v>
      </c>
    </row>
    <row r="351" spans="1:20" x14ac:dyDescent="0.15">
      <c r="C351">
        <v>10277</v>
      </c>
      <c r="D351">
        <v>47</v>
      </c>
      <c r="I351" t="s">
        <v>4456</v>
      </c>
      <c r="S351" t="s">
        <v>4723</v>
      </c>
      <c r="T351" t="str">
        <f t="shared" si="5"/>
        <v>{dwID=10277,nFrame=47,szNote="云从券·肆",[17]={},[18]={},aFocus={{dwMapID=-1,szDisplay="云从券·肆",nMaxDistance=10,tRelation={bAll=true,bEnemy=false,bAlly=false,},tLife={bEnable=false,szOperator="&gt;",nValue=0,},},},},</v>
      </c>
    </row>
    <row r="352" spans="1:20" x14ac:dyDescent="0.15">
      <c r="C352">
        <v>10390</v>
      </c>
      <c r="D352">
        <v>47</v>
      </c>
      <c r="I352" t="s">
        <v>4724</v>
      </c>
      <c r="J352" t="s">
        <v>2152</v>
      </c>
      <c r="S352" t="s">
        <v>4725</v>
      </c>
      <c r="T352" t="str">
        <f t="shared" si="5"/>
        <v>{dwID=10390,nFrame=47,szNote="破巧言·酒杯",col={0,255,255,},[17]={},[18]={},aFocus={{dwMapID=-1,szDisplay="酒杯·破巧言",nMaxDistance=1,tRelation={bAll=true,bEnemy=false,bAlly=false,},tLife={bEnable=false,szOperator="&gt;",nValue=0,},},},},</v>
      </c>
    </row>
    <row r="353" spans="1:20" x14ac:dyDescent="0.15">
      <c r="C353">
        <v>10391</v>
      </c>
      <c r="D353">
        <v>47</v>
      </c>
      <c r="I353" t="s">
        <v>4726</v>
      </c>
      <c r="S353" t="s">
        <v>4727</v>
      </c>
      <c r="T353" t="str">
        <f t="shared" si="5"/>
        <v>{dwID=10391,nFrame=47,szNote="破巧言·包袱",[17]={},[18]={},aFocus={{dwMapID=-1,szDisplay="包袱·破巧言",nMaxDistance=60,tRelation={bAll=true,bEnemy=false,bAlly=false,},tLife={bEnable=false,szOperator="&gt;",nValue=0,},},},},</v>
      </c>
    </row>
    <row r="354" spans="1:20" x14ac:dyDescent="0.15">
      <c r="A354" t="s">
        <v>617</v>
      </c>
      <c r="B354">
        <v>658</v>
      </c>
      <c r="T354" t="str">
        <f t="shared" si="5"/>
        <v>},[658]={</v>
      </c>
    </row>
    <row r="355" spans="1:20" x14ac:dyDescent="0.15">
      <c r="C355">
        <v>10516</v>
      </c>
      <c r="D355">
        <v>47</v>
      </c>
      <c r="S355" t="s">
        <v>3623</v>
      </c>
      <c r="T355" t="str">
        <f t="shared" si="5"/>
        <v>{dwID=10516,nFrame=47,[17]={},[18]={},aFocus={{dwMapID=-1,nMaxDistance=0,tRelation={bAll=true,bEnemy=false,bAlly=false,},tLife={bEnable=false,szOperator="&gt;",nValue=0,},},},},</v>
      </c>
    </row>
    <row r="356" spans="1:20" x14ac:dyDescent="0.15">
      <c r="A356" t="s">
        <v>1194</v>
      </c>
      <c r="B356">
        <v>659</v>
      </c>
      <c r="T356" t="str">
        <f t="shared" si="5"/>
        <v>},[659]={</v>
      </c>
    </row>
    <row r="357" spans="1:20" x14ac:dyDescent="0.15">
      <c r="C357">
        <v>10516</v>
      </c>
      <c r="D357">
        <v>47</v>
      </c>
      <c r="S357" t="s">
        <v>3623</v>
      </c>
      <c r="T357" t="str">
        <f t="shared" si="5"/>
        <v>{dwID=10516,nFrame=47,[17]={},[18]={},aFocus={{dwMapID=-1,nMaxDistance=0,tRelation={bAll=true,bEnemy=false,bAlly=false,},tLife={bEnable=false,szOperator="&gt;",nValue=0,},},},},</v>
      </c>
    </row>
    <row r="358" spans="1:20" x14ac:dyDescent="0.15">
      <c r="T358" t="str">
        <f t="shared" si="5"/>
        <v>},},}</v>
      </c>
    </row>
    <row r="359" spans="1:20" x14ac:dyDescent="0.15">
      <c r="T359" t="str">
        <f t="shared" si="5"/>
        <v/>
      </c>
    </row>
  </sheetData>
  <phoneticPr fontId="18" type="noConversion"/>
  <pageMargins left="0.75" right="0.75" top="1" bottom="1" header="0.5" footer="0.5"/>
</worksheet>
</file>

<file path=xl/worksheets/sheet8.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DD944-41B3-4D51-B0BA-F3F4072246BB}">
  <dimension ref="A1:AH601"/>
  <sheetViews>
    <sheetView workbookViewId="0"/>
  </sheetViews>
  <sheetFormatPr defaultRowHeight="13.5" x14ac:dyDescent="0.15"/>
  <sheetData>
    <row r="1" spans="1:34" x14ac:dyDescent="0.15">
      <c r="A1" t="s">
        <v>0</v>
      </c>
      <c r="B1" t="s">
        <v>2061</v>
      </c>
      <c r="C1" t="s">
        <v>1397</v>
      </c>
      <c r="D1" t="s">
        <v>4728</v>
      </c>
      <c r="E1" t="s">
        <v>5</v>
      </c>
      <c r="F1" t="s">
        <v>2066</v>
      </c>
      <c r="G1" t="s">
        <v>4729</v>
      </c>
      <c r="H1" t="s">
        <v>4730</v>
      </c>
      <c r="I1" t="s">
        <v>4731</v>
      </c>
      <c r="J1" t="s">
        <v>4732</v>
      </c>
      <c r="K1" t="s">
        <v>4733</v>
      </c>
      <c r="L1" t="s">
        <v>4734</v>
      </c>
      <c r="M1" t="s">
        <v>4735</v>
      </c>
      <c r="N1" t="s">
        <v>4736</v>
      </c>
      <c r="O1" t="s">
        <v>2094</v>
      </c>
    </row>
    <row r="2" spans="1:34" x14ac:dyDescent="0.15">
      <c r="A2" t="s">
        <v>2095</v>
      </c>
      <c r="B2">
        <v>-19</v>
      </c>
      <c r="N2" t="str">
        <f t="shared" ref="N2:N65" si="0">IF(ISBLANK(B2)=FALSE,IF(ISBLANK(B1),"},["&amp;B2&amp;"]={","["&amp;B2&amp;"]={"),IF(AND(ISBLANK(B2),ISBLANK(D2),ISBLANK(G2),ISBLANK(H2),OR(ISBLANK(B1)=FALSE,ISBLANK(D1)=FALSE,ISBLANK(G1)=FALSE,ISBLANK(H1)=FALSE)),"},},}",IF(ISBLANK(D2),"","{szContent="""&amp;D2&amp;""","&amp;IF(C2&lt;&gt;"","szTarget="""&amp;C2&amp;""",","")&amp;IF(E2&lt;&gt;"","szNote="""&amp;E2&amp;""",","")&amp;IF(F2&lt;&gt;"","col={"&amp;F2&amp;"},","")&amp;IF(G2&gt;0,"bSearch=true,","")&amp;IF(H2&gt;0,"bReg=true,","")&amp;"[14]={"&amp;IF(I2&gt;0,"szVoice="""&amp;I2&amp;""",","")&amp;IF(J2&gt;0,"bTeamChannel=true,","")&amp;IF(K2&gt;0,"bWhisperChannel=true,","")&amp;IF(L2&gt;0,"bCenterAlarm=true,","")&amp;IF(M2&gt;0,"bScreenHead=true,","")&amp;"},"&amp;IF(O2&lt;&gt;"","tCountdown={"&amp;_xlfn.TEXTJOIN("",TRUE,O2:ZZ2)&amp;"},","")&amp;"},")))</f>
        <v>[-19]={</v>
      </c>
    </row>
    <row r="3" spans="1:34" x14ac:dyDescent="0.15">
      <c r="C3" t="s">
        <v>4737</v>
      </c>
      <c r="D3" t="s">
        <v>4738</v>
      </c>
      <c r="E3" t="s">
        <v>4739</v>
      </c>
      <c r="F3" t="s">
        <v>2718</v>
      </c>
      <c r="H3">
        <v>1</v>
      </c>
      <c r="L3">
        <v>1</v>
      </c>
      <c r="N3" t="str">
        <f t="shared" si="0"/>
        <v>{szContent="([浩气恶人]-)前线战况焦灼，(.-)，有劳你速速前往支援！",szTarget="%",szNote="{$1}·{$2}·即将到达",col={255,255,100,},bReg=true,[14]={bCenterAlarm=true,},tCountdown={{nClass=14,nIcon=2396,nFrame=-1,szName="",nTime=0.001,nRefresh=2,key="浩气·{$2}·助战",},{nClass=14,nIcon=2396,nFrame=-1,szName="浩气·{$2}·助战",nTime=-1,key="浩气·{$2}·助战",},{nClass=14,nIcon=2396,nFrame=-1,szName="",nTime=0.001,nRefresh=2,key="恶人·{$2}·助战",},{nClass=14,nIcon=2396,nFrame=-1,szName="恶人·{$2}·助战",nTime=-1,key="恶人·{$2}·助战",},{nClass=14,nIcon=2396,nFrame=-1,szName="{$1}·{$2}·助战",nTime=0,key="{$1}·{$2}·助战",},{nClass=14,nIcon=20122,nFrame=7,szName="浩气·{$2}·前来助战",nTime=300,nRefresh=1,key="浩气·{$2}·助战",},{nClass=14,nIcon=20114,nFrame=3,szName="恶人·{$2}·前来助战",nTime=300,nRefresh=1,key="恶人·{$2}·助战",},{nClass=14,nIcon=16834,nFrame=6,szName="{$sender}·{$2}·减伤",nTime=-2,key="{$sender}·{$2}·减伤",},{nClass=14,nIcon=16834,nFrame=6,szName="{$2}·减伤层数已清空",nTime=10,key="{$sender}·{$2}·减伤",},{nClass=14,nIcon=2399,nFrame=2,szName="{$1}·召请CD·{$2}",nTime=1800,key="召请CD·{$2}",},{nClass=14,nIcon=13,nFrame=-1,szName="谢渊·月弄痕·减伤",nTime=-2,key="谢渊·月弄痕·减伤",},{nClass=14,nIcon=13,nFrame=-1,szName="谢渊·游驹·减伤",nTime=-2,key="谢渊·游驹·减伤",},{nClass=14,nIcon=13,nFrame=-1,szName="谢渊·小七·减伤",nTime=-2,key="谢渊·小七·减伤",},{nClass=14,nIcon=13,nFrame=-1,szName="谢渊·张桎辕·减伤",nTime=-2,key="谢渊·张桎辕·减伤",},{nClass=14,nIcon=13,nFrame=-1,szName="谢渊·司空仲平·减伤",nTime=-2,key="谢渊·司空仲平·减伤",},{nClass=14,nIcon=13,nFrame=-1,szName="王遗风·司徒一一·减伤",nTime=-2,key="王遗风·司徒一一·减伤",},{nClass=14,nIcon=13,nFrame=-1,szName="王遗风·白某·减伤",nTime=-2,key="王遗风·白某·减伤",},{nClass=14,nIcon=13,nFrame=-1,szName="王遗风·米丽古丽·减伤",nTime=-2,key="王遗风·米丽古丽·减伤",},{nClass=14,nIcon=13,nFrame=-1,szName="王遗风·陶寒亭·减伤",nTime=-2,key="王遗风·陶寒亭·减伤",},{nClass=14,nIcon=13,nFrame=-1,szName="王遗风·肖药儿·减伤",nTime=-2,key="王遗风·肖药儿·减伤",},},},</v>
      </c>
      <c r="O3" t="s">
        <v>4740</v>
      </c>
      <c r="P3" t="s">
        <v>4741</v>
      </c>
      <c r="Q3" t="s">
        <v>4742</v>
      </c>
      <c r="R3" t="s">
        <v>4743</v>
      </c>
      <c r="S3" t="s">
        <v>4744</v>
      </c>
      <c r="T3" t="s">
        <v>4745</v>
      </c>
      <c r="U3" t="s">
        <v>4746</v>
      </c>
      <c r="V3" t="s">
        <v>4747</v>
      </c>
      <c r="W3" t="s">
        <v>4748</v>
      </c>
      <c r="X3" t="s">
        <v>4749</v>
      </c>
      <c r="Y3" t="s">
        <v>4750</v>
      </c>
      <c r="Z3" t="s">
        <v>4751</v>
      </c>
      <c r="AA3" t="s">
        <v>4752</v>
      </c>
      <c r="AB3" t="s">
        <v>4753</v>
      </c>
      <c r="AC3" t="s">
        <v>4754</v>
      </c>
      <c r="AD3" t="s">
        <v>4755</v>
      </c>
      <c r="AE3" t="s">
        <v>4756</v>
      </c>
      <c r="AF3" t="s">
        <v>4757</v>
      </c>
      <c r="AG3" t="s">
        <v>4758</v>
      </c>
      <c r="AH3" t="s">
        <v>4759</v>
      </c>
    </row>
    <row r="4" spans="1:34" x14ac:dyDescent="0.15">
      <c r="C4" t="s">
        <v>4737</v>
      </c>
      <c r="D4" t="s">
        <v>4760</v>
      </c>
      <c r="E4" t="s">
        <v>4761</v>
      </c>
      <c r="F4" t="s">
        <v>2718</v>
      </c>
      <c r="H4">
        <v>1</v>
      </c>
      <c r="L4">
        <v>1</v>
      </c>
      <c r="N4" t="str">
        <f t="shared" si="0"/>
        <v>{szContent="(.-)已经尽力，请暂且退回疗伤。",szTarget="%",szNote="{$1}·败退",col={255,255,100,},bReg=true,[14]={bCenterAlarm=true,},tCountdown={{nClass=14,nIcon=13,nFrame=-1,szName="{$sender}·{$1}·减伤",nTime=-2,key="{$sender}·{$1}·减伤",},{nClass=14,nIcon=13,nFrame=-1,szName="",nTime=0.001,nRefresh=2,key="谢渊·{$1}·减伤",},{nClass=14,nIcon=13,nFrame=7,szName="谢渊·{$1}·减伤",nTime=-1,key="谢渊·{$1}·减伤",},{nClass=14,nIcon=13,nFrame=-1,szName="",nTime=0.001,nRefresh=2,key="王遗风·{$1}·减伤",},{nClass=14,nIcon=13,nFrame=3,szName="王遗风·{$1}·减伤",nTime=-1,key="王遗风·{$1}·减伤",},{nClass=14,nIcon=13,nFrame=-1,szName="{$sender}·{$1}·减伤",nTime=0,key="{$sender}·{$1}·减伤",},{nClass=14,nIcon=18829,nFrame=7,szName="浩气·{$1}·败退",nTime=10,nRefresh=10,key="谢渊·{$1}·减伤",},{nClass=14,nIcon=18830,nFrame=3,szName="恶人·{$1}·败退",nTime=10,nRefresh=10,key="王遗风·{$1}·减伤",},},},</v>
      </c>
      <c r="O4" t="s">
        <v>4762</v>
      </c>
      <c r="P4" t="s">
        <v>4763</v>
      </c>
      <c r="Q4" t="s">
        <v>4764</v>
      </c>
      <c r="R4" t="s">
        <v>4765</v>
      </c>
      <c r="S4" t="s">
        <v>4766</v>
      </c>
      <c r="T4" t="s">
        <v>4767</v>
      </c>
      <c r="U4" t="s">
        <v>4768</v>
      </c>
      <c r="V4" t="s">
        <v>4769</v>
      </c>
    </row>
    <row r="5" spans="1:34" x14ac:dyDescent="0.15">
      <c r="C5" t="s">
        <v>4737</v>
      </c>
      <c r="D5" t="s">
        <v>4770</v>
      </c>
      <c r="E5" t="s">
        <v>4771</v>
      </c>
      <c r="F5" t="s">
        <v>2718</v>
      </c>
      <c r="L5">
        <v>1</v>
      </c>
      <c r="N5" t="str">
        <f t="shared" si="0"/>
        <v>{szContent="罢了，青山不改，绿水长流，后会有期！",szTarget="%",szNote="{$sender}·败退",col={255,255,100,},[14]={bCenterAlarm=true,},tCountdown={{nClass=14,nIcon=13,nFrame=6,szName="谢渊·{$sender}·减伤",nTime=0,key="谢渊·{$sender}·减伤",},{nClass=14,nIcon=13,nFrame=6,szName="王遗风·{$sender}·减伤",nTime=0,key="王遗风·{$sender}·减伤",},},},</v>
      </c>
      <c r="O5" t="s">
        <v>4772</v>
      </c>
      <c r="P5" t="s">
        <v>4773</v>
      </c>
    </row>
    <row r="6" spans="1:34" x14ac:dyDescent="0.15">
      <c r="C6" t="s">
        <v>4737</v>
      </c>
      <c r="D6" t="s">
        <v>4774</v>
      </c>
      <c r="E6" t="s">
        <v>4775</v>
      </c>
      <c r="F6" t="s">
        <v>2529</v>
      </c>
      <c r="N6" t="str">
        <f t="shared" si="0"/>
        <v>{szContent="奉谷主之命，前来相助。",szTarget="%",szNote="恶人·{$sender}·正在助战",col={255,100,100,},[14]={},tCountdown={{nClass=14,nIcon=14724,nFrame=6,szName="王遗风·{$sender}·减伤",nTime=-2,key="王遗风·{$sender}·减伤",},{nClass=14,nIcon=20114,nFrame=3,szName="恶人·{$sender}·正在助战",nTime=300,nRefresh=1,key="恶人·{$sender}·助战",},},},</v>
      </c>
      <c r="O6" t="s">
        <v>4776</v>
      </c>
      <c r="P6" t="s">
        <v>4777</v>
      </c>
    </row>
    <row r="7" spans="1:34" x14ac:dyDescent="0.15">
      <c r="C7" t="s">
        <v>4737</v>
      </c>
      <c r="D7" t="s">
        <v>4778</v>
      </c>
      <c r="E7" t="s">
        <v>4779</v>
      </c>
      <c r="F7" t="s">
        <v>2524</v>
      </c>
      <c r="N7" t="str">
        <f t="shared" si="0"/>
        <v>{szContent="奉盟主之命，前来相助。",szTarget="%",szNote="浩气·{$sender}·正在助战",col={100,100,255,},[14]={},tCountdown={{nClass=14,nIcon=14724,nFrame=6,szName="谢渊·{$sender}·减伤",nTime=-2,key="谢渊·{$sender}·减伤",},{nClass=14,nIcon=20122,nFrame=3,szName="浩气·{$sender}·正在助战",nTime=300,nRefresh=1,key="浩气·{$sender}·助战",},},},</v>
      </c>
      <c r="O7" t="s">
        <v>4780</v>
      </c>
      <c r="P7" t="s">
        <v>4781</v>
      </c>
    </row>
    <row r="8" spans="1:34" x14ac:dyDescent="0.15">
      <c r="D8" t="s">
        <v>4782</v>
      </c>
      <c r="N8" t="str">
        <f t="shared" si="0"/>
        <v>{szContent="你获得了100点威名、100点战阶。受到了鼓舞，气力值增加500点。",[14]={},tCountdown={{nClass=14,nIcon=13,nFrame=1,szName="拾取间隔",nTime="300,物资车·拾取物资间隔;310,可以拾取物资了",nRefresh=1,key="拾取间隔",},},},</v>
      </c>
      <c r="O8" t="s">
        <v>4783</v>
      </c>
    </row>
    <row r="9" spans="1:34" x14ac:dyDescent="0.15">
      <c r="D9" t="s">
        <v>4784</v>
      </c>
      <c r="N9" t="str">
        <f t="shared" si="0"/>
        <v>{szContent="你获得了100点威名、100点战阶。受到了鼓舞，气力值消耗减少一段时间。",[14]={},tCountdown={{nClass=14,nIcon=13,nFrame=1,szName="拾取间隔",nTime="300,物资车·拾取物资间隔;310,可以拾取物资了",nRefresh=1,key="拾取间隔",},},},</v>
      </c>
      <c r="O9" t="s">
        <v>4783</v>
      </c>
    </row>
    <row r="10" spans="1:34" x14ac:dyDescent="0.15">
      <c r="A10" t="s">
        <v>2107</v>
      </c>
      <c r="B10">
        <v>-15</v>
      </c>
      <c r="N10" t="str">
        <f t="shared" si="0"/>
        <v>},[-15]={</v>
      </c>
    </row>
    <row r="11" spans="1:34" x14ac:dyDescent="0.15">
      <c r="D11" t="s">
        <v>4785</v>
      </c>
      <c r="E11" t="s">
        <v>497</v>
      </c>
      <c r="N11" t="str">
        <f t="shared" si="0"/>
        <v>{szContent="获得家具【游梦仙枕】与【二进宫】，并可在马宝玉处继续购买。",szNote="白日梦",[14]={},tCountdown={{nClass=14,nIcon=17135,nFrame=7,szName="奇遇提示1",nTime=0,key="奇遇提示1",},{nClass=14,nIcon=17135,nFrame=7,szName="奇遇提示2",nTime=0,key="奇遇提示2",},{nClass=14,nIcon=17135,nFrame=7,szName="奇遇提示3",nTime=0,key="奇遇提示3",},{nClass=14,nIcon=17135,nFrame=7,szName="恭喜完成奇遇·白日梦",nTime=10,key="奇遇提示0",},},},</v>
      </c>
      <c r="O11" t="s">
        <v>4786</v>
      </c>
      <c r="P11" t="s">
        <v>4787</v>
      </c>
      <c r="Q11" t="s">
        <v>4788</v>
      </c>
      <c r="R11" t="s">
        <v>4789</v>
      </c>
    </row>
    <row r="12" spans="1:34" x14ac:dyDescent="0.15">
      <c r="A12" t="s">
        <v>2142</v>
      </c>
      <c r="B12">
        <v>-7</v>
      </c>
      <c r="N12" t="str">
        <f t="shared" si="0"/>
        <v>},[-7]={</v>
      </c>
    </row>
    <row r="13" spans="1:34" x14ac:dyDescent="0.15">
      <c r="D13" t="s">
        <v>4790</v>
      </c>
      <c r="N13" t="str">
        <f t="shared" si="0"/>
        <v>{szContent="悦月一口气要吃五个鲜肉包子，去买点包子来吧。",[14]={},tCountdown={{nClass=14,nIcon=17135,nFrame=0,szName="可去NPC小吃商购买·鲜肉包子",nTime=20,nRefresh=10,key="故园风雨1",},},},</v>
      </c>
      <c r="O13" t="s">
        <v>4791</v>
      </c>
    </row>
    <row r="14" spans="1:34" x14ac:dyDescent="0.15">
      <c r="D14" t="s">
        <v>4792</v>
      </c>
      <c r="N14" t="str">
        <f t="shared" si="0"/>
        <v>{szContent="未找到前来帮助的侠士，少侠可重新发布援助。",[14]={},tCountdown={{nClass=14,nIcon=17135,nFrame=4,szName="",nTime="10,援助·未找到;232,援助·CD",nRefresh=0,key="援助",},},},</v>
      </c>
      <c r="O14" t="s">
        <v>4793</v>
      </c>
    </row>
    <row r="15" spans="1:34" x14ac:dyDescent="0.15">
      <c r="D15" t="s">
        <v>4794</v>
      </c>
      <c r="N15" t="str">
        <f t="shared" si="0"/>
        <v>{szContent="正在为你寻找玩家，一分钟内对方将与你自动组队，请保持可组队状态。",[14]={},tCountdown={{nClass=14,nIcon=17135,nFrame=6,szName="援助·保持可组队状态",nTime=60,key="援助",},},},</v>
      </c>
      <c r="O15" t="s">
        <v>4795</v>
      </c>
    </row>
    <row r="16" spans="1:34" x14ac:dyDescent="0.15">
      <c r="D16" t="s">
        <v>4796</v>
      </c>
      <c r="F16" t="s">
        <v>2529</v>
      </c>
      <c r="N16" t="str">
        <f t="shared" si="0"/>
        <v>{szContent="分流活动已开启，大侠可以前往龙门荒漠接取阵营攻防前置任务",col={255,100,100,},[14]={},tCountdown={{nClass=14,nIcon=3536,nFrame=3,szName="龙门·攻防前置分流",nTime=30,nRefresh=3600,key="攻防前置分流",},},},</v>
      </c>
      <c r="O16" t="s">
        <v>4797</v>
      </c>
    </row>
    <row r="17" spans="1:16" x14ac:dyDescent="0.15">
      <c r="D17" t="s">
        <v>4798</v>
      </c>
      <c r="F17" t="s">
        <v>2524</v>
      </c>
      <c r="N17" t="str">
        <f t="shared" si="0"/>
        <v>{szContent="分流活动已开启，大侠可以前往巴陵县接取阵营攻防前置任务",col={100,100,255,},[14]={},tCountdown={{nClass=14,nIcon=3536,nFrame=7,szName="巴陵·攻防前置分流",nTime=30,nRefresh=3600,key="攻防前置分流",},},},</v>
      </c>
      <c r="O17" t="s">
        <v>4799</v>
      </c>
    </row>
    <row r="18" spans="1:16" x14ac:dyDescent="0.15">
      <c r="C18" t="s">
        <v>4800</v>
      </c>
      <c r="D18" t="s">
        <v>4801</v>
      </c>
      <c r="E18" t="s">
        <v>4802</v>
      </c>
      <c r="N18" t="str">
        <f t="shared" si="0"/>
        <v>{szContent="哼，打扰本大爷休息！",szTarget="狼牙先锋首领",szNote="刷新喊话2",[14]={},tCountdown={{nClass=14,nIcon=3556,nFrame=3,szName="狼牙先锋首领·已刷新",nTime=10,nRefresh=120,key="狼牙先锋首领",},},},</v>
      </c>
      <c r="O18" t="s">
        <v>4803</v>
      </c>
    </row>
    <row r="19" spans="1:16" x14ac:dyDescent="0.15">
      <c r="C19" t="s">
        <v>4800</v>
      </c>
      <c r="D19" t="s">
        <v>4804</v>
      </c>
      <c r="E19" t="s">
        <v>4805</v>
      </c>
      <c r="N19" t="str">
        <f t="shared" si="0"/>
        <v>{szContent="你爷爷我年轻些时候，也是翻云覆雨的江湖响当当一号人物！",szTarget="狼牙先锋首领",szNote="刷新喊话1·可能会与2一起喊",[14]={},tCountdown={{nClass=14,nIcon=3556,nFrame=3,szName="狼牙先锋首领·已刷新",nTime=10,nRefresh=120,key="狼牙先锋首领",},},},</v>
      </c>
      <c r="O19" t="s">
        <v>4803</v>
      </c>
    </row>
    <row r="20" spans="1:16" x14ac:dyDescent="0.15">
      <c r="C20" t="s">
        <v>4800</v>
      </c>
      <c r="D20" t="s">
        <v>4806</v>
      </c>
      <c r="E20" t="s">
        <v>4807</v>
      </c>
      <c r="N20" t="str">
        <f t="shared" si="0"/>
        <v>{szContent="我竟然败给你们这群小辈！",szTarget="狼牙先锋首领",szNote="禁用此倒计时条，刷新CD与拾取CD合并",[14]={},tCountdown={{nClass=-1,nIcon=3556,nFrame=3,szName="",nTime="10,狼牙先锋首领·已击退;590,狼牙先锋首领·10分钟刷新;600,狼牙先锋首领·即将刷新",key="狼牙先锋首领",},},},</v>
      </c>
      <c r="O20" t="s">
        <v>4808</v>
      </c>
    </row>
    <row r="21" spans="1:16" x14ac:dyDescent="0.15">
      <c r="A21" t="s">
        <v>2178</v>
      </c>
      <c r="B21">
        <v>-4</v>
      </c>
      <c r="N21" t="str">
        <f t="shared" si="0"/>
        <v>},[-4]={</v>
      </c>
    </row>
    <row r="22" spans="1:16" x14ac:dyDescent="0.15">
      <c r="D22" t="s">
        <v>4809</v>
      </c>
      <c r="E22" t="s">
        <v>4810</v>
      </c>
      <c r="L22">
        <v>1</v>
      </c>
      <c r="N22" t="str">
        <f t="shared" si="0"/>
        <v>{szContent="当前收集了2000份打碎花灯收集流火，离开秘境即清空。",szNote="花灯流火·已集满",[14]={bCenterAlarm=true,},tCountdown={{nClass=14,nIcon=13,nFrame=2,szName="花灯流火·已集满",nTime=5,key="花灯流火值",},},},</v>
      </c>
      <c r="O22" t="s">
        <v>4811</v>
      </c>
    </row>
    <row r="23" spans="1:16" x14ac:dyDescent="0.15">
      <c r="A23" t="s">
        <v>2179</v>
      </c>
      <c r="B23">
        <v>-3</v>
      </c>
      <c r="N23" t="str">
        <f t="shared" si="0"/>
        <v>},[-3]={</v>
      </c>
    </row>
    <row r="24" spans="1:16" x14ac:dyDescent="0.15">
      <c r="C24" t="s">
        <v>4812</v>
      </c>
      <c r="D24" t="s">
        <v>4813</v>
      </c>
      <c r="N24" t="str">
        <f t="shared" si="0"/>
        <v>{szContent="到此……为止了……",szTarget="燕子娘",[14]={},tCountdown={{nClass=14,nIcon=13,nFrame=-1,szName="侠客召请",nTime=-2,key="侠客召请",},{nClass=14,nIcon=5958,nFrame=2,szName="燕子娘·重伤",nTime=2,nRefresh=10,key="侠客召请",},},},</v>
      </c>
      <c r="O24" t="s">
        <v>4814</v>
      </c>
      <c r="P24" t="s">
        <v>4815</v>
      </c>
    </row>
    <row r="25" spans="1:16" x14ac:dyDescent="0.15">
      <c r="C25" t="s">
        <v>4816</v>
      </c>
      <c r="D25" t="s">
        <v>4817</v>
      </c>
      <c r="N25" t="str">
        <f t="shared" si="0"/>
        <v>{szContent="来者不善啊……",szTarget="刀马",[14]={},tCountdown={{nClass=14,nIcon=13,nFrame=-1,szName="侠客召请",nTime=-2,key="侠客召请",},{nClass=14,nIcon=5958,nFrame=2,szName="刀马·重伤",nTime=2,nRefresh=10,key="侠客召请",},},},</v>
      </c>
      <c r="O25" t="s">
        <v>4814</v>
      </c>
      <c r="P25" t="s">
        <v>4818</v>
      </c>
    </row>
    <row r="26" spans="1:16" x14ac:dyDescent="0.15">
      <c r="C26" t="s">
        <v>4819</v>
      </c>
      <c r="D26" t="s">
        <v>4820</v>
      </c>
      <c r="N26" t="str">
        <f t="shared" si="0"/>
        <v>{szContent="给康家……丢脸了。",szTarget="康宴别",[14]={},tCountdown={{nClass=14,nIcon=13,nFrame=-1,szName="侠客召请",nTime=-2,key="侠客召请",},{nClass=14,nIcon=17380,nFrame=2,szName="康宴别·重伤",nTime=2,nRefresh=10,key="侠客召请",},},},</v>
      </c>
      <c r="O26" t="s">
        <v>4814</v>
      </c>
      <c r="P26" t="s">
        <v>4821</v>
      </c>
    </row>
    <row r="27" spans="1:16" x14ac:dyDescent="0.15">
      <c r="C27" t="s">
        <v>4819</v>
      </c>
      <c r="D27" t="s">
        <v>4822</v>
      </c>
      <c r="N27" t="str">
        <f t="shared" si="0"/>
        <v>{szContent="果然还是……学艺不精……",szTarget="康宴别",[14]={},tCountdown={{nClass=14,nIcon=13,nFrame=-1,szName="侠客召请",nTime=-2,key="侠客召请",},{nClass=14,nIcon=17380,nFrame=2,szName="康宴别·重伤",nTime=2,nRefresh=10,key="侠客召请",},},},</v>
      </c>
      <c r="O27" t="s">
        <v>4814</v>
      </c>
      <c r="P27" t="s">
        <v>4821</v>
      </c>
    </row>
    <row r="28" spans="1:16" x14ac:dyDescent="0.15">
      <c r="C28" t="s">
        <v>4823</v>
      </c>
      <c r="D28" t="s">
        <v>4824</v>
      </c>
      <c r="N28" t="str">
        <f t="shared" si="0"/>
        <v>{szContent="救命啊，打不过，打不过，完全打不过……",szTarget="茸茸",[14]={},tCountdown={{nClass=14,nIcon=13,nFrame=-1,szName="侠客召请",nTime=-2,key="侠客召请",},{nClass=14,nIcon=17383,nFrame=2,szName="茸茸·重伤",nTime=2,nRefresh=10,key="侠客召请",},},},</v>
      </c>
      <c r="O28" t="s">
        <v>4814</v>
      </c>
      <c r="P28" t="s">
        <v>4825</v>
      </c>
    </row>
    <row r="29" spans="1:16" x14ac:dyDescent="0.15">
      <c r="C29" t="s">
        <v>4826</v>
      </c>
      <c r="D29" t="s">
        <v>4827</v>
      </c>
      <c r="N29" t="str">
        <f t="shared" si="0"/>
        <v>{szContent="既收了佣金，在下定然要以死相护……",szTarget="费大劲",[14]={},tCountdown={{nClass=14,nIcon=13,nFrame=-1,szName="侠客召请",nTime=-2,key="侠客召请",},{nClass=14,nIcon=5958,nFrame=2,szName="费大劲·重伤",nTime=2,nRefresh=10,key="侠客召请",},},},</v>
      </c>
      <c r="O29" t="s">
        <v>4814</v>
      </c>
      <c r="P29" t="s">
        <v>4828</v>
      </c>
    </row>
    <row r="30" spans="1:16" x14ac:dyDescent="0.15">
      <c r="C30" t="s">
        <v>4829</v>
      </c>
      <c r="D30" t="s">
        <v>4830</v>
      </c>
      <c r="N30" t="str">
        <f t="shared" si="0"/>
        <v>{szContent="好强的敌人……你要……小心……",szTarget="唐小珂",[14]={},tCountdown={{nClass=14,nIcon=13,nFrame=-1,szName="侠客召请",nTime=-2,key="侠客召请",},{nClass=14,nIcon=17386,nFrame=2,szName="唐小珂·重伤",nTime=2,nRefresh=10,key="侠客召请",},},},</v>
      </c>
      <c r="O30" t="s">
        <v>4814</v>
      </c>
      <c r="P30" t="s">
        <v>4831</v>
      </c>
    </row>
    <row r="31" spans="1:16" x14ac:dyDescent="0.15">
      <c r="C31" t="s">
        <v>4829</v>
      </c>
      <c r="D31" t="s">
        <v>4832</v>
      </c>
      <c r="N31" t="str">
        <f t="shared" si="0"/>
        <v>{szContent="对不起，任务失败了……",szTarget="唐小珂",[14]={},tCountdown={{nClass=14,nIcon=13,nFrame=-1,szName="侠客召请",nTime=-2,key="侠客召请",},{nClass=14,nIcon=17386,nFrame=2,szName="唐小珂·重伤",nTime=2,nRefresh=10,key="侠客召请",},},},</v>
      </c>
      <c r="O31" t="s">
        <v>4814</v>
      </c>
      <c r="P31" t="s">
        <v>4831</v>
      </c>
    </row>
    <row r="32" spans="1:16" x14ac:dyDescent="0.15">
      <c r="C32" t="s">
        <v>4833</v>
      </c>
      <c r="D32" t="s">
        <v>4834</v>
      </c>
      <c r="N32" t="str">
        <f t="shared" si="0"/>
        <v>{szContent="我……尽力了……",szTarget="沐晴柔",[14]={},tCountdown={{nClass=14,nIcon=13,nFrame=-1,szName="侠客召请",nTime=-2,key="侠客召请",},{nClass=14,nIcon=17390,nFrame=2,szName="沐晴柔·重伤",nTime=2,nRefresh=10,key="侠客召请",},},},</v>
      </c>
      <c r="O32" t="s">
        <v>4814</v>
      </c>
      <c r="P32" t="s">
        <v>4835</v>
      </c>
    </row>
    <row r="33" spans="1:22" x14ac:dyDescent="0.15">
      <c r="C33" t="s">
        <v>4833</v>
      </c>
      <c r="D33" t="s">
        <v>4836</v>
      </c>
      <c r="N33" t="str">
        <f t="shared" si="0"/>
        <v>{szContent="只能……同行至此了……",szTarget="沐晴柔",[14]={},tCountdown={{nClass=14,nIcon=13,nFrame=-1,szName="侠客召请",nTime=-2,key="侠客召请",},{nClass=14,nIcon=17390,nFrame=2,szName="沐晴柔·重伤",nTime=2,nRefresh=10,key="侠客召请",},},},</v>
      </c>
      <c r="O33" t="s">
        <v>4814</v>
      </c>
      <c r="P33" t="s">
        <v>4835</v>
      </c>
    </row>
    <row r="34" spans="1:22" x14ac:dyDescent="0.15">
      <c r="C34" t="s">
        <v>376</v>
      </c>
      <c r="D34" t="s">
        <v>4837</v>
      </c>
      <c r="N34" t="str">
        <f t="shared" si="0"/>
        <v>{szContent="我这样……算是一代大侠吗？",szTarget="沈剑心",[14]={},tCountdown={{nClass=14,nIcon=13,nFrame=-1,szName="侠客召请",nTime=-2,key="侠客召请",},{nClass=14,nIcon=5958,nFrame=2,szName="沈剑心·重伤",nTime=2,nRefresh=10,key="侠客召请",},},},</v>
      </c>
      <c r="O34" t="s">
        <v>4814</v>
      </c>
      <c r="P34" t="s">
        <v>4838</v>
      </c>
    </row>
    <row r="35" spans="1:22" x14ac:dyDescent="0.15">
      <c r="C35" t="s">
        <v>376</v>
      </c>
      <c r="D35" t="s">
        <v>4839</v>
      </c>
      <c r="N35" t="str">
        <f t="shared" si="0"/>
        <v>{szContent="大侠不死，只是凋零。",szTarget="沈剑心",[14]={},tCountdown={{nClass=14,nIcon=13,nFrame=-1,szName="侠客召请",nTime=-2,key="侠客召请",},{nClass=14,nIcon=5958,nFrame=2,szName="沈剑心·重伤",nTime=2,nRefresh=10,key="侠客召请",},},},</v>
      </c>
      <c r="O35" t="s">
        <v>4814</v>
      </c>
      <c r="P35" t="s">
        <v>4838</v>
      </c>
    </row>
    <row r="36" spans="1:22" x14ac:dyDescent="0.15">
      <c r="C36" t="s">
        <v>4840</v>
      </c>
      <c r="D36" t="s">
        <v>4841</v>
      </c>
      <c r="N36" t="str">
        <f t="shared" si="0"/>
        <v>{szContent="放心，死不了。",szTarget="李星云",[14]={},tCountdown={{nClass=14,nIcon=13,nFrame=-1,szName="侠客召请",nTime=-2,key="侠客召请",},{nClass=14,nIcon=5958,nFrame=2,szName="李星云·重伤",nTime=2,nRefresh=10,key="侠客召请",},},},</v>
      </c>
      <c r="O36" t="s">
        <v>4814</v>
      </c>
      <c r="P36" t="s">
        <v>4842</v>
      </c>
    </row>
    <row r="37" spans="1:22" x14ac:dyDescent="0.15">
      <c r="C37" t="s">
        <v>3463</v>
      </c>
      <c r="D37" t="s">
        <v>4843</v>
      </c>
      <c r="N37" t="str">
        <f t="shared" si="0"/>
        <v>{szContent="果然，实战和理论还是不同的……",szTarget="月嘉禾",[14]={},tCountdown={{nClass=14,nIcon=13,nFrame=-1,szName="侠客召请",nTime=-2,key="侠客召请",},{nClass=14,nIcon=5958,nFrame=2,szName="月嘉禾·重伤",nTime=2,nRefresh=10,key="侠客召请",},},},</v>
      </c>
      <c r="O37" t="s">
        <v>4814</v>
      </c>
      <c r="P37" t="s">
        <v>4844</v>
      </c>
    </row>
    <row r="38" spans="1:22" x14ac:dyDescent="0.15">
      <c r="C38" t="s">
        <v>4845</v>
      </c>
      <c r="D38" t="s">
        <v>4846</v>
      </c>
      <c r="N38" t="str">
        <f t="shared" si="0"/>
        <v>{szContent="不……还不能倒下……",szTarget="白鹊",[14]={},tCountdown={{nClass=14,nIcon=13,nFrame=-1,szName="侠客召请",nTime=-2,key="侠客召请",},{nClass=14,nIcon=5958,nFrame=2,szName="白鹊·重伤",nTime=2,nRefresh=10,key="侠客召请",},},},</v>
      </c>
      <c r="O38" t="s">
        <v>4814</v>
      </c>
      <c r="P38" t="s">
        <v>4847</v>
      </c>
    </row>
    <row r="39" spans="1:22" x14ac:dyDescent="0.15">
      <c r="C39" t="s">
        <v>4848</v>
      </c>
      <c r="D39" t="s">
        <v>4849</v>
      </c>
      <c r="N39" t="str">
        <f t="shared" si="0"/>
        <v>{szContent="此战凶险……务必小心……",szTarget="贺闲",[14]={},tCountdown={{nClass=14,nIcon=13,nFrame=-1,szName="侠客召请",nTime=-2,key="侠客召请",},{nClass=14,nIcon=5958,nFrame=2,szName="贺闲·重伤",nTime=2,nRefresh=10,key="侠客召请",},},},</v>
      </c>
      <c r="O39" t="s">
        <v>4814</v>
      </c>
      <c r="P39" t="s">
        <v>4850</v>
      </c>
    </row>
    <row r="40" spans="1:22" x14ac:dyDescent="0.15">
      <c r="C40" t="s">
        <v>4737</v>
      </c>
      <c r="D40" t="s">
        <v>4851</v>
      </c>
      <c r="N40" t="str">
        <f t="shared" si="0"/>
        <v>{szContent="这也太为难我了吧……呜呜呜……",szTarget="%",[14]={},tCountdown={{nClass=14,nIcon=13,nFrame=-1,szName="侠客召请",nTime=-2,key="侠客召请",},{nClass=14,nIcon=5958,nFrame=2,szName="{$sender}·重伤",nTime=2,nRefresh=10,key="侠客召请",},},},</v>
      </c>
      <c r="O40" t="s">
        <v>4814</v>
      </c>
      <c r="P40" t="s">
        <v>4852</v>
      </c>
    </row>
    <row r="41" spans="1:22" x14ac:dyDescent="0.15">
      <c r="C41" t="s">
        <v>4737</v>
      </c>
      <c r="D41" t="s">
        <v>4853</v>
      </c>
      <c r="N41" t="str">
        <f t="shared" si="0"/>
        <v>{szContent="咳咳，主人小心些……",szTarget="%",[14]={},tCountdown={{nClass=14,nIcon=13,nFrame=-1,szName="侠客召请",nTime=-2,key="侠客召请",},{nClass=14,nIcon=5958,nFrame=2,szName="{$sender}·重伤",nTime=2,nRefresh=10,key="侠客召请",},},},</v>
      </c>
      <c r="O41" t="s">
        <v>4814</v>
      </c>
      <c r="P41" t="s">
        <v>4852</v>
      </c>
    </row>
    <row r="42" spans="1:22" x14ac:dyDescent="0.15">
      <c r="C42" t="s">
        <v>4737</v>
      </c>
      <c r="D42" t="s">
        <v>4854</v>
      </c>
      <c r="N42" t="str">
        <f t="shared" si="0"/>
        <v>{szContent="我、尽力了……",szTarget="%",[14]={},tCountdown={{nClass=14,nIcon=13,nFrame=-1,szName="侠客召请",nTime=-2,key="侠客召请",},{nClass=14,nIcon=5958,nFrame=2,szName="{$sender}·重伤",nTime=2,nRefresh=10,key="侠客召请",},},},</v>
      </c>
      <c r="O42" t="s">
        <v>4814</v>
      </c>
      <c r="P42" t="s">
        <v>4852</v>
      </c>
    </row>
    <row r="43" spans="1:22" x14ac:dyDescent="0.15">
      <c r="D43" t="s">
        <v>4855</v>
      </c>
      <c r="N43" t="str">
        <f t="shared" si="0"/>
        <v>{szContent="你获得1个侠客装备匣",[14]={},tCountdown={{nClass=14,nIcon=904,nFrame=5,szName="KEY·左旋右转",nTime=0,key="KEY·左旋右转",},{nClass=14,nIcon=904,nFrame=-1,szName="",nTime=0.001,nRefresh=60,key="KEY·左旋右转",},{nClass=14,nIcon=904,nFrame=5,szName="KEY·左旋右转",nTime=-1,nRefresh=60,key="KEY·左旋右转",},{nClass=14,nIcon=15692,nFrame=5,szName="KEY·飘黄",nTime=0,key="KEY·飘黄",},{nClass=14,nIcon=15692,nFrame=-1,szName="",nTime=0.001,nRefresh=80,key="KEY·飘黄",},{nClass=14,nIcon=15692,nFrame=5,szName="KEY·飘黄",nTime=-1,nRefresh=80,key="KEY·飘黄",},{nClass=14,nIcon=2744,nFrame=5,szName="KEY·蛊惑众生",nTime=0,key="KEY·蛊惑众生",},{nClass=14,nIcon=403,nFrame=5,szName="KEY·秋肃",nTime=0,key="KEY·秋肃",},},},</v>
      </c>
      <c r="O43" t="s">
        <v>4856</v>
      </c>
      <c r="P43" t="s">
        <v>4857</v>
      </c>
      <c r="Q43" t="s">
        <v>4858</v>
      </c>
      <c r="R43" t="s">
        <v>4859</v>
      </c>
      <c r="S43" t="s">
        <v>4860</v>
      </c>
      <c r="T43" t="s">
        <v>4861</v>
      </c>
      <c r="U43" t="s">
        <v>4862</v>
      </c>
      <c r="V43" t="s">
        <v>4863</v>
      </c>
    </row>
    <row r="44" spans="1:22" x14ac:dyDescent="0.15">
      <c r="A44" t="s">
        <v>2324</v>
      </c>
      <c r="B44">
        <v>-2</v>
      </c>
      <c r="N44" t="str">
        <f t="shared" si="0"/>
        <v>},[-2]={</v>
      </c>
    </row>
    <row r="45" spans="1:22" x14ac:dyDescent="0.15">
      <c r="C45" t="s">
        <v>4864</v>
      </c>
      <c r="D45" t="s">
        <v>4865</v>
      </c>
      <c r="H45">
        <v>1</v>
      </c>
      <c r="N45" t="str">
        <f t="shared" si="0"/>
        <v>{szContent="因(.*)交通阻塞，镖局临时开启【(.*)】秘境镖路，各位侠士可寻我直接进入秘境。",szTarget="秘境镖局接引人",bReg=true,[14]={},tCountdown={{nClass=14,nIcon=641,nFrame=5,szName="秘境镖路·{$2}·{$1}",nTime=10,nRefresh=1800,key="{$2}·{$1}",},},},</v>
      </c>
      <c r="O45" t="s">
        <v>4866</v>
      </c>
    </row>
    <row r="46" spans="1:22" x14ac:dyDescent="0.15">
      <c r="D46" t="s">
        <v>4790</v>
      </c>
      <c r="N46" t="str">
        <f t="shared" si="0"/>
        <v>{szContent="悦月一口气要吃五个鲜肉包子，去买点包子来吧。",[14]={},tCountdown={{nClass=14,nIcon=17135,nFrame=0,szName="可去NPC小吃商购买·鲜肉包子",nTime=20,nRefresh=10,key="故园风雨1",},},},</v>
      </c>
      <c r="O46" t="s">
        <v>4791</v>
      </c>
    </row>
    <row r="47" spans="1:22" x14ac:dyDescent="0.15">
      <c r="D47" t="s">
        <v>4867</v>
      </c>
      <c r="E47" t="s">
        <v>4868</v>
      </c>
      <c r="N47" t="str">
        <f t="shared" si="0"/>
        <v>{szContent="侠士放置的珍奇金蛋已经破裂，请尽快拾取掉落与金蛋碎片！",szNote="珍奇金蛋·已破裂",[14]={},tCountdown={{nClass=14,nIcon=136,nFrame=6,szName="快拾取金蛋掉落与碎片！",nTime=10,key="元旦·金蛋",},},},</v>
      </c>
      <c r="O47" t="s">
        <v>4869</v>
      </c>
    </row>
    <row r="48" spans="1:22" x14ac:dyDescent="0.15">
      <c r="D48" t="s">
        <v>4870</v>
      </c>
      <c r="E48" t="s">
        <v>4868</v>
      </c>
      <c r="N48" t="str">
        <f t="shared" si="0"/>
        <v>{szContent="侠士放置的珍奇金蛋已经破裂，请尽快拾取掉落！",szNote="珍奇金蛋·已破裂",[14]={},tCountdown={{nClass=14,nIcon=136,nFrame=6,szName="快拾取金蛋掉落！",nTime=10,key="元旦·金蛋",},},},</v>
      </c>
      <c r="O48" t="s">
        <v>4871</v>
      </c>
    </row>
    <row r="49" spans="1:16" x14ac:dyDescent="0.15">
      <c r="D49" t="s">
        <v>4872</v>
      </c>
      <c r="E49" t="s">
        <v>4868</v>
      </c>
      <c r="N49" t="str">
        <f t="shared" si="0"/>
        <v>{szContent="珍奇金蛋已经破裂，请在2分钟内拾取金蛋碎片！",szNote="珍奇金蛋·已破裂",[14]={},tCountdown={{nClass=14,nIcon=136,nFrame=6,szName="快拾取金蛋碎片！",nTime=10,key="元旦·金蛋",},},},</v>
      </c>
      <c r="O49" t="s">
        <v>4873</v>
      </c>
    </row>
    <row r="50" spans="1:16" x14ac:dyDescent="0.15">
      <c r="C50" t="s">
        <v>4737</v>
      </c>
      <c r="D50" t="s">
        <v>4874</v>
      </c>
      <c r="G50">
        <v>1</v>
      </c>
      <c r="N50" t="str">
        <f t="shared" si="0"/>
        <v>{szContent="{$me}这是什么乱七八糟的水沏的，白白浪费了上好的",szTarget="%",bSearch=true,[14]={},tCountdown={{nClass=14,nIcon=2179,nFrame=6,szName="沏茶错误",nTime=2,key="茶馆·泡茶",},},},</v>
      </c>
      <c r="O50" t="s">
        <v>4875</v>
      </c>
    </row>
    <row r="51" spans="1:16" x14ac:dyDescent="0.15">
      <c r="D51" t="s">
        <v>4792</v>
      </c>
      <c r="N51" t="str">
        <f t="shared" si="0"/>
        <v>{szContent="未找到前来帮助的侠士，少侠可重新发布援助。",[14]={},tCountdown={{nClass=14,nIcon=17135,nFrame=4,szName="",nTime="10,援助·未找到;232,援助·CD",nRefresh=0,key="援助",},},},</v>
      </c>
      <c r="O51" t="s">
        <v>4793</v>
      </c>
    </row>
    <row r="52" spans="1:16" x14ac:dyDescent="0.15">
      <c r="D52" t="s">
        <v>4794</v>
      </c>
      <c r="N52" t="str">
        <f t="shared" si="0"/>
        <v>{szContent="正在为你寻找玩家，一分钟内对方将与你自动组队，请保持可组队状态。",[14]={},tCountdown={{nClass=14,nIcon=17135,nFrame=6,szName="援助·保持可组队状态",nTime=60,key="援助",},},},</v>
      </c>
      <c r="O52" t="s">
        <v>4795</v>
      </c>
    </row>
    <row r="53" spans="1:16" x14ac:dyDescent="0.15">
      <c r="D53" t="s">
        <v>4796</v>
      </c>
      <c r="F53" t="s">
        <v>2529</v>
      </c>
      <c r="N53" t="str">
        <f t="shared" si="0"/>
        <v>{szContent="分流活动已开启，大侠可以前往龙门荒漠接取阵营攻防前置任务",col={255,100,100,},[14]={},tCountdown={{nClass=14,nIcon=3536,nFrame=3,szName="龙门·攻防前置分流",nTime=30,nRefresh=3600,key="攻防前置分流",},},},</v>
      </c>
      <c r="O53" t="s">
        <v>4797</v>
      </c>
    </row>
    <row r="54" spans="1:16" x14ac:dyDescent="0.15">
      <c r="D54" t="s">
        <v>4798</v>
      </c>
      <c r="F54" t="s">
        <v>2524</v>
      </c>
      <c r="N54" t="str">
        <f t="shared" si="0"/>
        <v>{szContent="分流活动已开启，大侠可以前往巴陵县接取阵营攻防前置任务",col={100,100,255,},[14]={},tCountdown={{nClass=14,nIcon=3536,nFrame=7,szName="巴陵·攻防前置分流",nTime=30,nRefresh=3600,key="攻防前置分流",},},},</v>
      </c>
      <c r="O54" t="s">
        <v>4799</v>
      </c>
    </row>
    <row r="55" spans="1:16" x14ac:dyDescent="0.15">
      <c r="A55" t="s">
        <v>2327</v>
      </c>
      <c r="B55">
        <v>-1</v>
      </c>
      <c r="N55" t="str">
        <f t="shared" si="0"/>
        <v>},[-1]={</v>
      </c>
    </row>
    <row r="56" spans="1:16" x14ac:dyDescent="0.15">
      <c r="D56" t="s">
        <v>4876</v>
      </c>
      <c r="E56" t="s">
        <v>4877</v>
      </c>
      <c r="L56">
        <v>1</v>
      </c>
      <c r="N56" t="str">
        <f t="shared" si="0"/>
        <v>{szContent="团队宝藏点出现！只存在一刻钟，速去寻找！",szNote="团点出现",[14]={bCenterAlarm=true,},tCountdown={{nClass=14,nIcon=13,nFrame=6,szName="团点剩余时间",nTime=900,key="挖宝·团点",},},},</v>
      </c>
      <c r="O56" t="s">
        <v>4878</v>
      </c>
    </row>
    <row r="57" spans="1:16" x14ac:dyDescent="0.15">
      <c r="D57" t="s">
        <v>4879</v>
      </c>
      <c r="E57" t="s">
        <v>4880</v>
      </c>
      <c r="L57">
        <v>1</v>
      </c>
      <c r="N57" t="str">
        <f t="shared" si="0"/>
        <v>{szContent="你发现了一个藏宝洞！藏宝洞只存在两刻钟，务必速速前往挖掘宝藏！",szNote="发现·藏宝洞",[14]={bCenterAlarm=true,},tCountdown={{nClass=14,nIcon=13,nFrame=7,szName="藏宝洞剩余时间",nTime=1800,key="挖宝·藏宝洞",},},},</v>
      </c>
      <c r="O57" t="s">
        <v>4881</v>
      </c>
    </row>
    <row r="58" spans="1:16" x14ac:dyDescent="0.15">
      <c r="D58" t="s">
        <v>4882</v>
      </c>
      <c r="N58" t="str">
        <f t="shared" si="0"/>
        <v>{szContent="分配者正发起收入分配，不在相同场景者无法投票，倒计时结束后默认反对",[14]={},tCountdown={{nClass=14,nIcon=5959,nFrame=3,szName="收入发放倒计时",nTime=30,key="发起收入分配",},},},</v>
      </c>
      <c r="O58" t="s">
        <v>4883</v>
      </c>
    </row>
    <row r="59" spans="1:16" x14ac:dyDescent="0.15">
      <c r="D59" t="s">
        <v>4884</v>
      </c>
      <c r="N59" t="str">
        <f t="shared" si="0"/>
        <v>{szContent="你接到封演的飞鸽传书，邀你前往晟江黄槲镇西北面一会。",[14]={},tCountdown={{nClass=14,nIcon=17135,nFrame=7,bHold=true,szName="前往·晟江·黄槲镇·封演",nTime=60,key="奇遇提示1",},{nClass=14,nIcon=17135,nFrame=7,bHold=true,szName="前往·晟江·茶馆·纪小橙",nTime=60,key="奇遇提示2",},},},</v>
      </c>
      <c r="O59" t="s">
        <v>4885</v>
      </c>
      <c r="P59" t="s">
        <v>4886</v>
      </c>
    </row>
    <row r="60" spans="1:16" x14ac:dyDescent="0.15">
      <c r="A60" t="s">
        <v>645</v>
      </c>
      <c r="B60">
        <v>1</v>
      </c>
      <c r="N60" t="str">
        <f t="shared" si="0"/>
        <v>},[1]={</v>
      </c>
    </row>
    <row r="61" spans="1:16" x14ac:dyDescent="0.15">
      <c r="C61" t="s">
        <v>4887</v>
      </c>
      <c r="D61" t="s">
        <v>4888</v>
      </c>
      <c r="N61" t="str">
        <f t="shared" si="0"/>
        <v>{szContent="一起去哪玩？",szTarget="雪雪",[14]={},tCountdown={{nClass=14,nIcon=293,nFrame=5,szName="可以去溪水里看荷花",nTime=20,nRefresh=15,key="雪雪·旅行介绍1",},{nClass=14,nIcon=293,nFrame=5,szName="可以顺着桥走去看瀑布",nTime=20,nRefresh=15,key="雪雪·旅行介绍2",},},},</v>
      </c>
      <c r="O61" t="s">
        <v>4889</v>
      </c>
      <c r="P61" t="s">
        <v>4890</v>
      </c>
    </row>
    <row r="62" spans="1:16" x14ac:dyDescent="0.15">
      <c r="C62" t="s">
        <v>4891</v>
      </c>
      <c r="D62" t="s">
        <v>4892</v>
      </c>
      <c r="E62" t="s">
        <v>497</v>
      </c>
      <c r="N62" t="str">
        <f t="shared" si="0"/>
        <v>{szContent="大兄弟你说，我这意见靠不靠谱？",szTarget="凝血草阿二",szNote="白日梦",[14]={},tCountdown={{nClass=14,nIcon=17135,nFrame=6,bHold=true,szName="再次对话·凝血草阿二",nTime=300,key="奇遇提示2",},{nClass=14,nIcon=17135,nFrame=6,bHold=true,szName="对话完成·对话·凝血草阿三",nTime=300,key="奇遇提示3",},},},</v>
      </c>
      <c r="O62" t="s">
        <v>4893</v>
      </c>
      <c r="P62" t="s">
        <v>4894</v>
      </c>
    </row>
    <row r="63" spans="1:16" x14ac:dyDescent="0.15">
      <c r="C63" t="s">
        <v>4895</v>
      </c>
      <c r="D63" t="s">
        <v>4896</v>
      </c>
      <c r="E63" t="s">
        <v>497</v>
      </c>
      <c r="N63" t="str">
        <f t="shared" si="0"/>
        <v>{szContent="也不知道那金色的丹药是什么，能让我尝尝不。",szTarget="凝血草阿大",szNote="白日梦",[14]={},tCountdown={{nClass=14,nIcon=17135,nFrame=6,bHold=true,szName="再次对话·凝血草阿大",nTime=300,key="奇遇提示2",},{nClass=14,nIcon=17135,nFrame=6,bHold=true,szName="对话完成·对话·凝血草阿二",nTime=300,key="奇遇提示3",},},},</v>
      </c>
      <c r="O63" t="s">
        <v>4897</v>
      </c>
      <c r="P63" t="s">
        <v>4898</v>
      </c>
    </row>
    <row r="64" spans="1:16" x14ac:dyDescent="0.15">
      <c r="D64" t="s">
        <v>4899</v>
      </c>
      <c r="E64" t="s">
        <v>497</v>
      </c>
      <c r="N64" t="str">
        <f t="shared" si="0"/>
        <v>{szContent="还未到达指定地点！",szNote="白日梦",[14]={},tCountdown={{nClass=14,nIcon=17135,nFrame=7,bHold=true,szName="\"野\"字左边·使用·游梦仙枕",nTime=300,key="奇遇提示3",},},},</v>
      </c>
      <c r="O64" t="s">
        <v>4900</v>
      </c>
    </row>
    <row r="65" spans="1:21" x14ac:dyDescent="0.15">
      <c r="A65" t="s">
        <v>232</v>
      </c>
      <c r="B65">
        <v>2</v>
      </c>
      <c r="N65" t="str">
        <f t="shared" si="0"/>
        <v>},[2]={</v>
      </c>
    </row>
    <row r="66" spans="1:21" x14ac:dyDescent="0.15">
      <c r="C66" t="s">
        <v>4887</v>
      </c>
      <c r="D66" t="s">
        <v>4888</v>
      </c>
      <c r="N66" t="str">
        <f t="shared" ref="N66:N129" si="1">IF(ISBLANK(B66)=FALSE,IF(ISBLANK(B65),"},["&amp;B66&amp;"]={","["&amp;B66&amp;"]={"),IF(AND(ISBLANK(B66),ISBLANK(D66),ISBLANK(G66),ISBLANK(H66),OR(ISBLANK(B65)=FALSE,ISBLANK(D65)=FALSE,ISBLANK(G65)=FALSE,ISBLANK(H65)=FALSE)),"},},}",IF(ISBLANK(D66),"","{szContent="""&amp;D66&amp;""","&amp;IF(C66&lt;&gt;"","szTarget="""&amp;C66&amp;""",","")&amp;IF(E66&lt;&gt;"","szNote="""&amp;E66&amp;""",","")&amp;IF(F66&lt;&gt;"","col={"&amp;F66&amp;"},","")&amp;IF(G66&gt;0,"bSearch=true,","")&amp;IF(H66&gt;0,"bReg=true,","")&amp;"[14]={"&amp;IF(I66&gt;0,"szVoice="""&amp;I66&amp;""",","")&amp;IF(J66&gt;0,"bTeamChannel=true,","")&amp;IF(K66&gt;0,"bWhisperChannel=true,","")&amp;IF(L66&gt;0,"bCenterAlarm=true,","")&amp;IF(M66&gt;0,"bScreenHead=true,","")&amp;"},"&amp;IF(O66&lt;&gt;"","tCountdown={"&amp;_xlfn.TEXTJOIN("",TRUE,O66:ZZ66)&amp;"},","")&amp;"},")))</f>
        <v>{szContent="一起去哪玩？",szTarget="雪雪",[14]={},tCountdown={{nClass=14,nIcon=293,nFrame=5,szName="晴昼海·赵小凯·附近·触发命途",nTime=20,nRefresh=15,key="雪雪·旅行介绍1",},{nClass=14,nIcon=293,nFrame=5,szName="落星湖小屋找·宇晴",nTime=20,nRefresh=15,key="雪雪·旅行介绍2",},},},</v>
      </c>
      <c r="O66" t="s">
        <v>4901</v>
      </c>
      <c r="P66" t="s">
        <v>4902</v>
      </c>
    </row>
    <row r="67" spans="1:21" x14ac:dyDescent="0.15">
      <c r="C67" t="s">
        <v>4903</v>
      </c>
      <c r="D67" t="s">
        <v>4904</v>
      </c>
      <c r="N67" t="str">
        <f t="shared" si="1"/>
        <v>{szContent="万花众弟子听命：青岩开谷，放开禁制，接引百姓入谷！",szTarget="东方宇轩",[14]={},tCountdown={{nClass=14,nIcon=17135,nFrame=3,szName="门派事件1·开谷济苍生·星落湖",nTime=20,key="门派事件1",},},},</v>
      </c>
      <c r="O67" t="s">
        <v>4905</v>
      </c>
    </row>
    <row r="68" spans="1:21" x14ac:dyDescent="0.15">
      <c r="C68" t="s">
        <v>4903</v>
      </c>
      <c r="D68" t="s">
        <v>4906</v>
      </c>
      <c r="N68" t="str">
        <f t="shared" si="1"/>
        <v>{szContent="万花弟子听令！立刻设防落星湖！不可使毒人侵扰就医百姓！",szTarget="东方宇轩",[14]={},tCountdown={{nClass=14,nIcon=17135,nFrame=3,szName="门派事件2·恶徒乱晴昼·晴昼海",nTime=20,key="门派事件2",},},},</v>
      </c>
      <c r="O68" t="s">
        <v>4907</v>
      </c>
    </row>
    <row r="69" spans="1:21" x14ac:dyDescent="0.15">
      <c r="C69" t="s">
        <v>4903</v>
      </c>
      <c r="D69" t="s">
        <v>4908</v>
      </c>
      <c r="N69" t="str">
        <f t="shared" si="1"/>
        <v>{szContent="速速通知孙先生和宇晴前往查看，万不可使毒雾外泄！",szTarget="东方宇轩",[14]={},tCountdown={{nClass=14,nIcon=17135,nFrame=3,szName="门派事件3·奇草化毒雾·晴昼海",nTime=20,key="门派事件3",},{nClass=14,nIcon=17135,nFrame=3,szName="拾取曦芜花放置在毒圈上",nTime=20.1,key="门派事件3·提示",},},},</v>
      </c>
      <c r="O69" t="s">
        <v>4909</v>
      </c>
      <c r="P69" t="s">
        <v>4910</v>
      </c>
    </row>
    <row r="70" spans="1:21" x14ac:dyDescent="0.15">
      <c r="C70" t="s">
        <v>4911</v>
      </c>
      <c r="D70" t="s">
        <v>4912</v>
      </c>
      <c r="N70" t="str">
        <f t="shared" si="1"/>
        <v>{szContent="烦请各位侠士将大家带来的花草移植到花海深处。",szTarget="宇晴",[14]={},tCountdown={{nClass=14,nIcon=17135,nFrame=3,szName="门派事件1·献花复晴昼·星落湖",nTime=20,key="门派事件1",},},},</v>
      </c>
      <c r="O70" t="s">
        <v>4913</v>
      </c>
    </row>
    <row r="71" spans="1:21" x14ac:dyDescent="0.15">
      <c r="D71" t="s">
        <v>4914</v>
      </c>
      <c r="N71" t="str">
        <f t="shared" si="1"/>
        <v>{szContent="栽种花苗的位置已经标记，可打开中地图随时查看",[14]={},tCountdown={{nClass=14,nIcon=17135,nFrame=3,szName="看小地图绿点·放置花苗",nTime=30,nRefresh=20,key="门派事件1",},},},</v>
      </c>
      <c r="O71" t="s">
        <v>4915</v>
      </c>
    </row>
    <row r="72" spans="1:21" x14ac:dyDescent="0.15">
      <c r="C72" t="s">
        <v>4903</v>
      </c>
      <c r="D72" t="s">
        <v>4916</v>
      </c>
      <c r="N72" t="str">
        <f t="shared" si="1"/>
        <v>{szContent="万花众弟子小心戒备！不可使其入山！",szTarget="东方宇轩",[14]={},tCountdown={{nClass=14,nIcon=17135,nFrame=3,szName="门派事件2·花海阻狼牙·晴昼海西南",nTime=20,key="门派事件2",},},},</v>
      </c>
      <c r="O72" t="s">
        <v>4917</v>
      </c>
    </row>
    <row r="73" spans="1:21" x14ac:dyDescent="0.15">
      <c r="C73" t="s">
        <v>4918</v>
      </c>
      <c r="D73" t="s">
        <v>4919</v>
      </c>
      <c r="N73" t="str">
        <f t="shared" si="1"/>
        <v>{szContent="传某将令！死士进击！",szTarget="令狐潮",[14]={},tCountdown={{nClass=14,nIcon=17135,nFrame=3,szName="门派事件2·晴昼海西南·令狐潮",nTime=20,nRefresh=360,key="门派事件2",},},},</v>
      </c>
      <c r="O73" t="s">
        <v>4920</v>
      </c>
    </row>
    <row r="74" spans="1:21" x14ac:dyDescent="0.15">
      <c r="C74" t="s">
        <v>4921</v>
      </c>
      <c r="D74" t="s">
        <v>4922</v>
      </c>
      <c r="N74" t="str">
        <f t="shared" si="1"/>
        <v>{szContent="谷主将在山门针对此次开谷进行训诫，谷内弟子速速前来。",szTarget="万花弟子",[14]={},tCountdown={{nClass=14,nIcon=17135,nFrame=3,szName="门派事件2·花海阻狼牙·结束",nTime=5,nRefresh=360,key="门派事件2",},},},</v>
      </c>
      <c r="O74" t="s">
        <v>4923</v>
      </c>
    </row>
    <row r="75" spans="1:21" x14ac:dyDescent="0.15">
      <c r="C75" t="s">
        <v>4924</v>
      </c>
      <c r="D75" t="s">
        <v>4925</v>
      </c>
      <c r="N75" t="str">
        <f t="shared" si="1"/>
        <v>{szContent="好画！好画！",szTarget="赵小凯",[14]={},tCountdown={{nClass=14,nIcon=17135,nFrame=0,szName="奇遇提示0",nTime="5,恭喜触发孩童书;15,奇遇不封印·约15分钟完成;30,1.对话赵小凯·三星望月找陈一;180,2.往长安方向寻找·散落的书页;240,3.返回对话陈一·楼外找徐书;150,4.采摘·止血草并使用;270,4.返回对话陈一·楼下找吴岱;360,5.吴岱身后山崖树边触发脚印剧情;420,6.落星湖对话葛晚星·花海东偷书小兽;480,7.返回找葛晚星·返回找陈一;600,8.仙迹岩寻找·颜真卿;720,9.等待剧情后·返回找陈一;780,10.对话颜真卿·返回对话陈一;840,11.下楼对话徐书;900,12.再次对话陈一·结束",nRefresh=0,key="奇遇提示0",},{nClass=14,nIcon=17135,nFrame=7,szName="",nTime="180,1.对话赵小凯·三星望月找陈一;360,4.返回对话陈一·楼下找吴岱",nRefresh=0,key="奇遇提示1",},{nClass=14,nIcon=17135,nFrame=7,szName="",nTime="180,2.往长安方向寻找·散落的书页;360,5.吴岱身后山崖树边触发脚印剧情",nRefresh=0,key="奇遇提示2",},{nClass=14,nIcon=17135,nFrame=7,szName="",nTime="180,3.返回对话陈一·楼外找徐书;360,6.落星湖葛晚星·花海东偷书小兽",nRefresh=0,key="奇遇提示3",},},},</v>
      </c>
      <c r="O75" t="s">
        <v>4926</v>
      </c>
      <c r="P75" t="s">
        <v>4927</v>
      </c>
      <c r="Q75" t="s">
        <v>4928</v>
      </c>
      <c r="R75" t="s">
        <v>4929</v>
      </c>
    </row>
    <row r="76" spans="1:21" x14ac:dyDescent="0.15">
      <c r="C76" t="s">
        <v>4930</v>
      </c>
      <c r="D76" t="s">
        <v>4931</v>
      </c>
      <c r="N76" t="str">
        <f t="shared" si="1"/>
        <v>{szContent="不仅是你们小师弟，尔等也须谨记。",szTarget="颜真卿",[14]={},tCountdown={{nClass=14,nIcon=17135,nFrame=0,szName="奇遇提示0",nTime="60,10.对话颜真卿·返回对话陈一;120,11.下楼对话徐书;180,12.再次对话陈一·结束",nRefresh=0,key="奇遇提示0",},{nClass=14,nIcon=17135,nFrame=7,szName="奇遇提示1",nTime=0,key="奇遇提示1",},{nClass=14,nIcon=17135,nFrame=7,szName="奇遇提示2",nTime=0,key="奇遇提示2",},{nClass=14,nIcon=17135,nFrame=7,szName="奇遇提示3",nTime=0,key="奇遇提示3",},{nClass=14,nIcon=17135,nFrame=7,szName="10.对话颜真卿·返回对话陈一",nTime=300,key="奇遇提示1",},{nClass=14,nIcon=17135,nFrame=7,szName="11.下楼对话徐书",nTime=300,key="奇遇提示2",},{nClass=14,nIcon=17135,nFrame=7,szName="12.再次对话陈一·结束",nTime=300,key="奇遇提示3",},},},</v>
      </c>
      <c r="O76" t="s">
        <v>4932</v>
      </c>
      <c r="P76" t="s">
        <v>4786</v>
      </c>
      <c r="Q76" t="s">
        <v>4787</v>
      </c>
      <c r="R76" t="s">
        <v>4788</v>
      </c>
      <c r="S76" t="s">
        <v>4933</v>
      </c>
      <c r="T76" t="s">
        <v>4934</v>
      </c>
      <c r="U76" t="s">
        <v>4935</v>
      </c>
    </row>
    <row r="77" spans="1:21" x14ac:dyDescent="0.15">
      <c r="A77" t="s">
        <v>665</v>
      </c>
      <c r="B77">
        <v>5</v>
      </c>
      <c r="N77" t="str">
        <f t="shared" si="1"/>
        <v>},[5]={</v>
      </c>
    </row>
    <row r="78" spans="1:21" x14ac:dyDescent="0.15">
      <c r="C78" t="s">
        <v>4936</v>
      </c>
      <c r="D78" t="s">
        <v>4937</v>
      </c>
      <c r="N78" t="str">
        <f t="shared" si="1"/>
        <v>{szContent="正合我意！",szTarget="仲虚念",[14]={},tCountdown={{nClass=14,nIcon=17135,nFrame=3,szName="门派事件1·禅斗较量·仲虚念",nTime=20,key="门派事件1",},},},</v>
      </c>
      <c r="O78" t="s">
        <v>4938</v>
      </c>
    </row>
    <row r="79" spans="1:21" x14ac:dyDescent="0.15">
      <c r="C79" t="s">
        <v>4936</v>
      </c>
      <c r="D79" t="s">
        <v>4939</v>
      </c>
      <c r="N79" t="str">
        <f t="shared" si="1"/>
        <v>{szContent="你烦不烦啊！",szTarget="仲虚念",[14]={},tCountdown={{nClass=14,nIcon=17135,nFrame=3,szName="门派事件1·禅斗较量·结束",nTime=5,key="门派事件1",},},},</v>
      </c>
      <c r="O79" t="s">
        <v>4940</v>
      </c>
    </row>
    <row r="80" spans="1:21" x14ac:dyDescent="0.15">
      <c r="C80" t="s">
        <v>4936</v>
      </c>
      <c r="D80" t="s">
        <v>4941</v>
      </c>
      <c r="N80" t="str">
        <f t="shared" si="1"/>
        <v>{szContent="大言不惭！",szTarget="仲虚念",[14]={},tCountdown={{nClass=14,nIcon=17135,nFrame=3,szName="门派事件2·武斗较量·仲虚念",nTime=20,key="门派事件2",},},},</v>
      </c>
      <c r="O80" t="s">
        <v>4942</v>
      </c>
    </row>
    <row r="81" spans="1:18" x14ac:dyDescent="0.15">
      <c r="C81" t="s">
        <v>4943</v>
      </c>
      <c r="D81" t="s">
        <v>4944</v>
      </c>
      <c r="N81" t="str">
        <f t="shared" si="1"/>
        <v>{szContent="大师，小心了！",szTarget="慧武",[14]={},tCountdown={{nClass=14,nIcon=17135,nFrame=3,szName="门派事件2·武斗较量·结束",nTime=5,key="门派事件2",},},},</v>
      </c>
      <c r="O81" t="s">
        <v>4945</v>
      </c>
    </row>
    <row r="82" spans="1:18" x14ac:dyDescent="0.15">
      <c r="C82" t="s">
        <v>4946</v>
      </c>
      <c r="D82" t="s">
        <v>4947</v>
      </c>
      <c r="N82" t="str">
        <f t="shared" si="1"/>
        <v>{szContent="好个金刚伏魔阵！可能及我万一！",szTarget="东瀛的自傲",[14]={},tCountdown={{nClass=14,nIcon=17135,nFrame=3,szName="门派事件2·荡除心魔·东瀛的自傲",nTime=20,key="门派事件2",},},},</v>
      </c>
      <c r="O82" t="s">
        <v>4948</v>
      </c>
    </row>
    <row r="83" spans="1:18" x14ac:dyDescent="0.15">
      <c r="C83" t="s">
        <v>4946</v>
      </c>
      <c r="D83" t="s">
        <v>4949</v>
      </c>
      <c r="N83" t="str">
        <f t="shared" si="1"/>
        <v>{szContent="不！",szTarget="东瀛的自傲",[14]={},tCountdown={{nClass=14,nIcon=17135,nFrame=3,szName="门派事件2·东瀛的自傲·结束",nTime=5,key="门派事件2",},},},</v>
      </c>
      <c r="O83" t="s">
        <v>4950</v>
      </c>
    </row>
    <row r="84" spans="1:18" x14ac:dyDescent="0.15">
      <c r="C84" t="s">
        <v>4951</v>
      </c>
      <c r="D84" t="s">
        <v>4952</v>
      </c>
      <c r="N84" t="str">
        <f t="shared" si="1"/>
        <v>{szContent="笑话，心境澄明之人世间又有几个！",szTarget="武士的尊严",[14]={},tCountdown={{nClass=14,nIcon=17135,nFrame=3,szName="门派事件3·荡除心魔·武士的尊严",nTime=20,key="门派事件3",},},},</v>
      </c>
      <c r="O84" t="s">
        <v>4953</v>
      </c>
    </row>
    <row r="85" spans="1:18" x14ac:dyDescent="0.15">
      <c r="C85" t="s">
        <v>4951</v>
      </c>
      <c r="D85" t="s">
        <v>4954</v>
      </c>
      <c r="N85" t="str">
        <f t="shared" si="1"/>
        <v>{szContent="这怎么可能！",szTarget="武士的尊严",[14]={},tCountdown={{nClass=14,nIcon=17135,nFrame=3,szName="门派事件3·武士的尊严·结束",nTime=5,key="门派事件3",},},},</v>
      </c>
      <c r="O85" t="s">
        <v>4955</v>
      </c>
    </row>
    <row r="86" spans="1:18" x14ac:dyDescent="0.15">
      <c r="C86" t="s">
        <v>4956</v>
      </c>
      <c r="D86" t="s">
        <v>4957</v>
      </c>
      <c r="N86" t="str">
        <f t="shared" si="1"/>
        <v>{szContent="一刀流岂是尔等所能企及！",szTarget="一刀流的荣耀",[14]={},tCountdown={{nClass=14,nIcon=17135,nFrame=3,szName="门派事件4·荡除心魔·一刀流的荣耀",nTime=20,key="门派事件4",},},},</v>
      </c>
      <c r="O86" t="s">
        <v>4958</v>
      </c>
    </row>
    <row r="87" spans="1:18" x14ac:dyDescent="0.15">
      <c r="C87" t="s">
        <v>4956</v>
      </c>
      <c r="D87" t="s">
        <v>4959</v>
      </c>
      <c r="N87" t="str">
        <f t="shared" si="1"/>
        <v>{szContent="就这么......结束了么......",szTarget="一刀流的荣耀",[14]={},tCountdown={{nClass=14,nIcon=17135,nFrame=3,szName="门派事件4·一刀流的荣耀·结束",nTime=5,key="门派事件4",},},},</v>
      </c>
      <c r="O87" t="s">
        <v>4960</v>
      </c>
    </row>
    <row r="88" spans="1:18" x14ac:dyDescent="0.15">
      <c r="C88" t="s">
        <v>4961</v>
      </c>
      <c r="D88" t="s">
        <v>4962</v>
      </c>
      <c r="N88" t="str">
        <f t="shared" si="1"/>
        <v>{szContent="论禅论武，我都绝对不会输！",szTarget="禅武的执念",[14]={},tCountdown={{nClass=14,nIcon=17135,nFrame=3,szName="门派事件5·荡除心魔·禅武的执念",nTime=20,key="门派事件5",},},},</v>
      </c>
      <c r="O88" t="s">
        <v>4963</v>
      </c>
    </row>
    <row r="89" spans="1:18" x14ac:dyDescent="0.15">
      <c r="C89" t="s">
        <v>4961</v>
      </c>
      <c r="D89" t="s">
        <v>4964</v>
      </c>
      <c r="N89" t="str">
        <f t="shared" si="1"/>
        <v>{szContent="一念......放下......",szTarget="禅武的执念",[14]={},tCountdown={{nClass=14,nIcon=17135,nFrame=3,szName="门派事件5·禅武的执念·结束",nTime=5,key="门派事件5",},},},</v>
      </c>
      <c r="O89" t="s">
        <v>4965</v>
      </c>
    </row>
    <row r="90" spans="1:18" x14ac:dyDescent="0.15">
      <c r="A90" t="s">
        <v>671</v>
      </c>
      <c r="B90">
        <v>6</v>
      </c>
      <c r="N90" t="str">
        <f t="shared" si="1"/>
        <v>},[6]={</v>
      </c>
    </row>
    <row r="91" spans="1:18" x14ac:dyDescent="0.15">
      <c r="D91" t="s">
        <v>4966</v>
      </c>
      <c r="H91">
        <v>1</v>
      </c>
      <c r="N91" t="str">
        <f t="shared" si="1"/>
        <v>{szContent="本轮得分为(%d-)分",bReg=true,[14]={},tCountdown={{nClass=14,nIcon=17135,nFrame=7,szName="本轮得分·{$1}",nTime=60,nRefresh=11,key="断线的风筝",},},},</v>
      </c>
      <c r="O91" t="s">
        <v>4967</v>
      </c>
    </row>
    <row r="92" spans="1:18" x14ac:dyDescent="0.15">
      <c r="D92" t="s">
        <v>4968</v>
      </c>
      <c r="N92" t="str">
        <f t="shared" si="1"/>
        <v>{szContent="赶紧将听到的消息转述给成步堂吧。",[14]={},tCountdown={{nClass=14,nIcon=17135,nFrame=0,szName="金水镇·成步堂",nTime=20,key="奇遇·攻略1",},},},</v>
      </c>
      <c r="O92" t="s">
        <v>4969</v>
      </c>
    </row>
    <row r="93" spans="1:18" x14ac:dyDescent="0.15">
      <c r="C93" t="s">
        <v>4970</v>
      </c>
      <c r="D93" t="s">
        <v>4971</v>
      </c>
      <c r="N93" t="str">
        <f t="shared" si="1"/>
        <v>{szContent="狮王争霸，能者独尊！陌路英雄八方临，以武会友天下名。十年苦修寒暑意，鱼跃龙门气冲庭！现在，狮王争霸战正式开始！大家准备！",szTarget="陈昊",[14]={},tCountdown={{nClass=14,nIcon=22,nFrame=4,szName="狮王争霸战·开启",nTime=15,key="狮王争霸战",},},},</v>
      </c>
      <c r="O93" t="s">
        <v>4972</v>
      </c>
    </row>
    <row r="94" spans="1:18" x14ac:dyDescent="0.15">
      <c r="C94" t="s">
        <v>4970</v>
      </c>
      <c r="D94" t="s">
        <v>4973</v>
      </c>
      <c r="N94" t="str">
        <f t="shared" si="1"/>
        <v>{szContent="本次狮王争霸战已结束。各位勇士大可勤加苦练，下次卷土重来。",szTarget="陈昊",[14]={},tCountdown={{nClass=14,nIcon=22,nFrame=4,szName="狮王争霸战·结束",nTime=5,key="狮王争霸战",},},},</v>
      </c>
      <c r="O94" t="s">
        <v>4974</v>
      </c>
    </row>
    <row r="95" spans="1:18" x14ac:dyDescent="0.15">
      <c r="D95" t="s">
        <v>4975</v>
      </c>
      <c r="N95" t="str">
        <f t="shared" si="1"/>
        <v>{szContent="你发现了卿重的玉佩。",[14]={},tCountdown={{nClass=14,nIcon=17135,nFrame=0,bHold=true,szName="奇遇提示0",nTime="30,4.前往·藏剑·虎跑山庄·卿重;60,5.返回·七秀·卢蓉;90,6.返回·藏剑·卿重;100,完成奇遇·烟花戏·秋·瑞瑞",nRefresh=0,key="奇遇提示0",},{nClass=14,nIcon=17135,nFrame=7,bHold=true,szName="前往·藏剑·虎跑山庄·卿重",nTime=300,key="奇遇提示1",},{nClass=14,nIcon=17135,nFrame=7,bHold=true,szName="返回·七秀·卢蓉",nTime=300,key="奇遇提示2",},{nClass=14,nIcon=17135,nFrame=7,bHold=true,szName="返回·藏剑·卿重",nTime=300,key="奇遇提示3",},},},</v>
      </c>
      <c r="O95" t="s">
        <v>4976</v>
      </c>
      <c r="P95" t="s">
        <v>4977</v>
      </c>
      <c r="Q95" t="s">
        <v>4978</v>
      </c>
      <c r="R95" t="s">
        <v>4979</v>
      </c>
    </row>
    <row r="96" spans="1:18" x14ac:dyDescent="0.15">
      <c r="C96" t="s">
        <v>4980</v>
      </c>
      <c r="D96" t="s">
        <v>4981</v>
      </c>
      <c r="E96" t="s">
        <v>497</v>
      </c>
      <c r="N96" t="str">
        <f t="shared" si="1"/>
        <v>{szContent="小浮云你刚才找我了吗？",szTarget="赤兔",szNote="白日梦",[14]={},tCountdown={{nClass=14,nIcon=17135,nFrame=6,bHold=true,szName="再次对话·赤兔",nTime=300,key="奇遇提示2",},{nClass=14,nIcon=17135,nFrame=6,bHold=true,szName="对话完成·回到家园·裴草",nTime=300,key="奇遇提示3",},},},</v>
      </c>
      <c r="O96" t="s">
        <v>4982</v>
      </c>
      <c r="P96" t="s">
        <v>4983</v>
      </c>
    </row>
    <row r="97" spans="1:15" x14ac:dyDescent="0.15">
      <c r="D97" t="s">
        <v>4899</v>
      </c>
      <c r="E97" t="s">
        <v>497</v>
      </c>
      <c r="N97" t="str">
        <f t="shared" si="1"/>
        <v>{szContent="还未到达指定地点！",szNote="白日梦",[14]={},tCountdown={{nClass=14,nIcon=17135,nFrame=7,bHold=true,szName="马商附近·使用·游梦仙枕",nTime=300,key="奇遇提示3",},},},</v>
      </c>
      <c r="O97" t="s">
        <v>4984</v>
      </c>
    </row>
    <row r="98" spans="1:15" x14ac:dyDescent="0.15">
      <c r="A98" t="s">
        <v>675</v>
      </c>
      <c r="B98">
        <v>7</v>
      </c>
      <c r="N98" t="str">
        <f t="shared" si="1"/>
        <v>},[7]={</v>
      </c>
    </row>
    <row r="99" spans="1:15" x14ac:dyDescent="0.15">
      <c r="C99" t="s">
        <v>4985</v>
      </c>
      <c r="D99" t="s">
        <v>4986</v>
      </c>
      <c r="N99" t="str">
        <f t="shared" si="1"/>
        <v>{szContent="多谢诸位侠士，我和二位师弟先行回大殿议事。",szTarget="李忘生",[14]={},tCountdown={{nClass=14,nIcon=17135,nFrame=3,szName="门派事件·西昇大典·结束",nTime=10,key="门派事件1",},},},</v>
      </c>
      <c r="O99" t="s">
        <v>4987</v>
      </c>
    </row>
    <row r="100" spans="1:15" x14ac:dyDescent="0.15">
      <c r="C100" t="s">
        <v>4988</v>
      </c>
      <c r="D100" t="s">
        <v>4989</v>
      </c>
      <c r="N100" t="str">
        <f t="shared" si="1"/>
        <v>{szContent="各位侠士请帮我们灭掉星宿据点！",szTarget="于睿",[14]={},tCountdown={{nClass=14,nIcon=17135,nFrame=3,szName="门派事件·地图标记·攻击BOSS",nTime=10,key="门派事件1",},},},</v>
      </c>
      <c r="O100" t="s">
        <v>4990</v>
      </c>
    </row>
    <row r="101" spans="1:15" x14ac:dyDescent="0.15">
      <c r="C101" t="s">
        <v>4991</v>
      </c>
      <c r="D101" t="s">
        <v>4992</v>
      </c>
      <c r="N101" t="str">
        <f t="shared" si="1"/>
        <v>{szContent="区区星野剑阵，不过浪得虚名，如何能与我星宿派武侯移星术相比？",szTarget="千秋子",[14]={},tCountdown={{nClass=14,nIcon=17135,nFrame=3,szName="门派事件2·千秋子·刷新",nTime=10,key="门派事件2",},},},</v>
      </c>
      <c r="O101" t="s">
        <v>4993</v>
      </c>
    </row>
    <row r="102" spans="1:15" x14ac:dyDescent="0.15">
      <c r="C102" t="s">
        <v>4991</v>
      </c>
      <c r="D102" t="s">
        <v>4994</v>
      </c>
      <c r="N102" t="str">
        <f t="shared" si="1"/>
        <v>{szContent="我修习上古毒经与武侯移星术，今已大成，你们尽管一起上吧！哈哈哈哈！",szTarget="千秋子",[14]={},tCountdown={{nClass=14,nIcon=17135,nFrame=3,szName="门派事件2·千秋子·已刷新",nTime=10,key="门派事件2",},},},</v>
      </c>
      <c r="O102" t="s">
        <v>4995</v>
      </c>
    </row>
    <row r="103" spans="1:15" x14ac:dyDescent="0.15">
      <c r="C103" t="s">
        <v>4996</v>
      </c>
      <c r="D103" t="s">
        <v>4997</v>
      </c>
      <c r="N103" t="str">
        <f t="shared" si="1"/>
        <v>{szContent="此等恶人不除不快，诸位侠士，还请助我纯阳守护剑阵，灭了此人威风！",szTarget="卓凤鸣",[14]={},tCountdown={{nClass=14,nIcon=17135,nFrame=3,szName="门派事件·地图标记·攻击BOSS",nTime=20,key="门派事件1",},},},</v>
      </c>
      <c r="O103" t="s">
        <v>4998</v>
      </c>
    </row>
    <row r="104" spans="1:15" x14ac:dyDescent="0.15">
      <c r="C104" t="s">
        <v>4985</v>
      </c>
      <c r="D104" t="s">
        <v>4999</v>
      </c>
      <c r="N104" t="str">
        <f t="shared" si="1"/>
        <v>{szContent="多谢各位侠士仗义出手。",szTarget="李忘生",[14]={},tCountdown={{nClass=14,nIcon=17135,nFrame=3,szName="门派事件·星野剑阵·结束",nTime=10,key="门派事件1",},},},</v>
      </c>
      <c r="O104" t="s">
        <v>5000</v>
      </c>
    </row>
    <row r="105" spans="1:15" x14ac:dyDescent="0.15">
      <c r="C105" t="s">
        <v>4985</v>
      </c>
      <c r="D105" t="s">
        <v>5001</v>
      </c>
      <c r="N105" t="str">
        <f t="shared" si="1"/>
        <v>{szContent="各位侠士需以自身精气养之，才可触发天玑剑气。",szTarget="李忘生",[14]={},tCountdown={{nClass=14,nIcon=17135,nFrame=3,szName="门派事件1·星野剑阵·天玑剑",nTime=10,nRefresh=300,key="门派事件1",},},},</v>
      </c>
      <c r="O105" t="s">
        <v>5002</v>
      </c>
    </row>
    <row r="106" spans="1:15" x14ac:dyDescent="0.15">
      <c r="C106" t="s">
        <v>4985</v>
      </c>
      <c r="D106" t="s">
        <v>5003</v>
      </c>
      <c r="N106" t="str">
        <f t="shared" si="1"/>
        <v>{szContent="有劳各位侠士将吾身后剑匣中剑置于玉衡剑阵眼旁，让玉衡剑吸收其中罡气。",szTarget="李忘生",[14]={},tCountdown={{nClass=14,nIcon=17135,nFrame=3,szName="门派事件1·星野剑阵·玉衡剑",nTime=10,nRefresh=300,key="门派事件1",},},},</v>
      </c>
      <c r="O106" t="s">
        <v>5004</v>
      </c>
    </row>
    <row r="107" spans="1:15" x14ac:dyDescent="0.15">
      <c r="C107" t="s">
        <v>4985</v>
      </c>
      <c r="D107" t="s">
        <v>5005</v>
      </c>
      <c r="N107" t="str">
        <f t="shared" si="1"/>
        <v>{szContent="还请诸位侠士相助，取三清符，然后到至高处汲取天地元气，并贴于摇光剑身，以激活摇光剑气。",szTarget="李忘生",[14]={},tCountdown={{nClass=14,nIcon=17135,nFrame=3,szName="门派事件1·星野剑阵·摇光剑",nTime=10,nRefresh=300,key="门派事件1",},},},</v>
      </c>
      <c r="O107" t="s">
        <v>5006</v>
      </c>
    </row>
    <row r="108" spans="1:15" x14ac:dyDescent="0.15">
      <c r="C108" t="s">
        <v>5007</v>
      </c>
      <c r="D108" t="s">
        <v>5008</v>
      </c>
      <c r="N108" t="str">
        <f t="shared" si="1"/>
        <v>{szContent="多谢各位侠士！下一批物资将会在稍后运送！",szTarget="祁进",[14]={},tCountdown={{nClass=14,nIcon=17135,nFrame=3,szName="门派事件·山门卫道·结束",nTime=5,key="门派事件1",},},},</v>
      </c>
      <c r="O108" t="s">
        <v>5009</v>
      </c>
    </row>
    <row r="109" spans="1:15" x14ac:dyDescent="0.15">
      <c r="C109" t="s">
        <v>5007</v>
      </c>
      <c r="D109" t="s">
        <v>5010</v>
      </c>
      <c r="N109" t="str">
        <f t="shared" si="1"/>
        <v>{szContent="我纯阳宫运送西昇祭的物资车在往太极广场的路上，麻烦各位侠士前往护送！",szTarget="祁进",[14]={},tCountdown={{nClass=14,nIcon=17135,nFrame=3,szName="门派事件·山门卫道·太极广场",nTime=10,key="门派事件1",},},},</v>
      </c>
      <c r="O109" t="s">
        <v>5011</v>
      </c>
    </row>
    <row r="110" spans="1:15" x14ac:dyDescent="0.15">
      <c r="C110" t="s">
        <v>5007</v>
      </c>
      <c r="D110" t="s">
        <v>5012</v>
      </c>
      <c r="N110" t="str">
        <f t="shared" si="1"/>
        <v>{szContent="我纯阳宫运送西昇祭的物资车应该在往老君宫的路上，麻烦各位侠士前往护送！",szTarget="祁进",[14]={},tCountdown={{nClass=14,nIcon=17135,nFrame=3,szName="门派事件·山门卫道·老君宫",nTime=10,key="门派事件1",},},},</v>
      </c>
      <c r="O110" t="s">
        <v>5013</v>
      </c>
    </row>
    <row r="111" spans="1:15" x14ac:dyDescent="0.15">
      <c r="C111" t="s">
        <v>5007</v>
      </c>
      <c r="D111" t="s">
        <v>5014</v>
      </c>
      <c r="N111" t="str">
        <f t="shared" si="1"/>
        <v>{szContent="我纯阳宫运送西昇祭的物资车应该在往纯阳宫正门的路上，麻烦各位侠士前往护送！",szTarget="祁进",[14]={},tCountdown={{nClass=14,nIcon=17135,nFrame=3,szName="门派事件·山门卫道·纯阳宫正门",nTime=10,key="门派事件1",},},},</v>
      </c>
      <c r="O111" t="s">
        <v>5015</v>
      </c>
    </row>
    <row r="112" spans="1:15" x14ac:dyDescent="0.15">
      <c r="C112" t="s">
        <v>5016</v>
      </c>
      <c r="D112" t="s">
        <v>5017</v>
      </c>
      <c r="N112" t="str">
        <f t="shared" si="1"/>
        <v>{szContent="不好！马车受了惊吓，劳烦各位侠士帮我们拾取掉落在地上的物资！",szTarget="纯阳弟子",[14]={},tCountdown={{nClass=14,nIcon=17135,nFrame=3,szName="门派事件·山门卫道·拾取物资",nTime=2,nRefresh=120,key="门派事件1",},},},</v>
      </c>
      <c r="O112" t="s">
        <v>5018</v>
      </c>
    </row>
    <row r="113" spans="1:22" x14ac:dyDescent="0.15">
      <c r="C113" t="s">
        <v>4887</v>
      </c>
      <c r="D113" t="s">
        <v>5019</v>
      </c>
      <c r="N113" t="str">
        <f t="shared" si="1"/>
        <v>{szContent="我们去旁边那个亭子看看嘛。",szTarget="雪雪",[14]={},tCountdown={{nClass=14,nIcon=293,nFrame=5,szName="太极广场东南·亭子·触发命途",nTime=20,nRefresh=15,key="雪雪·旅行介绍3",},},},</v>
      </c>
      <c r="O113" t="s">
        <v>5020</v>
      </c>
    </row>
    <row r="114" spans="1:22" x14ac:dyDescent="0.15">
      <c r="C114" t="s">
        <v>4887</v>
      </c>
      <c r="D114" t="s">
        <v>4888</v>
      </c>
      <c r="J114">
        <v>1</v>
      </c>
      <c r="N114" t="str">
        <f t="shared" si="1"/>
        <v>{szContent="一起去哪玩？",szTarget="雪雪",[14]={bTeamChannel=true,},tCountdown={{nClass=14,nIcon=293,nFrame=5,szName="太极广场·于睿",nTime=20,nRefresh=15,key="雪雪·旅行介绍1",},{nClass=14,nIcon=293,nFrame=5,szName="太极广场东南·亭子·触发命途",nTime=20,nRefresh=15,key="雪雪·旅行介绍2",},},},</v>
      </c>
      <c r="O114" t="s">
        <v>5021</v>
      </c>
      <c r="P114" t="s">
        <v>5022</v>
      </c>
    </row>
    <row r="115" spans="1:22" x14ac:dyDescent="0.15">
      <c r="D115" t="s">
        <v>5023</v>
      </c>
      <c r="N115" t="str">
        <f t="shared" si="1"/>
        <v>{szContent="纯阳弟子步虚尘好像有话对你说。",[14]={},tCountdown={{nClass=14,nIcon=17135,nFrame=0,bHold=true,szName="奇遇提示0",nTime="5,恭喜触发·白雪忆·丰丰;15,奇遇不封印·全程5-10分钟;60,1.对话步虚尘·往纯阳宫方向;120,2.对话苏卿若·返回步虚尘;180,3.前往巴陵·巴陵镇·说书人;210,4.油菜花田·季妍华·取灵芝;300,5.往苍山洱海方向山上·颜谷芝;360,6.对话叶颢轩·返回季妍华;420,7.返回纯阳·对话步虚尘·结束",nRefresh=0,key="奇遇提示0",},{nClass=14,nIcon=17135,nFrame=7,szName="1.对话步虚尘·往纯阳宫方向",nTime=600,key="奇遇提示1",},{nClass=14,nIcon=17135,nFrame=7,szName="2.对话苏卿若·返回步虚尘",nTime=600,key="奇遇提示2",},{nClass=14,nIcon=17135,nFrame=7,szName="3.前往巴陵·巴陵镇·说书人",nTime=600,key="奇遇提示3",},{nClass=14,nIcon=17135,nFrame=7,bHold=true,szName="4.油菜花田·季妍华·取灵芝",nTime=600,key="奇遇提示4",},{nClass=14,nIcon=17135,nFrame=7,bHold=true,szName="5.往苍山洱海方向山上·颜谷芝",nTime=600,key="奇遇提示5",},{nClass=14,nIcon=17135,nFrame=7,bHold=true,szName="6.对话叶颢轩·返回季妍华",nTime=600,key="奇遇提示6",},{nClass=14,nIcon=17135,nFrame=7,bHold=true,szName="7.返回纯阳·对话步虚尘·结束",nTime=600,key="奇遇提示7",},},},</v>
      </c>
      <c r="O115" t="s">
        <v>5024</v>
      </c>
      <c r="P115" t="s">
        <v>5025</v>
      </c>
      <c r="Q115" t="s">
        <v>5026</v>
      </c>
      <c r="R115" t="s">
        <v>5027</v>
      </c>
      <c r="S115" t="s">
        <v>5028</v>
      </c>
      <c r="T115" t="s">
        <v>5029</v>
      </c>
      <c r="U115" t="s">
        <v>5030</v>
      </c>
      <c r="V115" t="s">
        <v>5031</v>
      </c>
    </row>
    <row r="116" spans="1:22" x14ac:dyDescent="0.15">
      <c r="C116" t="s">
        <v>5032</v>
      </c>
      <c r="D116" t="s">
        <v>5033</v>
      </c>
      <c r="N116" t="str">
        <f t="shared" si="1"/>
        <v>{szContent="十年离乱后，长大一相逢……",szTarget="步虚尘",[14]={},},</v>
      </c>
    </row>
    <row r="117" spans="1:22" x14ac:dyDescent="0.15">
      <c r="D117" t="s">
        <v>5034</v>
      </c>
      <c r="N117" t="str">
        <f t="shared" si="1"/>
        <v>{szContent="宠物已成功添加。",[14]={},tCountdown={{nClass=14,nIcon=17135,nFrame=0,szName="奇遇提示0",nTime=0,key="奇遇提示0",},{nClass=14,nIcon=17135,nFrame=7,szName="奇遇提示1",nTime=0,key="奇遇提示1",},{nClass=14,nIcon=17135,nFrame=7,szName="奇遇提示2",nTime=0,key="奇遇提示2",},{nClass=14,nIcon=17135,nFrame=7,szName="奇遇提示3",nTime=0,key="奇遇提示3",},{nClass=14,nIcon=17135,nFrame=7,szName="奇遇提示4",nTime=0,key="奇遇提示4",},{nClass=14,nIcon=17135,nFrame=7,szName="奇遇提示5",nTime=0,key="奇遇提示5",},{nClass=14,nIcon=17135,nFrame=7,szName="奇遇提示6",nTime=0,key="奇遇提示6",},{nClass=14,nIcon=17135,nFrame=7,szName="奇遇提示7",nTime=0,key="奇遇提示7",},},},</v>
      </c>
      <c r="O117" t="s">
        <v>5035</v>
      </c>
      <c r="P117" t="s">
        <v>4786</v>
      </c>
      <c r="Q117" t="s">
        <v>4787</v>
      </c>
      <c r="R117" t="s">
        <v>4788</v>
      </c>
      <c r="S117" t="s">
        <v>5036</v>
      </c>
      <c r="T117" t="s">
        <v>5037</v>
      </c>
      <c r="U117" t="s">
        <v>5038</v>
      </c>
      <c r="V117" t="s">
        <v>5039</v>
      </c>
    </row>
    <row r="118" spans="1:22" x14ac:dyDescent="0.15">
      <c r="A118" t="s">
        <v>684</v>
      </c>
      <c r="B118">
        <v>9</v>
      </c>
      <c r="N118" t="str">
        <f t="shared" si="1"/>
        <v>},[9]={</v>
      </c>
    </row>
    <row r="119" spans="1:22" x14ac:dyDescent="0.15">
      <c r="C119" t="s">
        <v>5040</v>
      </c>
      <c r="D119" t="s">
        <v>5041</v>
      </c>
      <c r="N119" t="str">
        <f t="shared" si="1"/>
        <v>{szContent="汝为男儿否？……不错，你便是圣教总教派遣来的吧！",szTarget="红师农",[14]={},tCountdown={{nClass=14,nIcon=17135,nFrame=0,szName="奇遇提示0",nTime="5,恭喜触发·尘网中·崽崽;15,奇遇不封印·约10分钟完成;30,1.对话·红师农;60,2.交互·两只猪仔;90,3.对话·红师农;120,4.再交互两只猪仔·对话红师农;180,5.枯木林·寻找·小猪崽·崽崽;210,6.使用小猪崽·寻找喂水点;270,7.对话红师农·返回崽崽;330,8.前往南屏山·天子峰桥下;390,9.拾取半本秘诀·返回洛道;450,10.对话红师农·使用崽崽;480,完成奇遇·尘网中·崽崽",nRefresh=0,key="奇遇提示0",},{nClass=14,nIcon=17135,nFrame=7,szName="对话·红师农·交互·猪仔",nTime=600,key="奇遇提示1",},{nClass=14,nIcon=17135,nFrame=7,szName="寻找·枯木林·猪仔·崽崽",nTime=600,key="奇遇提示2",},{nClass=14,nIcon=17135,nFrame=7,szName="使用·小猪崽·寻找·喂水",nTime=600,key="奇遇提示3",},},},</v>
      </c>
      <c r="O119" t="s">
        <v>5042</v>
      </c>
      <c r="P119" t="s">
        <v>5043</v>
      </c>
      <c r="Q119" t="s">
        <v>5044</v>
      </c>
      <c r="R119" t="s">
        <v>5045</v>
      </c>
    </row>
    <row r="120" spans="1:22" x14ac:dyDescent="0.15">
      <c r="D120" t="s">
        <v>5046</v>
      </c>
      <c r="N120" t="str">
        <f t="shared" si="1"/>
        <v>{szContent="此处还算安全，不如回去猪场问问红师农。",[14]={},tCountdown={{nClass=14,nIcon=17135,nFrame=0,bHold=true,szName="奇遇提示0",nTime="60,7.对话红师农·返回崽崽;120,8.前往南屏山·天子峰桥下;180,9.拾取半本秘诀·返回洛道;210,10.对话红师农·使用崽崽;240,完成奇遇·尘网中·崽崽",nRefresh=0,key="奇遇提示0",},{nClass=14,nIcon=17135,nFrame=7,szName="对话·红师农·返回·崽崽",nTime=600,key="奇遇提示1",},{nClass=14,nIcon=17135,nFrame=7,bHold=true,szName="前往·南屏山·天子峰·桥下",nTime=600,key="奇遇提示2",},{nClass=14,nIcon=17135,nFrame=7,bHold=true,szName="拾取·半本秘诀·返回·洛道",nTime=600,key="奇遇提示3",},{nClass=14,nIcon=17135,nFrame=7,bHold=true,szName="对话·红师农·使用·崽崽",nTime=600,key="奇遇提示4",},},},</v>
      </c>
      <c r="O120" t="s">
        <v>5047</v>
      </c>
      <c r="P120" t="s">
        <v>5048</v>
      </c>
      <c r="Q120" t="s">
        <v>5049</v>
      </c>
      <c r="R120" t="s">
        <v>5050</v>
      </c>
      <c r="S120" t="s">
        <v>5051</v>
      </c>
    </row>
    <row r="121" spans="1:22" x14ac:dyDescent="0.15">
      <c r="D121" t="s">
        <v>5052</v>
      </c>
      <c r="N121" t="str">
        <f t="shared" si="1"/>
        <v>{szContent="崽崽还在你的背包里，问问它愿不愿意和你走吧。",[14]={},tCountdown={{nClass=14,nIcon=17135,nFrame=0,szName="奇遇提示0",nTime=0,key="奇遇提示0",},{nClass=14,nIcon=17135,nFrame=7,szName="使用·崽崽·完成奇遇",nTime=20,key="奇遇提示1",},{nClass=14,nIcon=17135,nFrame=7,szName="奇遇提示2",nTime=0,key="奇遇提示2",},{nClass=14,nIcon=17135,nFrame=7,szName="奇遇提示3",nTime=0,key="奇遇提示3",},{nClass=14,nIcon=17135,nFrame=7,bHold=true,szName="奇遇提示4",nTime=0,key="奇遇提示4",},},},</v>
      </c>
      <c r="O121" t="s">
        <v>5035</v>
      </c>
      <c r="P121" t="s">
        <v>5053</v>
      </c>
      <c r="Q121" t="s">
        <v>4787</v>
      </c>
      <c r="R121" t="s">
        <v>4788</v>
      </c>
      <c r="S121" t="s">
        <v>5054</v>
      </c>
    </row>
    <row r="122" spans="1:22" x14ac:dyDescent="0.15">
      <c r="C122" t="s">
        <v>5055</v>
      </c>
      <c r="D122" t="s">
        <v>5056</v>
      </c>
      <c r="N122" t="str">
        <f t="shared" si="1"/>
        <v>{szContent="哈哈，出窑了！你烧了个不错的陶罐子。",szTarget="老不知",[14]={},tCountdown={{nClass=14,nIcon=17135,nFrame=0,szName="奇遇提示0",nTime="5,恭喜触发·红衣歌·红绸;15,奇遇不封印·约15分钟完成;30,1.对话·老不知;90,2.前往·天罚林·莫清尘;120,3.对话·莫清尘·寻找·水井;150,4.水井在东北方·泥娃娃树下;160,5.使用·一只小陶罐;180,6.返回·莫清尘·对话·墨漓;240,7.前往·洛道上游瀑布·打水;300,8.返回·墨漓·对话·莫清尘;360,9.寻找·小泥娃娃·东北方向;390,10.对话·小貂儿;450,11.赎罪林·桥下·墨漓;480,12.返回·莫清尘·返回·墨漓;540,13.返回·莫清尘·返回·老不知;600,14.返回·莫清尘·结束",nRefresh=0,key="奇遇提示0",},{nClass=14,nIcon=17135,nFrame=7,szName="对话·老不知·天罚林·莫清尘",nTime=600,key="奇遇提示1",},{nClass=14,nIcon=17135,nFrame=7,szName="对话·莫清尘·寻找·水井",nTime=600,key="奇遇提示2",},{nClass=14,nIcon=17135,nFrame=7,szName="对话·莫清尘·寻找·净水",nTime=600,key="奇遇提示3",},},},</v>
      </c>
      <c r="O122" t="s">
        <v>5057</v>
      </c>
      <c r="P122" t="s">
        <v>5058</v>
      </c>
      <c r="Q122" t="s">
        <v>5059</v>
      </c>
      <c r="R122" t="s">
        <v>5060</v>
      </c>
    </row>
    <row r="123" spans="1:22" x14ac:dyDescent="0.15">
      <c r="C123" t="s">
        <v>5061</v>
      </c>
      <c r="D123" t="s">
        <v>5062</v>
      </c>
      <c r="N123" t="str">
        <f t="shared" si="1"/>
        <v>{szContent="水……水……",szTarget="莫清尘",[14]={},tCountdown={{nClass=14,nIcon=17135,nFrame=0,szName="奇遇提示0",nTime="30,3.对话·莫清尘·寻找·水井;90,4.水井在东北方·泥娃娃树下;120,5.使用·一只小陶罐;150,6.返回·莫清尘·对话·墨漓;240,7.前往·洛道上游瀑布·打水;300,8.返回·墨漓·对话·莫清尘;360,9.寻找·小泥娃娃·东北方向;390,10.对话·小貂儿;450,11.赎罪林·桥下·墨漓;480,12.返回·莫清尘·返回·墨漓;540,13.返回·莫清尘·返回·老不知;600,14.返回·莫清尘·结束",nRefresh=0,key="奇遇提示0",},{nClass=14,nIcon=17135,nFrame=7,szName="水井在东北方·泥娃娃树下",nTime=600,key="奇遇提示1",},{nClass=14,nIcon=17135,nFrame=7,szName="使用·一只小陶罐",nTime=600,key="奇遇提示2",},{nClass=14,nIcon=17135,nFrame=7,szName="返回·莫清尘·对话·墨漓",nTime=600,key="奇遇提示3",},},},</v>
      </c>
      <c r="O123" t="s">
        <v>5063</v>
      </c>
      <c r="P123" t="s">
        <v>5064</v>
      </c>
      <c r="Q123" t="s">
        <v>5065</v>
      </c>
      <c r="R123" t="s">
        <v>5066</v>
      </c>
    </row>
    <row r="124" spans="1:22" x14ac:dyDescent="0.15">
      <c r="C124" t="s">
        <v>5067</v>
      </c>
      <c r="D124" t="s">
        <v>5068</v>
      </c>
      <c r="N124" t="str">
        <f t="shared" si="1"/>
        <v>{szContent="这症状……你，你竟然给清尘喝了井水！！",szTarget="墨漓",[14]={},tCountdown={{nClass=14,nIcon=17135,nFrame=0,szName="奇遇提示0",nTime="5,恭喜触发·胜负局·蟹胜;15,奇遇封印3日·每日约5分钟完成;30,1.对话·航小婷;90,2.前往·隐贤居·封博安;120,3.对话·封博安;150,4.交互·棋盘;180,5.对话·云定风;210,6.对话·封博安;220,第一日·结束",nRefresh=0,key="奇遇提示0",},{nClass=14,nIcon=17135,nFrame=7,szName="前往·洛道上游瀑布·打水",nTime=600,key="奇遇提示1",},{nClass=14,nIcon=17135,nFrame=7,szName="返回·墨漓·对话·莫清尘",nTime=600,key="奇遇提示2",},{nClass=14,nIcon=17135,nFrame=7,szName="寻找·小泥娃娃·东北方向",nTime=600,key="奇遇提示3",},},},</v>
      </c>
      <c r="O124" t="s">
        <v>5069</v>
      </c>
      <c r="P124" t="s">
        <v>5070</v>
      </c>
      <c r="Q124" t="s">
        <v>5071</v>
      </c>
      <c r="R124" t="s">
        <v>5072</v>
      </c>
    </row>
    <row r="125" spans="1:22" x14ac:dyDescent="0.15">
      <c r="C125" t="s">
        <v>5067</v>
      </c>
      <c r="D125" t="s">
        <v>5073</v>
      </c>
      <c r="N125" t="str">
        <f t="shared" si="1"/>
        <v>{szContent="{$me}，清尘就拜托你了！我寻解药去去就回！",szTarget="墨漓",[14]={},tCountdown={{nClass=14,nIcon=17135,nFrame=0,szName="奇遇提示0",nTime="60,9.寻找·小泥娃娃·东北方向;90,10.对话·小貂儿;180,11.赎罪林·桥下·墨漓;240,12.返回·莫清尘·返回·墨漓;300,13.返回·莫清尘·返回·老不知;330,14.返回·莫清尘·结束",nRefresh=0,key="奇遇提示0",},{nClass=14,nIcon=17135,nFrame=7,szName="对话·莫清尘·寻找·小泥娃娃",nTime=600,key="奇遇提示1",},{nClass=14,nIcon=17135,nFrame=7,szName="对话·莫清尘·对话·小貂儿",nTime=600,key="奇遇提示2",},{nClass=14,nIcon=17135,nFrame=7,szName="赎罪林桥下·墨漓·返回莫清尘",nTime=600,key="奇遇提示3",},{nClass=14,nIcon=17135,nFrame=7,szName="返回·墨漓·返回·莫清尘",nTime=600,key="奇遇提示4",},{nClass=14,nIcon=17135,nFrame=7,szName="返回·老不知·返回·莫清尘",nTime=600,key="奇遇提示5",},},},</v>
      </c>
      <c r="O125" t="s">
        <v>5074</v>
      </c>
      <c r="P125" t="s">
        <v>5075</v>
      </c>
      <c r="Q125" t="s">
        <v>5076</v>
      </c>
      <c r="R125" t="s">
        <v>5077</v>
      </c>
      <c r="S125" t="s">
        <v>5078</v>
      </c>
      <c r="T125" t="s">
        <v>5079</v>
      </c>
    </row>
    <row r="126" spans="1:22" x14ac:dyDescent="0.15">
      <c r="C126" t="s">
        <v>5061</v>
      </c>
      <c r="D126" t="s">
        <v>5080</v>
      </c>
      <c r="N126" t="str">
        <f t="shared" si="1"/>
        <v>{szContent="嗯，我长大了也要打坏人。",szTarget="莫清尘",[14]={},tCountdown={{nClass=14,nIcon=17135,nFrame=0,szName="完成奇遇·红衣歌·红绸",nTime=10,key="奇遇提示0",},{nClass=14,nIcon=17135,nFrame=7,szName="奇遇提示1",nTime=0,key="奇遇提示1",},{nClass=14,nIcon=17135,nFrame=7,szName="奇遇提示2",nTime=0,key="奇遇提示2",},{nClass=14,nIcon=17135,nFrame=7,szName="奇遇提示3",nTime=0,key="奇遇提示3",},{nClass=14,nIcon=17135,nFrame=7,szName="奇遇提示4",nTime=0,key="奇遇提示4",},{nClass=14,nIcon=17135,nFrame=7,szName="奇遇提示5",nTime=0,key="奇遇提示5",},},},</v>
      </c>
      <c r="O126" t="s">
        <v>5081</v>
      </c>
      <c r="P126" t="s">
        <v>4786</v>
      </c>
      <c r="Q126" t="s">
        <v>4787</v>
      </c>
      <c r="R126" t="s">
        <v>4788</v>
      </c>
      <c r="S126" t="s">
        <v>5036</v>
      </c>
      <c r="T126" t="s">
        <v>5037</v>
      </c>
    </row>
    <row r="127" spans="1:22" x14ac:dyDescent="0.15">
      <c r="A127" t="s">
        <v>687</v>
      </c>
      <c r="B127">
        <v>10</v>
      </c>
      <c r="N127" t="str">
        <f t="shared" si="1"/>
        <v>},[10]={</v>
      </c>
    </row>
    <row r="128" spans="1:22" x14ac:dyDescent="0.15">
      <c r="C128" t="s">
        <v>5082</v>
      </c>
      <c r="D128" t="s">
        <v>5083</v>
      </c>
      <c r="N128" t="str">
        <f t="shared" si="1"/>
        <v>{szContent="多谢少侠！",szTarget="猫猫",[14]={},tCountdown={{nClass=14,nIcon=17135,nFrame=0,szName="奇遇提示0",nTime="5,恭喜触发·破晓鸣·黄袍大统领;15,奇遇不封印·约10分钟完成;30,1.对话·猫猫;90,2.前往·车夫附近·韩惜辰;120,3.东边·椰子树下·诱捕的工具;150,4.交互·笼子·公鸡;210,5.前往·东侧·菊池岛;240,6.对话·一个晕倒的人;270,7.返回·韩惜辰·返回菊池岛;300,8.对话·顾释;310,完成奇遇·破晓鸣·黄袍大统领",nRefresh=0,key="奇遇提示0",},{nClass=14,nIcon=17135,nFrame=7,szName="对话·猫猫·车夫附近·韩惜辰",nTime=600,key="奇遇提示1",},{nClass=14,nIcon=17135,nFrame=7,szName="东边·椰子树下·诱捕的工具",nTime=600,key="奇遇提示2",},{nClass=14,nIcon=17135,nFrame=7,szName="交互·笼子·前往·东侧菊池岛",nTime=600,key="奇遇提示3",},},},</v>
      </c>
      <c r="O128" t="s">
        <v>5084</v>
      </c>
      <c r="P128" t="s">
        <v>5085</v>
      </c>
      <c r="Q128" t="s">
        <v>5086</v>
      </c>
      <c r="R128" t="s">
        <v>5087</v>
      </c>
    </row>
    <row r="129" spans="1:18" x14ac:dyDescent="0.15">
      <c r="D129" t="s">
        <v>5088</v>
      </c>
      <c r="N129" t="str">
        <f t="shared" si="1"/>
        <v>{szContent="不远处好像有个人",[14]={},tCountdown={{nClass=14,nIcon=17135,nFrame=0,szName="奇遇提示0",nTime="30,6.对话·一个晕倒的人;60,7.返回·韩惜辰·返回菊池岛;120,8.对话·顾释;130,完成奇遇·破晓鸣·黄袍大统领",nRefresh=0,key="奇遇提示0",},{nClass=14,nIcon=17135,nFrame=7,szName="对话·一个晕倒的人",nTime=600,key="奇遇提示1",},{nClass=14,nIcon=17135,nFrame=7,szName="返回·韩惜辰·返回菊池岛",nTime=600,key="奇遇提示2",},{nClass=14,nIcon=17135,nFrame=7,szName="对话·顾释·结束",nTime=600,key="奇遇提示3",},},},</v>
      </c>
      <c r="O129" t="s">
        <v>5089</v>
      </c>
      <c r="P129" t="s">
        <v>5090</v>
      </c>
      <c r="Q129" t="s">
        <v>5091</v>
      </c>
      <c r="R129" t="s">
        <v>5092</v>
      </c>
    </row>
    <row r="130" spans="1:18" x14ac:dyDescent="0.15">
      <c r="A130" t="s">
        <v>697</v>
      </c>
      <c r="B130">
        <v>13</v>
      </c>
      <c r="N130" t="str">
        <f t="shared" ref="N130:N193" si="2">IF(ISBLANK(B130)=FALSE,IF(ISBLANK(B129),"},["&amp;B130&amp;"]={","["&amp;B130&amp;"]={"),IF(AND(ISBLANK(B130),ISBLANK(D130),ISBLANK(G130),ISBLANK(H130),OR(ISBLANK(B129)=FALSE,ISBLANK(D129)=FALSE,ISBLANK(G129)=FALSE,ISBLANK(H129)=FALSE)),"},},}",IF(ISBLANK(D130),"","{szContent="""&amp;D130&amp;""","&amp;IF(C130&lt;&gt;"","szTarget="""&amp;C130&amp;""",","")&amp;IF(E130&lt;&gt;"","szNote="""&amp;E130&amp;""",","")&amp;IF(F130&lt;&gt;"","col={"&amp;F130&amp;"},","")&amp;IF(G130&gt;0,"bSearch=true,","")&amp;IF(H130&gt;0,"bReg=true,","")&amp;"[14]={"&amp;IF(I130&gt;0,"szVoice="""&amp;I130&amp;""",","")&amp;IF(J130&gt;0,"bTeamChannel=true,","")&amp;IF(K130&gt;0,"bWhisperChannel=true,","")&amp;IF(L130&gt;0,"bCenterAlarm=true,","")&amp;IF(M130&gt;0,"bScreenHead=true,","")&amp;"},"&amp;IF(O130&lt;&gt;"","tCountdown={"&amp;_xlfn.TEXTJOIN("",TRUE,O130:ZZ130)&amp;"},","")&amp;"},")))</f>
        <v>},[13]={</v>
      </c>
    </row>
    <row r="131" spans="1:18" x14ac:dyDescent="0.15">
      <c r="C131" t="s">
        <v>4887</v>
      </c>
      <c r="D131" t="s">
        <v>4888</v>
      </c>
      <c r="N131" t="str">
        <f t="shared" si="2"/>
        <v>{szContent="一起去哪玩？",szTarget="雪雪",[14]={},tCountdown={{nClass=14,nIcon=293,nFrame=5,szName="可以去广场戏台找熊爷",nTime=20,nRefresh=15,key="雪雪·旅行介绍1",},{nClass=14,nIcon=293,nFrame=5,szName="可以去渡口刘理阳附近看湖",nTime=20,nRefresh=15,key="雪雪·旅行介绍2",},},},</v>
      </c>
      <c r="O131" t="s">
        <v>5093</v>
      </c>
      <c r="P131" t="s">
        <v>5094</v>
      </c>
    </row>
    <row r="132" spans="1:18" x14ac:dyDescent="0.15">
      <c r="D132" t="s">
        <v>5095</v>
      </c>
      <c r="N132" t="str">
        <f t="shared" si="2"/>
        <v>{szContent="去往巴陵县的驿站寻找唐小珂的机关小猪。",[14]={},tCountdown={{nClass=14,nIcon=17135,nFrame=6,szName="神行·巴陵县·巴陵镇",nTime=20,key="江湖侠客·任务1",},{nClass=14,nIcon=17135,nFrame=6,szName="小花猪·[接头]",nTime=20,key="江湖侠客·任务2",},},},</v>
      </c>
      <c r="O132" t="s">
        <v>5096</v>
      </c>
      <c r="P132" t="s">
        <v>5097</v>
      </c>
    </row>
    <row r="133" spans="1:18" x14ac:dyDescent="0.15">
      <c r="C133" t="s">
        <v>5098</v>
      </c>
      <c r="D133" t="s">
        <v>5099</v>
      </c>
      <c r="E133" t="s">
        <v>5100</v>
      </c>
      <c r="L133">
        <v>1</v>
      </c>
      <c r="N133" t="str">
        <f t="shared" si="2"/>
        <v>{szContent="女侠我确实需要一个帮手，还请女侠凑近些说话。",szTarget="刘理阳",szNote="宠物奇遇·归安志·志",[14]={bCenterAlarm=true,},},</v>
      </c>
    </row>
    <row r="134" spans="1:18" x14ac:dyDescent="0.15">
      <c r="A134" t="s">
        <v>233</v>
      </c>
      <c r="B134">
        <v>16</v>
      </c>
      <c r="N134" t="str">
        <f t="shared" si="2"/>
        <v>},[16]={</v>
      </c>
    </row>
    <row r="135" spans="1:18" x14ac:dyDescent="0.15">
      <c r="D135" t="s">
        <v>5101</v>
      </c>
      <c r="N135" t="str">
        <f t="shared" si="2"/>
        <v>{szContent="【七秀·红袖飞花】事件已经结束，由于你没有贡献，没有获得奖励。",[14]={},tCountdown={{nClass=14,nIcon=17135,nFrame=5,szName="门派事件1·红袖飞花·结束",nTime=5,key="门派事件1",},},},</v>
      </c>
      <c r="O135" t="s">
        <v>5102</v>
      </c>
    </row>
    <row r="136" spans="1:18" x14ac:dyDescent="0.15">
      <c r="D136" t="s">
        <v>5103</v>
      </c>
      <c r="N136" t="str">
        <f t="shared" si="2"/>
        <v>{szContent="你获得了事件【七秀·红袖飞花】的奖励。",[14]={},tCountdown={{nClass=14,nIcon=17135,nFrame=5,szName="门派事件1·红袖飞花·结束",nTime=5,key="门派事件1",},},},</v>
      </c>
      <c r="O136" t="s">
        <v>5102</v>
      </c>
    </row>
    <row r="137" spans="1:18" x14ac:dyDescent="0.15">
      <c r="C137" t="s">
        <v>5104</v>
      </c>
      <c r="D137" t="s">
        <v>5105</v>
      </c>
      <c r="N137" t="str">
        <f t="shared" si="2"/>
        <v>{szContent="第二场比试开始，绮秀弟子佟雅辰出场。",szTarget="照萤",[14]={},tCountdown={{nClass=14,nIcon=17135,nFrame=3,szName="门派事件2·剑舞凝光·佟雅辰·开启",nTime=10,key="门派事件2",},},},</v>
      </c>
      <c r="O137" t="s">
        <v>5106</v>
      </c>
    </row>
    <row r="138" spans="1:18" x14ac:dyDescent="0.15">
      <c r="C138" t="s">
        <v>5107</v>
      </c>
      <c r="D138" t="s">
        <v>5108</v>
      </c>
      <c r="N138" t="str">
        <f t="shared" si="2"/>
        <v>{szContent="你可算是醒过来了！江湖险恶，一定要诸般小心。七秀坊的姐妹们会好生照应你的。",szTarget="瑾儿",[14]={},tCountdown={{nClass=14,nIcon=17135,nFrame=3,szName="门派事件2·剑舞凝光·佟雅辰·结束",nTime=5,key="门派事件2",},},},</v>
      </c>
      <c r="O138" t="s">
        <v>5109</v>
      </c>
    </row>
    <row r="139" spans="1:18" x14ac:dyDescent="0.15">
      <c r="C139" t="s">
        <v>5104</v>
      </c>
      <c r="D139" t="s">
        <v>5110</v>
      </c>
      <c r="N139" t="str">
        <f t="shared" si="2"/>
        <v>{szContent="第三场比试开始，燕秀弟子慕容晚出场。",szTarget="照萤",[14]={},tCountdown={{nClass=14,nIcon=17135,nFrame=3,szName="门派事件3·剑舞凝光·慕容晚·开启",nTime=10,key="门派事件3",},},},</v>
      </c>
      <c r="O139" t="s">
        <v>5111</v>
      </c>
    </row>
    <row r="140" spans="1:18" x14ac:dyDescent="0.15">
      <c r="C140" t="s">
        <v>5112</v>
      </c>
      <c r="D140" t="s">
        <v>5113</v>
      </c>
      <c r="N140" t="str">
        <f t="shared" si="2"/>
        <v>{szContent="二位以为如何？",szTarget="叶芷青",[14]={},tCountdown={{nClass=14,nIcon=17135,nFrame=3,szName="门派事件3·剑舞凝光·慕容晚·结束",nTime=5,key="门派事件3",},},},</v>
      </c>
      <c r="O140" t="s">
        <v>5114</v>
      </c>
    </row>
    <row r="141" spans="1:18" x14ac:dyDescent="0.15">
      <c r="C141" t="s">
        <v>5104</v>
      </c>
      <c r="D141" t="s">
        <v>5115</v>
      </c>
      <c r="N141" t="str">
        <f t="shared" si="2"/>
        <v>{szContent="第一场比试开始，楚秀弟子夏年出场。",szTarget="照萤",[14]={},tCountdown={{nClass=14,nIcon=17135,nFrame=3,szName="门派事件1·剑舞凝光·夏年·开启",nTime=10,key="门派事件1",},},},</v>
      </c>
      <c r="O141" t="s">
        <v>5116</v>
      </c>
    </row>
    <row r="142" spans="1:18" x14ac:dyDescent="0.15">
      <c r="C142" t="s">
        <v>5117</v>
      </c>
      <c r="D142" t="s">
        <v>5118</v>
      </c>
      <c r="N142" t="str">
        <f t="shared" si="2"/>
        <v>{szContent="！！",szTarget="白璃予",[14]={},tCountdown={{nClass=14,nIcon=17135,nFrame=3,szName="门派事件1·东海来客·白璃予·开启",nTime=10,key="门派事件1",},},},</v>
      </c>
      <c r="O142" t="s">
        <v>5119</v>
      </c>
    </row>
    <row r="143" spans="1:18" x14ac:dyDescent="0.15">
      <c r="C143" t="s">
        <v>5117</v>
      </c>
      <c r="D143" t="s">
        <v>5120</v>
      </c>
      <c r="N143" t="str">
        <f t="shared" si="2"/>
        <v>{szContent="哼，想不到你们还有点儿能耐，那我也就不客气了！",szTarget="白璃予",[14]={},tCountdown={{nClass=14,nIcon=17135,nFrame=3,szName="门派事件1·东海来客·白璃予·结束",nTime=5,key="门派事件1",},},},</v>
      </c>
      <c r="O143" t="s">
        <v>5121</v>
      </c>
    </row>
    <row r="144" spans="1:18" x14ac:dyDescent="0.15">
      <c r="C144" t="s">
        <v>5122</v>
      </c>
      <c r="D144" t="s">
        <v>5123</v>
      </c>
      <c r="N144" t="str">
        <f t="shared" si="2"/>
        <v>{szContent="结阵！",szTarget="佟雅辰",[14]={},tCountdown={{nClass=14,nIcon=17135,nFrame=3,szName="门派事件2·东海来客·结阵·开启",nTime=10,key="门派事件2",},},},</v>
      </c>
      <c r="O144" t="s">
        <v>5124</v>
      </c>
    </row>
    <row r="145" spans="1:21" x14ac:dyDescent="0.15">
      <c r="C145" t="s">
        <v>5117</v>
      </c>
      <c r="D145" t="s">
        <v>5125</v>
      </c>
      <c r="N145" t="str">
        <f t="shared" si="2"/>
        <v>{szContent="呃……",szTarget="白璃予",[14]={},tCountdown={{nClass=14,nIcon=17135,nFrame=3,szName="门派事件2·东海来客·结阵·结束",nTime=5,key="门派事件2",},},},</v>
      </c>
      <c r="O145" t="s">
        <v>5126</v>
      </c>
    </row>
    <row r="146" spans="1:21" x14ac:dyDescent="0.15">
      <c r="D146" t="s">
        <v>5127</v>
      </c>
      <c r="N146" t="str">
        <f t="shared" si="2"/>
        <v>{szContent="七秀弟子卢蓉好像有话对你说。",[14]={},tCountdown={{nClass=14,nIcon=17135,nFrame=0,bHold=true,szName="奇遇提示0",nTime="5,恭喜触发·烟花戏·秋·瑞瑞;15,奇遇不封印·约5分钟完成;30,1.对话·卢蓉;90,2.前往·扬州·城南树林;120,3.亭子附近寻找埋东西的痕迹;150,4.前往·藏剑·虎跑山庄·卿重;180,5.返回·七秀·卢蓉;210,6.返回·藏剑·卿重;220,完成奇遇·烟花戏·秋·瑞瑞",nRefresh=0,key="奇遇提示0",},{nClass=14,nIcon=17135,nFrame=7,bHold=true,szName="对话·卢蓉·扬州·城南树林",nTime=600,key="奇遇提示1",},{nClass=14,nIcon=17135,nFrame=7,bHold=true,szName="亭子·寻找·埋东西的痕迹 ",nTime=600,key="奇遇提示2",},{nClass=14,nIcon=17135,nFrame=7,bHold=true,szName="前往·藏剑·虎跑山庄·卿重",nTime=600,key="奇遇提示3",},},},</v>
      </c>
      <c r="O146" t="s">
        <v>5128</v>
      </c>
      <c r="P146" t="s">
        <v>5129</v>
      </c>
      <c r="Q146" t="s">
        <v>5130</v>
      </c>
      <c r="R146" t="s">
        <v>5131</v>
      </c>
    </row>
    <row r="147" spans="1:21" x14ac:dyDescent="0.15">
      <c r="C147" t="s">
        <v>5132</v>
      </c>
      <c r="D147" t="s">
        <v>5133</v>
      </c>
      <c r="N147" t="str">
        <f t="shared" si="2"/>
        <v>{szContent="好酒！好酒！",szTarget="陶九翁",[14]={},tCountdown={{nClass=14,nIcon=17135,nFrame=0,szName="奇遇提示0",nTime="5,恭喜触发·捉妖记·酒客;15,奇遇不封印·约10分钟完成;30,1.对话·陶九翁;90,2.沿岸寻找·藏着木头鱼的鱼篓;150,3.对话·陶九翁·对话·陶蛋儿;210,4.寻找·风筝·返回·陶蛋儿;270,5.对话·陶小方·青萝山·陶虎子;330,6.西方·岸边·会动的酒坛子;360,7.对话·陶小方·对话·陶九翁;370,完成奇遇·捉妖记·酒客",nRefresh=0,key="奇遇提示0",},{nClass=14,nIcon=17135,nFrame=7,szName="对话·陶九翁·寻找·木头小鱼",nTime=600,key="奇遇提示1",},{nClass=14,nIcon=17135,nFrame=7,szName="沿岸·寻找·藏着木头鱼的鱼篓",nTime=600,key="奇遇提示2",},{nClass=14,nIcon=17135,nFrame=7,szName="对话·陶九翁·对话·陶蛋儿",nTime=600,key="奇遇提示3",},{nClass=14,nIcon=17135,nFrame=7,szName="寻找·风筝·返回·陶蛋儿",nTime=600,key="奇遇提示4",},{nClass=14,nIcon=17135,nFrame=7,szName="对话·陶小方·青萝山·陶虎子",nTime=600,key="奇遇提示5",},{nClass=14,nIcon=17135,nFrame=7,szName="西方·岸边·会动的酒坛子",nTime=600,key="奇遇提示6",},},},</v>
      </c>
      <c r="O147" t="s">
        <v>5134</v>
      </c>
      <c r="P147" t="s">
        <v>5135</v>
      </c>
      <c r="Q147" t="s">
        <v>5136</v>
      </c>
      <c r="R147" t="s">
        <v>5137</v>
      </c>
      <c r="S147" t="s">
        <v>5138</v>
      </c>
      <c r="T147" t="s">
        <v>5139</v>
      </c>
      <c r="U147" t="s">
        <v>5140</v>
      </c>
    </row>
    <row r="148" spans="1:21" x14ac:dyDescent="0.15">
      <c r="D148" t="s">
        <v>5141</v>
      </c>
      <c r="N148" t="str">
        <f t="shared" si="2"/>
        <v>{szContent="这里有一只酒坛子.....在动！会动的酒坛子！",[14]={},tCountdown={{nClass=14,nIcon=17135,nFrame=0,szName="奇遇提示0",nTime="30,交互·会动的酒坛子;60,7.对话·陶小方·对话·陶九翁;70,完成奇遇·捉妖记·酒客",nRefresh=0,key="奇遇提示0",},{nClass=14,nIcon=17135,nFrame=7,szName="交互·会动的酒坛子",nTime=180,key="奇遇提示1",},{nClass=14,nIcon=17135,nFrame=7,szName="对话·陶小方",nTime=180,key="奇遇提示2",},{nClass=14,nIcon=17135,nFrame=7,szName="对话·陶九翁",nTime=180,key="奇遇提示3",},{nClass=14,nIcon=17135,nFrame=7,szName="奇遇提示4",nTime=0,key="奇遇提示4",},{nClass=14,nIcon=17135,nFrame=7,szName="奇遇提示5",nTime=0,key="奇遇提示5",},{nClass=14,nIcon=17135,nFrame=7,szName="奇遇提示6",nTime=0,key="奇遇提示6",},},},</v>
      </c>
      <c r="O148" t="s">
        <v>5142</v>
      </c>
      <c r="P148" t="s">
        <v>5143</v>
      </c>
      <c r="Q148" t="s">
        <v>5144</v>
      </c>
      <c r="R148" t="s">
        <v>5145</v>
      </c>
      <c r="S148" t="s">
        <v>5036</v>
      </c>
      <c r="T148" t="s">
        <v>5037</v>
      </c>
      <c r="U148" t="s">
        <v>5038</v>
      </c>
    </row>
    <row r="149" spans="1:21" x14ac:dyDescent="0.15">
      <c r="A149" t="s">
        <v>711</v>
      </c>
      <c r="B149">
        <v>21</v>
      </c>
      <c r="N149" t="str">
        <f t="shared" si="2"/>
        <v>},[21]={</v>
      </c>
    </row>
    <row r="150" spans="1:21" x14ac:dyDescent="0.15">
      <c r="C150" t="s">
        <v>5146</v>
      </c>
      <c r="D150" t="s">
        <v>5147</v>
      </c>
      <c r="N150" t="str">
        <f t="shared" si="2"/>
        <v>{szContent="诸位侠士，请住手，此间或许有些误会。",szTarget="秦玉川",[14]={},tCountdown={{nClass=20,nIcon=17135,nFrame=0,szName="巴陵·御兽挑战·结束",nTime=5,key="巴陵御兽挑战",},},},</v>
      </c>
      <c r="O150" t="s">
        <v>5148</v>
      </c>
    </row>
    <row r="151" spans="1:21" x14ac:dyDescent="0.15">
      <c r="C151" t="s">
        <v>5146</v>
      </c>
      <c r="D151" t="s">
        <v>5149</v>
      </c>
      <c r="N151" t="str">
        <f t="shared" si="2"/>
        <v>{szContent="还请各位侠士宽限一二，待我查明真相，必会给各位侠士一个交代。些许礼物赠予众侠士，聊表歉意，还望众位笑纳。",szTarget="秦玉川",[14]={},tCountdown={{nClass=20,nIcon=17135,nFrame=0,szName="巴陵·御兽挑战·摸奖励",nTime=5,key="巴陵御兽挑战",},},},</v>
      </c>
      <c r="O151" t="s">
        <v>5150</v>
      </c>
    </row>
    <row r="152" spans="1:21" x14ac:dyDescent="0.15">
      <c r="C152" t="s">
        <v>3919</v>
      </c>
      <c r="D152" t="s">
        <v>5151</v>
      </c>
      <c r="F152" t="s">
        <v>2529</v>
      </c>
      <c r="N152" t="str">
        <f t="shared" si="2"/>
        <v>{szContent="恶人谷老友们可在我这里传送到恶人谷！",szTarget="赵新宇",col={255,100,100,},[14]={},tCountdown={{nClass=14,nIcon=589,nFrame=7,szName="赵新宇·已刷新",nTime=2,nRefresh=600,key="赵新宇",},},},</v>
      </c>
      <c r="O152" t="s">
        <v>5152</v>
      </c>
    </row>
    <row r="153" spans="1:21" x14ac:dyDescent="0.15">
      <c r="C153" t="s">
        <v>3921</v>
      </c>
      <c r="D153" t="s">
        <v>5153</v>
      </c>
      <c r="F153" t="s">
        <v>2524</v>
      </c>
      <c r="N153" t="str">
        <f t="shared" si="2"/>
        <v>{szContent="浩气盟侠士们可在我这里传送到浩气盟！",szTarget="方超",col={100,100,255,},[14]={},tCountdown={{nClass=14,nIcon=308,nFrame=3,szName="方超·已刷新",nTime=2,nRefresh=600,key="方超",},},},</v>
      </c>
      <c r="O153" t="s">
        <v>5154</v>
      </c>
    </row>
    <row r="154" spans="1:21" x14ac:dyDescent="0.15">
      <c r="A154" t="s">
        <v>712</v>
      </c>
      <c r="B154">
        <v>22</v>
      </c>
      <c r="N154" t="str">
        <f t="shared" si="2"/>
        <v>},[22]={</v>
      </c>
    </row>
    <row r="155" spans="1:21" x14ac:dyDescent="0.15">
      <c r="C155" t="s">
        <v>3919</v>
      </c>
      <c r="D155" t="s">
        <v>5151</v>
      </c>
      <c r="F155" t="s">
        <v>2529</v>
      </c>
      <c r="N155" t="str">
        <f t="shared" si="2"/>
        <v>{szContent="恶人谷老友们可在我这里传送到恶人谷！",szTarget="赵新宇",col={255,100,100,},[14]={},tCountdown={{nClass=14,nIcon=589,nFrame=7,szName="赵新宇·已刷新",nTime=2,nRefresh=600,key="赵新宇",},},},</v>
      </c>
      <c r="O155" t="s">
        <v>5152</v>
      </c>
    </row>
    <row r="156" spans="1:21" x14ac:dyDescent="0.15">
      <c r="C156" t="s">
        <v>3921</v>
      </c>
      <c r="D156" t="s">
        <v>5153</v>
      </c>
      <c r="F156" t="s">
        <v>2524</v>
      </c>
      <c r="N156" t="str">
        <f t="shared" si="2"/>
        <v>{szContent="浩气盟侠士们可在我这里传送到浩气盟！",szTarget="方超",col={100,100,255,},[14]={},tCountdown={{nClass=14,nIcon=308,nFrame=3,szName="方超·已刷新",nTime=2,nRefresh=600,key="方超",},},},</v>
      </c>
      <c r="O156" t="s">
        <v>5154</v>
      </c>
    </row>
    <row r="157" spans="1:21" x14ac:dyDescent="0.15">
      <c r="C157" t="s">
        <v>5155</v>
      </c>
      <c r="D157" t="s">
        <v>5156</v>
      </c>
      <c r="F157" t="s">
        <v>2529</v>
      </c>
      <c r="N157" t="str">
        <f t="shared" si="2"/>
        <v>{szContent="护送不利，恶人谷的运输小队被浩气盟截下了！",szTarget="管良沧",col={255,100,100,},[14]={},tCountdown={{nClass=14,nIcon=2398,nFrame=7,szName="浩气·劫车奖励",nTime=60,key="粮草先行·恶人谷",},},},</v>
      </c>
      <c r="O157" t="s">
        <v>5157</v>
      </c>
    </row>
    <row r="158" spans="1:21" x14ac:dyDescent="0.15">
      <c r="C158" t="s">
        <v>5155</v>
      </c>
      <c r="D158" t="s">
        <v>5158</v>
      </c>
      <c r="F158" t="s">
        <v>2529</v>
      </c>
      <c r="N158" t="str">
        <f t="shared" si="2"/>
        <v>{szContent="恶人谷的运输小队成功到达营地！接下来由他们将物资运往更前线，大伙继续加油，收集更多物资！",szTarget="管良沧",col={255,100,100,},[14]={},tCountdown={{nClass=14,nIcon=2398,nFrame=3,szName="恶人·领取护送奖赏",nTime=60,key="粮草先行·恶人谷",},},},</v>
      </c>
      <c r="O158" t="s">
        <v>5159</v>
      </c>
    </row>
    <row r="159" spans="1:21" x14ac:dyDescent="0.15">
      <c r="C159" t="s">
        <v>5155</v>
      </c>
      <c r="D159" t="s">
        <v>5160</v>
      </c>
      <c r="E159" t="s">
        <v>5161</v>
      </c>
      <c r="F159" t="s">
        <v>2529</v>
      </c>
      <c r="L159">
        <v>1</v>
      </c>
      <c r="N159" t="str">
        <f t="shared" si="2"/>
        <v>{szContent="恶人谷的运输小队出现了，大伙快前去接送到我方营地，谷主重重有赏！",szTarget="管良沧",szNote="粮草先行·恶人牛车",col={255,100,100,},[14]={bCenterAlarm=true,},tCountdown={{nClass=14,nIcon=15380,nFrame=3,szName="恶人·护送牛车",nTime=337,key="粮草先行·恶人谷",},},},</v>
      </c>
      <c r="O159" t="s">
        <v>5162</v>
      </c>
    </row>
    <row r="160" spans="1:21" x14ac:dyDescent="0.15">
      <c r="C160" t="s">
        <v>5163</v>
      </c>
      <c r="D160" t="s">
        <v>5164</v>
      </c>
      <c r="F160" t="s">
        <v>2524</v>
      </c>
      <c r="N160" t="str">
        <f t="shared" si="2"/>
        <v>{szContent="护送不利，浩气盟的运输小队被恶人谷截下了！",szTarget="苏才寥",col={100,100,255,},[14]={},tCountdown={{nClass=14,nIcon=2398,nFrame=3,szName="恶人·劫车奖励",nTime=60,key="粮草先行·浩气盟",},},},</v>
      </c>
      <c r="O160" t="s">
        <v>5165</v>
      </c>
    </row>
    <row r="161" spans="1:19" x14ac:dyDescent="0.15">
      <c r="C161" t="s">
        <v>5163</v>
      </c>
      <c r="D161" t="s">
        <v>5166</v>
      </c>
      <c r="F161" t="s">
        <v>2524</v>
      </c>
      <c r="N161" t="str">
        <f t="shared" si="2"/>
        <v>{szContent="浩气盟的运输小队成功到达营地！接下来由他们将物资运往更前线，大伙继续加油，收集更多物资！",szTarget="苏才寥",col={100,100,255,},[14]={},tCountdown={{nClass=14,nIcon=2397,nFrame=7,szName="浩气·领取护送奖赏",nTime=60,key="粮草先行·浩气盟",},},},</v>
      </c>
      <c r="O161" t="s">
        <v>5167</v>
      </c>
    </row>
    <row r="162" spans="1:19" x14ac:dyDescent="0.15">
      <c r="C162" t="s">
        <v>5163</v>
      </c>
      <c r="D162" t="s">
        <v>5168</v>
      </c>
      <c r="E162" t="s">
        <v>5169</v>
      </c>
      <c r="F162" t="s">
        <v>2524</v>
      </c>
      <c r="L162">
        <v>1</v>
      </c>
      <c r="N162" t="str">
        <f t="shared" si="2"/>
        <v>{szContent="浩气盟的运输小队出现了，大伙快前去接送到我方营地，盟主重重有赏！",szTarget="苏才寥",szNote="粮草先行·浩气牛车",col={100,100,255,},[14]={bCenterAlarm=true,},tCountdown={{nClass=14,nIcon=15384,nFrame=7,szName="浩气·护送牛车",nTime=337,key="粮草先行·浩气盟",},},},</v>
      </c>
      <c r="O162" t="s">
        <v>5170</v>
      </c>
    </row>
    <row r="163" spans="1:19" x14ac:dyDescent="0.15">
      <c r="A163" t="s">
        <v>234</v>
      </c>
      <c r="B163">
        <v>23</v>
      </c>
      <c r="N163" t="str">
        <f t="shared" si="2"/>
        <v>},[23]={</v>
      </c>
    </row>
    <row r="164" spans="1:19" x14ac:dyDescent="0.15">
      <c r="C164" t="s">
        <v>5171</v>
      </c>
      <c r="D164" t="s">
        <v>5172</v>
      </c>
      <c r="N164" t="str">
        <f t="shared" si="2"/>
        <v>{szContent="葡萄美酒夜光杯，欲饮琵琶马上催。",szTarget="秋叶青",[14]={},tCountdown={{nClass=14,nIcon=17135,nFrame=7,szName="夜光杯·葡萄酒",nTime=10,key="任务提示0",},},},</v>
      </c>
      <c r="O164" t="s">
        <v>5173</v>
      </c>
    </row>
    <row r="165" spans="1:19" x14ac:dyDescent="0.15">
      <c r="C165" t="s">
        <v>5171</v>
      </c>
      <c r="D165" t="s">
        <v>5174</v>
      </c>
      <c r="N165" t="str">
        <f t="shared" si="2"/>
        <v>{szContent="汾酒自当配玉杯！",szTarget="秋叶青",[14]={},tCountdown={{nClass=14,nIcon=17135,nFrame=7,szName="玉杯·汾酒",nTime=10,key="任务提示0",},},},</v>
      </c>
      <c r="O165" t="s">
        <v>5175</v>
      </c>
    </row>
    <row r="166" spans="1:19" x14ac:dyDescent="0.15">
      <c r="C166" t="s">
        <v>5171</v>
      </c>
      <c r="D166" t="s">
        <v>5176</v>
      </c>
      <c r="N166" t="str">
        <f t="shared" si="2"/>
        <v>{szContent="高粱酒用青铜酒爵乘来是极好的。",szTarget="秋叶青",[14]={},tCountdown={{nClass=14,nIcon=17135,nFrame=7,szName="青铜酒爵·高粱酒",nTime=10,key="任务提示0",},},},</v>
      </c>
      <c r="O166" t="s">
        <v>5177</v>
      </c>
    </row>
    <row r="167" spans="1:19" x14ac:dyDescent="0.15">
      <c r="C167" t="s">
        <v>5171</v>
      </c>
      <c r="D167" t="s">
        <v>5178</v>
      </c>
      <c r="N167" t="str">
        <f t="shared" si="2"/>
        <v>{szContent="高粱酒用青铜酒爵盛来是极好的。",szTarget="秋叶青",[14]={},tCountdown={{nClass=14,nIcon=17135,nFrame=7,szName="青铜酒爵·高粱酒",nTime=10,key="任务提示0",},},},</v>
      </c>
      <c r="O167" t="s">
        <v>5177</v>
      </c>
    </row>
    <row r="168" spans="1:19" x14ac:dyDescent="0.15">
      <c r="C168" t="s">
        <v>5171</v>
      </c>
      <c r="D168" t="s">
        <v>5179</v>
      </c>
      <c r="N168" t="str">
        <f t="shared" si="2"/>
        <v>{szContent="有道是关外白酒犀角杯……",szTarget="秋叶青",[14]={},tCountdown={{nClass=14,nIcon=17135,nFrame=7,szName="犀角杯·关外白酒",nTime=10,key="任务提示0",},},},</v>
      </c>
      <c r="O168" t="s">
        <v>5180</v>
      </c>
    </row>
    <row r="169" spans="1:19" x14ac:dyDescent="0.15">
      <c r="C169" t="s">
        <v>5171</v>
      </c>
      <c r="D169" t="s">
        <v>5181</v>
      </c>
      <c r="N169" t="str">
        <f t="shared" si="2"/>
        <v>{szContent="那厮最喜欢用琉璃杯喝玉露酒！",szTarget="秋叶青",[14]={},tCountdown={{nClass=14,nIcon=17135,nFrame=7,szName="琉璃杯·玉露酒",nTime=10,key="任务提示0",},},},</v>
      </c>
      <c r="O169" t="s">
        <v>5182</v>
      </c>
    </row>
    <row r="170" spans="1:19" x14ac:dyDescent="0.15">
      <c r="C170" t="s">
        <v>5171</v>
      </c>
      <c r="D170" t="s">
        <v>5183</v>
      </c>
      <c r="N170" t="str">
        <f t="shared" si="2"/>
        <v>{szContent="状元红最配古瓷杯！",szTarget="秋叶青",[14]={},tCountdown={{nClass=14,nIcon=17135,nFrame=7,szName="古瓷杯·状元红",nTime=10,key="任务提示0",},},},</v>
      </c>
      <c r="O170" t="s">
        <v>5184</v>
      </c>
    </row>
    <row r="171" spans="1:19" x14ac:dyDescent="0.15">
      <c r="C171" t="s">
        <v>5185</v>
      </c>
      <c r="D171" t="s">
        <v>5186</v>
      </c>
      <c r="N171" t="str">
        <f t="shared" si="2"/>
        <v>{szContent="菲菲……看那边的光，好像又一块金丝玉现世了。",szTarget="田语夕",[14]={},tCountdown={{nClass=14,nIcon=17135,nFrame=0,szName="奇遇提示0",nTime="5,恭喜触发·锋芒展·圆圆;15,奇遇不封印·约15分钟完成;30,1.对话·田语夕·孙菲菲·田语夕;90,2.前往龙门峡谷·深色的沙土堆;120,3.拾取散落的兵刃*3;150,4.返回·田语夕;210,5.交互·四散的弩箭·篝火残骸;240,6.返回田语夕·对话附近伙计;270,7.对话金香玉·返回田语夕;300,8.使用惩戒杖·对话田语夕;420,9.拾取散落的刀兵·一共八个;480,10.对话阿布拉·返回田语夕;540,11.前往魔鬼城·对话田启晔;570,12.北面墙壁下·寻找商队货物;630,13.返回田语夕·等待一段剧情;660,14.前往龙门客栈·龙门行脚商;710,15.交互女儿红·等待一段剧情;720,16.返回田语夕·使用地图;780,17.前往光标位置·在山上边缘处;820,18.使用火药弹·前往商队货物;860,19.对话田语夕·等搬运物资结束;890,20.对话田启晔·往北面走·查瑞;890,20.对话田启晔·往北面走·查瑞;910,21.选中查瑞·24尺·使用大食狐;930,22.获得牢笼钥匙·对话田启晔;930,23.返回龙门客栈·田语夕;950,完成奇遇·锋芒展·圆圆",nRefresh=0,key="奇遇提示0",},{nClass=14,nIcon=17135,nFrame=7,szName="对话·田语夕·孙菲菲·田语夕",nTime=600,key="奇遇提示1",},{nClass=14,nIcon=17135,nFrame=7,szName="交互·龙门峡谷·深色的沙土堆",nTime=600,key="奇遇提示2",},{nClass=14,nIcon=17135,nFrame=7,szName="拾取·散落的兵刃·返回·田语夕",nTime=600,key="奇遇提示3",},{nClass=14,nIcon=17135,nFrame=7,szName="拾取·四散的弩箭·交互·篝火残骸",nTime=600,key="奇遇提示4",},},},</v>
      </c>
      <c r="O171" t="s">
        <v>5187</v>
      </c>
      <c r="P171" t="s">
        <v>5188</v>
      </c>
      <c r="Q171" t="s">
        <v>5189</v>
      </c>
      <c r="R171" t="s">
        <v>5190</v>
      </c>
      <c r="S171" t="s">
        <v>5191</v>
      </c>
    </row>
    <row r="172" spans="1:19" x14ac:dyDescent="0.15">
      <c r="D172" t="s">
        <v>5192</v>
      </c>
      <c r="N172" t="str">
        <f t="shared" si="2"/>
        <v>{szContent="这是沙匪埋伏的痕迹，看来是早有预谋，谨慎起见再去调查一下",[14]={},tCountdown={{nClass=14,nIcon=17135,nFrame=0,szName="奇遇提示0",nTime="30,5.交互·四散的弩箭·篝火残骸;60,6.返回田语夕·对话附近伙计;90,7.对话金香玉·返回田语夕;120,8.使用惩戒杖·对话田语夕;240,9.拾取散落的刀兵·一共八个;300,10.对话阿布拉·返回田语夕;360,11.前往魔鬼城·对话田启晔;390,12.北面墙壁下·寻找商队货物;450,13.返回田语夕·等待一段剧情;480,14.前往龙门客栈·龙门行脚商;530,15.交互女儿红·等待一段剧情;540,16.返回田语夕·使用地图;600,17.前往光标位置·在山上边缘处;640,18.使用火药弹·前往商队货物;680,19.对话田语夕·等搬运物资结束;710,20.对话田启晔·往北面走·查瑞;730,21.选中查瑞·24尺·使用大食狐;750,22.获得牢笼钥匙·对话田启晔;790,23.返回龙门客栈·田语夕;810,完成奇遇·锋芒展·圆圆",nRefresh=0,key="奇遇提示0",},{nClass=14,nIcon=17135,nFrame=7,szName="交互·篝火残骸·返回·田语夕",nTime=600,key="奇遇提示1",},{nClass=14,nIcon=17135,nFrame=7,szName="对话·附近的分会伙计·田语夕",nTime=600,key="奇遇提示2",},{nClass=14,nIcon=17135,nFrame=7,szName="对话·金香玉·返回·田语夕",nTime=600,key="奇遇提示3",},{nClass=14,nIcon=17135,nFrame=7,szName="使用·惩戒杖·对话·田语夕",nTime=600,key="奇遇提示4",},},},</v>
      </c>
      <c r="O172" t="s">
        <v>5193</v>
      </c>
      <c r="P172" t="s">
        <v>5194</v>
      </c>
      <c r="Q172" t="s">
        <v>5195</v>
      </c>
      <c r="R172" t="s">
        <v>5196</v>
      </c>
      <c r="S172" t="s">
        <v>5197</v>
      </c>
    </row>
    <row r="173" spans="1:19" x14ac:dyDescent="0.15">
      <c r="D173" t="s">
        <v>5198</v>
      </c>
      <c r="N173" t="str">
        <f t="shared" si="2"/>
        <v>{szContent="张壮壮已经被带到了田小姐面前，可以开始杖责了",[14]={},tCountdown={{nClass=14,nIcon=17135,nFrame=0,szName="奇遇提示0",nTime="30,8.使用惩戒杖·对话田语夕;150,9.拾取散落的刀兵·一共八个;210,10.对话阿布拉·返回田语夕;270,11.前往魔鬼城·对话田启晔;300,12.北面墙壁下·寻找商队货物;360,13.返回田语夕·等待一段剧情;390,14.前往龙门客栈·龙门行脚商;440,15.交互女儿红·等待一段剧情;450,16.返回田语夕·使用地图;510,17.前往光标位置·在山上边缘处;550,18.使用火药弹·前往商队货物;590,19.对话田语夕·等搬运物资结束;620,20.对话田启晔·往北面走·查瑞;640,21.选中查瑞·24尺·使用大食狐;660,22.获得牢笼钥匙·对话田启晔;700,23.返回龙门客栈·田语夕;720,完成奇遇·锋芒展·圆圆",nRefresh=0,key="奇遇提示0",},{nClass=14,nIcon=17135,nFrame=7,szName="使用·惩戒杖·对话·田语夕",nTime=600,key="奇遇提示1",},{nClass=14,nIcon=17135,nFrame=7,szName="拾取·散落的刀兵·一共八个",nTime=600,key="奇遇提示2",},{nClass=14,nIcon=17135,nFrame=7,szName="对话·阿布拉·返回·田语夕",nTime=600,key="奇遇提示3",},{nClass=14,nIcon=17135,nFrame=7,szName="前往·魔鬼城·对话·田启晔",nTime=600,key="奇遇提示4",},},},</v>
      </c>
      <c r="O173" t="s">
        <v>5199</v>
      </c>
      <c r="P173" t="s">
        <v>5200</v>
      </c>
      <c r="Q173" t="s">
        <v>5201</v>
      </c>
      <c r="R173" t="s">
        <v>5202</v>
      </c>
      <c r="S173" t="s">
        <v>5203</v>
      </c>
    </row>
    <row r="174" spans="1:19" x14ac:dyDescent="0.15">
      <c r="D174" t="s">
        <v>5204</v>
      </c>
      <c r="N174" t="str">
        <f t="shared" si="2"/>
        <v>{szContent="前方风沙茫茫，商会痕迹难觅，此时你似乎听到了一曲沙哑的调子",[14]={},tCountdown={{nClass=14,nIcon=17135,nFrame=0,szName="奇遇提示0",nTime="60,10.对话阿布拉·返回田语夕;120,11.前往魔鬼城·对话田启晔;150,12.北面墙壁下·寻找商队货物;210,13.返回田语夕·等待一段剧情;240,14.前往龙门客栈·龙门行脚商;290,15.交互女儿红·等待一段剧情;300,16.返回田语夕·使用地图;360,17.前往光标位置·在山上边缘处;400,18.使用火药弹·前往商队货物;440,19.对话田语夕·等搬运物资结束;470,20.对话田启晔·往北面走·查瑞;490,21.选中查瑞·24尺·使用大食狐;510,22.获得牢笼钥匙·对话田启晔;550,23.返回龙门客栈·田语夕;570,完成奇遇·锋芒展·圆圆",nRefresh=0,key="奇遇提示0",},{nClass=14,nIcon=17135,nFrame=7,szName="对话·阿布拉·返回·田语夕",nTime=600,key="奇遇提示1",},{nClass=14,nIcon=17135,nFrame=7,szName="前往·魔鬼城·对话·田启晔",nTime=600,key="奇遇提示2",},{nClass=14,nIcon=17135,nFrame=7,szName="寻找·商队货物·北面墙壁下",nTime=600,key="奇遇提示3",},{nClass=14,nIcon=17135,nFrame=7,szName="返回·田语夕·等待一段剧情",nTime=600,key="奇遇提示4",},},},</v>
      </c>
      <c r="O174" t="s">
        <v>5205</v>
      </c>
      <c r="P174" t="s">
        <v>5206</v>
      </c>
      <c r="Q174" t="s">
        <v>5207</v>
      </c>
      <c r="R174" t="s">
        <v>5208</v>
      </c>
      <c r="S174" t="s">
        <v>5209</v>
      </c>
    </row>
    <row r="175" spans="1:19" x14ac:dyDescent="0.15">
      <c r="D175" t="s">
        <v>5210</v>
      </c>
      <c r="N175" t="str">
        <f t="shared" si="2"/>
        <v>{szContent="货物完好无损，快回去与田小姐商量对策吧",[14]={},tCountdown={{nClass=14,nIcon=17135,nFrame=0,szName="奇遇提示0",nTime="60,13.返回田语夕·等待一段剧情;90,14.前往龙门客栈·龙门行脚商;140,15.交互女儿红·等待一段剧情;150,16.返回田语夕·使用地图;210,17.前往光标位置·在山上边缘处;250,18.使用火药弹·前往商队货物;290,19.对话田语夕·等搬运物资结束;320,20.对话田启晔·往北面走·查瑞;340,21.选中查瑞·24尺·使用大食狐;360,22.获得牢笼钥匙·对话田启晔;400,23.返回龙门客栈·田语夕;420,完成奇遇·锋芒展·圆圆",nRefresh=0,key="奇遇提示0",},{nClass=14,nIcon=17135,nFrame=7,szName="返回·田语夕·等待一段剧情",nTime=600,key="奇遇提示1",},{nClass=14,nIcon=17135,nFrame=7,szName="前往·龙门客栈·龙门行脚商",nTime=600,key="奇遇提示2",},{nClass=14,nIcon=17135,nFrame=7,szName="交互·女儿红·等待一段剧情",nTime=600,key="奇遇提示3",},{nClass=14,nIcon=17135,nFrame=7,szName="返回·田语夕·使用·地图",nTime=600,key="奇遇提示4",},},},</v>
      </c>
      <c r="O175" t="s">
        <v>5211</v>
      </c>
      <c r="P175" t="s">
        <v>5212</v>
      </c>
      <c r="Q175" t="s">
        <v>5213</v>
      </c>
      <c r="R175" t="s">
        <v>5214</v>
      </c>
      <c r="S175" t="s">
        <v>5215</v>
      </c>
    </row>
    <row r="176" spans="1:19" x14ac:dyDescent="0.15">
      <c r="D176" t="s">
        <v>5216</v>
      </c>
      <c r="N176" t="str">
        <f t="shared" si="2"/>
        <v>{szContent="炸弹投掷位置已经标记。",[14]={},tCountdown={{nClass=14,nIcon=17135,nFrame=0,szName="奇遇提示0",nTime="60,17.前往光标位置·在山上边缘处;100,18.使用火药弹·前往商队货物;140,19.对话田语夕·等搬运物资结束;170,20.对话田启晔·往北面走·查瑞;190,21.选中查瑞·24尺·使用大食狐;210,22.获得牢笼钥匙·对话田启晔;250,23.返回龙门客栈·田语夕;270,完成奇遇·锋芒展·圆圆",nRefresh=0,key="奇遇提示0",},{nClass=14,nIcon=17135,nFrame=7,szName="前往·光标位置·在山上边缘处",nTime=600,key="奇遇提示1",},{nClass=14,nIcon=17135,nFrame=7,szName="使用·火药弹·前往·商队货物",nTime=600,key="奇遇提示2",},{nClass=14,nIcon=17135,nFrame=7,szName="对话·田语夕·等搬运物资结束",nTime=600,key="奇遇提示3",},{nClass=14,nIcon=17135,nFrame=7,szName="对话·田启晔·往北面走·查瑞",nTime=600,key="奇遇提示4",},},},</v>
      </c>
      <c r="O176" t="s">
        <v>5217</v>
      </c>
      <c r="P176" t="s">
        <v>5218</v>
      </c>
      <c r="Q176" t="s">
        <v>5219</v>
      </c>
      <c r="R176" t="s">
        <v>5220</v>
      </c>
      <c r="S176" t="s">
        <v>5221</v>
      </c>
    </row>
    <row r="177" spans="1:19" x14ac:dyDescent="0.15">
      <c r="C177" t="s">
        <v>5185</v>
      </c>
      <c r="D177" t="s">
        <v>5222</v>
      </c>
      <c r="N177" t="str">
        <f t="shared" si="2"/>
        <v>{szContent="我也听到爆炸声了，我们这就开始搬运货物，家父就交给你了！",szTarget="田语夕",[14]={},tCountdown={{nClass=14,nIcon=17135,nFrame=0,szName="奇遇提示0",nTime="30,20.对话田启晔·往北面走·查瑞;50,21.选中查瑞·24尺·使用大食狐;70,22.获得牢笼钥匙·对话田启晔;110,23.返回龙门客栈·田语夕;130,完成奇遇·锋芒展·圆圆",nRefresh=0,key="奇遇提示0",},{nClass=14,nIcon=17135,nFrame=7,szName="对话·田启晔·往北面走·查瑞",nTime=600,key="奇遇提示1",},{nClass=14,nIcon=17135,nFrame=7,szName="选中·查瑞·24尺使用·大食狐",nTime=600,key="奇遇提示2",},{nClass=14,nIcon=17135,nFrame=7,szName="获得·牢笼钥匙·对话·田启晔",nTime=600,key="奇遇提示3",},{nClass=14,nIcon=17135,nFrame=7,szName="返回·龙门客栈·田语夕·剧情",nTime=600,key="奇遇提示4",},},},</v>
      </c>
      <c r="O177" t="s">
        <v>5223</v>
      </c>
      <c r="P177" t="s">
        <v>5224</v>
      </c>
      <c r="Q177" t="s">
        <v>5225</v>
      </c>
      <c r="R177" t="s">
        <v>5226</v>
      </c>
      <c r="S177" t="s">
        <v>5227</v>
      </c>
    </row>
    <row r="178" spans="1:19" x14ac:dyDescent="0.15">
      <c r="C178" t="s">
        <v>5185</v>
      </c>
      <c r="D178" t="s">
        <v>5228</v>
      </c>
      <c r="N178" t="str">
        <f t="shared" si="2"/>
        <v>{szContent="是！",szTarget="田语夕",[14]={},tCountdown={{nClass=14,nIcon=17135,nFrame=0,szName="奇遇提示0",nTime=0,key="奇遇提示0",},{nClass=14,nIcon=17135,nFrame=7,szName="对话·田语夕·完成奇遇",nTime=20,key="奇遇提示1",},{nClass=14,nIcon=17135,nFrame=7,szName="宠物奇遇·锋芒展·圆圆",nTime=20,key="奇遇提示2",},{nClass=14,nIcon=17135,nFrame=7,szName="奇遇提示3",nTime=0,key="奇遇提示3",},{nClass=14,nIcon=17135,nFrame=7,szName="奇遇提示4",nTime=0,key="奇遇提示4",},},},</v>
      </c>
      <c r="O178" t="s">
        <v>5035</v>
      </c>
      <c r="P178" t="s">
        <v>5229</v>
      </c>
      <c r="Q178" t="s">
        <v>5230</v>
      </c>
      <c r="R178" t="s">
        <v>4788</v>
      </c>
      <c r="S178" t="s">
        <v>5036</v>
      </c>
    </row>
    <row r="179" spans="1:19" x14ac:dyDescent="0.15">
      <c r="C179" t="s">
        <v>5231</v>
      </c>
      <c r="D179" t="s">
        <v>5151</v>
      </c>
      <c r="F179" t="s">
        <v>2529</v>
      </c>
      <c r="N179" t="str">
        <f t="shared" si="2"/>
        <v>{szContent="恶人谷老友们可在我这里传送到恶人谷！",szTarget="霸图",col={255,100,100,},[14]={},tCountdown={{nClass=14,nIcon=2864,nFrame=7,szName="霸图·已刷新",nTime=2,nRefresh=600,key="霸图",},},},</v>
      </c>
      <c r="O179" t="s">
        <v>5232</v>
      </c>
    </row>
    <row r="180" spans="1:19" x14ac:dyDescent="0.15">
      <c r="C180" t="s">
        <v>5233</v>
      </c>
      <c r="D180" t="s">
        <v>5153</v>
      </c>
      <c r="F180" t="s">
        <v>2524</v>
      </c>
      <c r="N180" t="str">
        <f t="shared" si="2"/>
        <v>{szContent="浩气盟侠士们可在我这里传送到浩气盟！",szTarget="孙永恒",col={100,100,255,},[14]={},tCountdown={{nClass=14,nIcon=845,nFrame=3,szName="孙永恒·已刷新",nTime=2,nRefresh=600,key="孙永恒",},},},</v>
      </c>
      <c r="O180" t="s">
        <v>5234</v>
      </c>
    </row>
    <row r="181" spans="1:19" x14ac:dyDescent="0.15">
      <c r="A181" t="s">
        <v>240</v>
      </c>
      <c r="B181">
        <v>25</v>
      </c>
      <c r="N181" t="str">
        <f t="shared" si="2"/>
        <v>},[25]={</v>
      </c>
    </row>
    <row r="182" spans="1:19" x14ac:dyDescent="0.15">
      <c r="C182" t="s">
        <v>3978</v>
      </c>
      <c r="D182" t="s">
        <v>5235</v>
      </c>
      <c r="E182" t="s">
        <v>5236</v>
      </c>
      <c r="F182" t="s">
        <v>2529</v>
      </c>
      <c r="N182" t="str">
        <f t="shared" si="2"/>
        <v>{szContent="顾延恶已经尽力，请暂且退回疗伤。",szTarget="王遗风",szNote="浩气·谢烟客·击退·恶人·顾延恶·复活点·烟雨居舍",col={255,100,100,},[14]={},tCountdown={{nClass=14,nIcon=18830,nFrame=5,szName="恶人·顾延恶·退场",nTime=10,nRefresh=5,key="王遗风·顾延恶·减伤",},{nClass=14,nIcon=14724,nFrame=6,szName="谢渊·谢烟客·减伤",nTime="300,谢烟客·烟雨居舍·减伤3层;600,谢烟客·烟雨居舍·减伤2层;900,谢烟客·烟雨居舍·减伤1层",nRefresh=0,key="谢渊·谢烟客·减伤",},},},</v>
      </c>
      <c r="O182" t="s">
        <v>5237</v>
      </c>
      <c r="P182" t="s">
        <v>5238</v>
      </c>
    </row>
    <row r="183" spans="1:19" x14ac:dyDescent="0.15">
      <c r="C183" t="s">
        <v>3978</v>
      </c>
      <c r="D183" t="s">
        <v>5239</v>
      </c>
      <c r="E183" t="s">
        <v>5240</v>
      </c>
      <c r="F183" t="s">
        <v>2529</v>
      </c>
      <c r="N183" t="str">
        <f t="shared" si="2"/>
        <v>{szContent="吕沛杰已经尽力，请暂且退回疗伤。",szTarget="王遗风",szNote="浩气·陶杰·击退·恶人·吕沛杰·复活点·七星岩",col={255,100,100,},[14]={},tCountdown={{nClass=14,nIcon=18830,nFrame=5,szName="恶人·吕沛杰·退场",nTime=10,nRefresh=5,key="王遗风·吕沛杰·减伤",},{nClass=14,nIcon=14724,nFrame=6,szName="谢渊·陶杰·减伤",nTime="300,陶杰·七星岩·减伤3层;600,陶杰·七星岩·减伤2层;900,陶杰·七星岩·减伤1层",nRefresh=0,key="谢渊·陶杰·减伤",},},},</v>
      </c>
      <c r="O183" t="s">
        <v>5241</v>
      </c>
      <c r="P183" t="s">
        <v>5242</v>
      </c>
    </row>
    <row r="184" spans="1:19" x14ac:dyDescent="0.15">
      <c r="C184" t="s">
        <v>3978</v>
      </c>
      <c r="D184" t="s">
        <v>5243</v>
      </c>
      <c r="E184" t="s">
        <v>5244</v>
      </c>
      <c r="F184" t="s">
        <v>2529</v>
      </c>
      <c r="N184" t="str">
        <f t="shared" si="2"/>
        <v>{szContent="陶国栋已经尽力，请暂且退回疗伤。",szTarget="王遗风",szNote="浩气·郑鸥·击退·恶人·陶国栋·复活点·栖霞",col={255,100,100,},[14]={},tCountdown={{nClass=14,nIcon=18830,nFrame=5,szName="恶人·陶国栋·退场",nTime=10,nRefresh=5,key="王遗风·陶国栋·减伤",},{nClass=14,nIcon=14724,nFrame=6,szName="谢渊·郑鸥·减伤",nTime="300,郑鸥·栖霞·减伤3层;600,郑鸥·栖霞·减伤2层;900,郑鸥·栖霞·减伤1层",nRefresh=0,key="谢渊·郑鸥·减伤",},},},</v>
      </c>
      <c r="O184" t="s">
        <v>5245</v>
      </c>
      <c r="P184" t="s">
        <v>5246</v>
      </c>
    </row>
    <row r="185" spans="1:19" x14ac:dyDescent="0.15">
      <c r="C185" t="s">
        <v>3978</v>
      </c>
      <c r="D185" t="s">
        <v>5247</v>
      </c>
      <c r="E185" t="s">
        <v>5248</v>
      </c>
      <c r="F185" t="s">
        <v>2529</v>
      </c>
      <c r="N185" t="str">
        <f t="shared" si="2"/>
        <v>{szContent="张一洋已经尽力，请暂且退回疗伤。",szTarget="王遗风",szNote="浩气·周峰·击退·恶人·张一洋·复活点·龙隐山",col={255,100,100,},[14]={},tCountdown={{nClass=14,nIcon=18830,nFrame=5,szName="恶人·张一洋·退场",nTime=10,nRefresh=5,key="王遗风·张一洋·减伤",},{nClass=14,nIcon=14724,nFrame=6,szName="谢渊·周峰·减伤",nTime="300,周峰·龙隐山·减伤3层;600,周峰·龙隐山·减伤2层;900,周峰·龙隐山·减伤1层",nRefresh=0,key="谢渊·周峰·减伤",},},},</v>
      </c>
      <c r="O185" t="s">
        <v>5249</v>
      </c>
      <c r="P185" t="s">
        <v>5250</v>
      </c>
    </row>
    <row r="186" spans="1:19" x14ac:dyDescent="0.15">
      <c r="C186" t="s">
        <v>5251</v>
      </c>
      <c r="D186" t="s">
        <v>5252</v>
      </c>
      <c r="E186" t="s">
        <v>5253</v>
      </c>
      <c r="F186" t="s">
        <v>2524</v>
      </c>
      <c r="N186" t="str">
        <f t="shared" si="2"/>
        <v>{szContent="谢烟客已经尽力，请暂且退回疗伤。",szTarget="谢渊",szNote="恶人·顾延恶·击退·浩气·谢烟客·复活点·烟雨居舍",col={100,100,255,},[14]={},tCountdown={{nClass=14,nIcon=18829,nFrame=7,szName="浩气·谢烟客·退场",nTime=10,nRefresh=5,key="谢渊·谢烟客·减伤",},{nClass=14,nIcon=14724,nFrame=6,szName="王遗风·顾延恶·减伤",nTime="300,顾延恶·烟雨居舍·减伤3层;600,顾延恶·烟雨居舍·减伤2层;900,顾延恶·烟雨居舍·减伤1层",nRefresh=0,key="王遗风·顾延恶·减伤",},},},</v>
      </c>
      <c r="O186" t="s">
        <v>5254</v>
      </c>
      <c r="P186" t="s">
        <v>5255</v>
      </c>
    </row>
    <row r="187" spans="1:19" x14ac:dyDescent="0.15">
      <c r="C187" t="s">
        <v>5251</v>
      </c>
      <c r="D187" t="s">
        <v>5256</v>
      </c>
      <c r="E187" t="s">
        <v>5257</v>
      </c>
      <c r="F187" t="s">
        <v>2524</v>
      </c>
      <c r="N187" t="str">
        <f t="shared" si="2"/>
        <v>{szContent="陶杰已经尽力，请暂且退回疗伤。",szTarget="谢渊",szNote="恶人·吕沛杰·击退·浩气·陶杰·复活点·七星岩",col={100,100,255,},[14]={},tCountdown={{nClass=14,nIcon=18829,nFrame=7,szName="浩气·陶杰·退场",nTime=10,nRefresh=5,key="谢渊·陶杰·减伤",},{nClass=14,nIcon=14724,nFrame=6,szName="王遗风·吕沛杰·减伤",nTime="300,吕沛杰·七星岩·减伤3层;600,吕沛杰·七星岩·减伤2层;900,吕沛杰·七星岩·减伤1层",nRefresh=0,key="王遗风·吕沛杰·减伤",},},},</v>
      </c>
      <c r="O187" t="s">
        <v>5258</v>
      </c>
      <c r="P187" t="s">
        <v>5259</v>
      </c>
    </row>
    <row r="188" spans="1:19" x14ac:dyDescent="0.15">
      <c r="C188" t="s">
        <v>5251</v>
      </c>
      <c r="D188" t="s">
        <v>5260</v>
      </c>
      <c r="E188" t="s">
        <v>5261</v>
      </c>
      <c r="F188" t="s">
        <v>2524</v>
      </c>
      <c r="N188" t="str">
        <f t="shared" si="2"/>
        <v>{szContent="郑鸥已经尽力，请暂且退回疗伤。",szTarget="谢渊",szNote="恶人·陶国栋·击退·浩气·郑鸥·复活点·栖霞",col={100,100,255,},[14]={},tCountdown={{nClass=14,nIcon=18829,nFrame=7,szName="浩气·郑鸥·退场",nTime=10,nRefresh=5,key="谢渊·郑鸥·减伤",},{nClass=14,nIcon=14724,nFrame=6,szName="王遗风·陶国栋·减伤",nTime="300,陶国栋·栖霞·减伤3层;600,陶国栋·栖霞·减伤2层;900,陶国栋·栖霞·减伤1层",nRefresh=0,key="王遗风·陶国栋·减伤",},},},</v>
      </c>
      <c r="O188" t="s">
        <v>5262</v>
      </c>
      <c r="P188" t="s">
        <v>5263</v>
      </c>
    </row>
    <row r="189" spans="1:19" x14ac:dyDescent="0.15">
      <c r="C189" t="s">
        <v>5251</v>
      </c>
      <c r="D189" t="s">
        <v>5264</v>
      </c>
      <c r="E189" t="s">
        <v>5265</v>
      </c>
      <c r="F189" t="s">
        <v>2524</v>
      </c>
      <c r="N189" t="str">
        <f t="shared" si="2"/>
        <v>{szContent="周峰已经尽力，请暂且退回疗伤。",szTarget="谢渊",szNote="恶人·张一洋·击退·浩气·周峰·复活点·龙隐山",col={100,100,255,},[14]={},tCountdown={{nClass=14,nIcon=18829,nFrame=7,szName="浩气·周峰·退场",nTime=10,nRefresh=5,key="谢渊·周峰·减伤",},{nClass=14,nIcon=14724,nFrame=6,szName="王遗风·张一洋·减伤",nTime="300,张一洋·龙隐山·减伤3层;600,张一洋·龙隐山·减伤2层;900,张一洋·龙隐山·减伤1层",nRefresh=0,key="王遗风·张一洋·减伤",},},},</v>
      </c>
      <c r="O189" t="s">
        <v>5266</v>
      </c>
      <c r="P189" t="s">
        <v>5267</v>
      </c>
    </row>
    <row r="190" spans="1:19" x14ac:dyDescent="0.15">
      <c r="A190" t="s">
        <v>241</v>
      </c>
      <c r="B190">
        <v>27</v>
      </c>
      <c r="N190" t="str">
        <f t="shared" si="2"/>
        <v>},[27]={</v>
      </c>
    </row>
    <row r="191" spans="1:19" x14ac:dyDescent="0.15">
      <c r="C191" t="s">
        <v>3978</v>
      </c>
      <c r="D191" t="s">
        <v>5235</v>
      </c>
      <c r="E191" t="s">
        <v>5268</v>
      </c>
      <c r="F191" t="s">
        <v>2529</v>
      </c>
      <c r="N191" t="str">
        <f t="shared" si="2"/>
        <v>{szContent="顾延恶已经尽力，请暂且退回疗伤。",szTarget="王遗风",szNote="浩气·谢烟客·击退·恶人·顾延恶·复活点·平安客栈",col={255,100,100,},[14]={},tCountdown={{nClass=14,nIcon=18830,nFrame=5,szName="恶人·顾延恶·退场",nTime=10,nRefresh=5,key="王遗风·顾延恶·减伤",},{nClass=14,nIcon=14724,nFrame=6,szName="谢渊·谢烟客·减伤",nTime="300,谢烟客·平安客栈·减伤3层;600,谢烟客·平安客栈·减伤2层;900,谢烟客·平安客栈·减伤1层",nRefresh=0,key="谢渊·谢烟客·减伤",},},},</v>
      </c>
      <c r="O191" t="s">
        <v>5237</v>
      </c>
      <c r="P191" t="s">
        <v>5269</v>
      </c>
    </row>
    <row r="192" spans="1:19" x14ac:dyDescent="0.15">
      <c r="C192" t="s">
        <v>3978</v>
      </c>
      <c r="D192" t="s">
        <v>5239</v>
      </c>
      <c r="E192" t="s">
        <v>5270</v>
      </c>
      <c r="F192" t="s">
        <v>2529</v>
      </c>
      <c r="N192" t="str">
        <f t="shared" si="2"/>
        <v>{szContent="吕沛杰已经尽力，请暂且退回疗伤。",szTarget="王遗风",szNote="浩气·陶杰·击退·恶人·吕沛杰·复活点·炎狱山",col={255,100,100,},[14]={},tCountdown={{nClass=14,nIcon=18830,nFrame=5,szName="恶人·吕沛杰·退场",nTime=10,nRefresh=5,key="王遗风·吕沛杰·减伤",},{nClass=14,nIcon=14724,nFrame=6,szName="谢渊·陶杰·减伤",nTime="300,陶杰·炎狱山·减伤3层;600,陶杰·炎狱山·减伤2层;900,陶杰·炎狱山·减伤1层",nRefresh=0,key="谢渊·陶杰·减伤",},},},</v>
      </c>
      <c r="O192" t="s">
        <v>5241</v>
      </c>
      <c r="P192" t="s">
        <v>5271</v>
      </c>
    </row>
    <row r="193" spans="1:16" x14ac:dyDescent="0.15">
      <c r="C193" t="s">
        <v>3978</v>
      </c>
      <c r="D193" t="s">
        <v>5243</v>
      </c>
      <c r="E193" t="s">
        <v>5272</v>
      </c>
      <c r="F193" t="s">
        <v>2529</v>
      </c>
      <c r="N193" t="str">
        <f t="shared" si="2"/>
        <v>{szContent="陶国栋已经尽力，请暂且退回疗伤。",szTarget="王遗风",szNote="浩气·郑鸥·击退·恶人·陶国栋·复活点·白骨陵园",col={255,100,100,},[14]={},tCountdown={{nClass=14,nIcon=18830,nFrame=5,szName="恶人·陶国栋·退场",nTime=10,nRefresh=5,key="王遗风·陶国栋·减伤",},{nClass=14,nIcon=14724,nFrame=6,szName="谢渊·郑鸥·减伤",nTime="300,郑鸥·白骨陵园·减伤3层;600,郑鸥·白骨陵园·减伤2层;900,郑鸥·白骨陵园·减伤1层",nRefresh=0,key="谢渊·郑鸥·减伤",},},},</v>
      </c>
      <c r="O193" t="s">
        <v>5245</v>
      </c>
      <c r="P193" t="s">
        <v>5273</v>
      </c>
    </row>
    <row r="194" spans="1:16" x14ac:dyDescent="0.15">
      <c r="C194" t="s">
        <v>3978</v>
      </c>
      <c r="D194" t="s">
        <v>5247</v>
      </c>
      <c r="E194" t="s">
        <v>5274</v>
      </c>
      <c r="F194" t="s">
        <v>2529</v>
      </c>
      <c r="N194" t="str">
        <f t="shared" ref="N194:N257" si="3">IF(ISBLANK(B194)=FALSE,IF(ISBLANK(B193),"},["&amp;B194&amp;"]={","["&amp;B194&amp;"]={"),IF(AND(ISBLANK(B194),ISBLANK(D194),ISBLANK(G194),ISBLANK(H194),OR(ISBLANK(B193)=FALSE,ISBLANK(D193)=FALSE,ISBLANK(G193)=FALSE,ISBLANK(H193)=FALSE)),"},},}",IF(ISBLANK(D194),"","{szContent="""&amp;D194&amp;""","&amp;IF(C194&lt;&gt;"","szTarget="""&amp;C194&amp;""",","")&amp;IF(E194&lt;&gt;"","szNote="""&amp;E194&amp;""",","")&amp;IF(F194&lt;&gt;"","col={"&amp;F194&amp;"},","")&amp;IF(G194&gt;0,"bSearch=true,","")&amp;IF(H194&gt;0,"bReg=true,","")&amp;"[14]={"&amp;IF(I194&gt;0,"szVoice="""&amp;I194&amp;""",","")&amp;IF(J194&gt;0,"bTeamChannel=true,","")&amp;IF(K194&gt;0,"bWhisperChannel=true,","")&amp;IF(L194&gt;0,"bCenterAlarm=true,","")&amp;IF(M194&gt;0,"bScreenHead=true,","")&amp;"},"&amp;IF(O194&lt;&gt;"","tCountdown={"&amp;_xlfn.TEXTJOIN("",TRUE,O194:ZZ194)&amp;"},","")&amp;"},")))</f>
        <v>{szContent="张一洋已经尽力，请暂且退回疗伤。",szTarget="王遗风",szNote="浩气·周峰·击退·恶人·张一洋·复活点·丐王坡",col={255,100,100,},[14]={},tCountdown={{nClass=14,nIcon=18830,nFrame=5,szName="恶人·张一洋·退场",nTime=10,nRefresh=5,key="王遗风·张一洋·减伤",},{nClass=14,nIcon=14724,nFrame=6,szName="谢渊·周峰·减伤",nTime="300,周峰·丐王坡·减伤3层;600,周峰·丐王坡·减伤2层;900,周峰·丐王坡·减伤1层",nRefresh=0,key="谢渊·周峰·减伤",},},},</v>
      </c>
      <c r="O194" t="s">
        <v>5249</v>
      </c>
      <c r="P194" t="s">
        <v>5275</v>
      </c>
    </row>
    <row r="195" spans="1:16" x14ac:dyDescent="0.15">
      <c r="C195" t="s">
        <v>5251</v>
      </c>
      <c r="D195" t="s">
        <v>5252</v>
      </c>
      <c r="E195" t="s">
        <v>5276</v>
      </c>
      <c r="F195" t="s">
        <v>2524</v>
      </c>
      <c r="N195" t="str">
        <f t="shared" si="3"/>
        <v>{szContent="谢烟客已经尽力，请暂且退回疗伤。",szTarget="谢渊",szNote="恶人·顾延恶·击退·浩气·谢烟客·复活点·平安客栈",col={100,100,255,},[14]={},tCountdown={{nClass=14,nIcon=18829,nFrame=7,szName="浩气·谢烟客·退场",nTime=10,nRefresh=5,key="谢渊·谢烟客·减伤",},{nClass=14,nIcon=14724,nFrame=6,szName="王遗风·顾延恶·减伤",nTime="300,顾延恶·平安客栈·减伤3层;600,顾延恶·平安客栈·减伤2层;900,顾延恶·平安客栈·减伤1层",nRefresh=0,key="王遗风·顾延恶·减伤",},},},</v>
      </c>
      <c r="O195" t="s">
        <v>5254</v>
      </c>
      <c r="P195" t="s">
        <v>5277</v>
      </c>
    </row>
    <row r="196" spans="1:16" x14ac:dyDescent="0.15">
      <c r="C196" t="s">
        <v>5251</v>
      </c>
      <c r="D196" t="s">
        <v>5256</v>
      </c>
      <c r="E196" t="s">
        <v>5278</v>
      </c>
      <c r="F196" t="s">
        <v>2524</v>
      </c>
      <c r="N196" t="str">
        <f t="shared" si="3"/>
        <v>{szContent="陶杰已经尽力，请暂且退回疗伤。",szTarget="谢渊",szNote="恶人·吕沛杰·击退·浩气·陶杰·复活点·炎狱山",col={100,100,255,},[14]={},tCountdown={{nClass=14,nIcon=18829,nFrame=7,szName="浩气·陶杰·退场",nTime=10,nRefresh=5,key="谢渊·陶杰·减伤",},{nClass=14,nIcon=14724,nFrame=6,szName="王遗风·吕沛杰·减伤",nTime="300,吕沛杰·炎狱山·减伤3层;600,吕沛杰·炎狱山·减伤2层;900,吕沛杰·炎狱山·减伤1层",nRefresh=0,key="王遗风·吕沛杰·减伤",},},},</v>
      </c>
      <c r="O196" t="s">
        <v>5258</v>
      </c>
      <c r="P196" t="s">
        <v>5279</v>
      </c>
    </row>
    <row r="197" spans="1:16" x14ac:dyDescent="0.15">
      <c r="C197" t="s">
        <v>5251</v>
      </c>
      <c r="D197" t="s">
        <v>5260</v>
      </c>
      <c r="E197" t="s">
        <v>5280</v>
      </c>
      <c r="F197" t="s">
        <v>2524</v>
      </c>
      <c r="N197" t="str">
        <f t="shared" si="3"/>
        <v>{szContent="郑鸥已经尽力，请暂且退回疗伤。",szTarget="谢渊",szNote="恶人·陶国栋·击退·浩气·郑鸥·复活点·白骨陵园",col={100,100,255,},[14]={},tCountdown={{nClass=14,nIcon=18829,nFrame=7,szName="浩气·郑鸥·退场",nTime=10,nRefresh=5,key="谢渊·郑鸥·减伤",},{nClass=14,nIcon=14724,nFrame=6,szName="王遗风·陶国栋·减伤",nTime="300,陶国栋·白骨陵园·减伤3层;600,陶国栋·白骨陵园·减伤2层;900,陶国栋·白骨陵园·减伤1层",nRefresh=0,key="王遗风·陶国栋·减伤",},},},</v>
      </c>
      <c r="O197" t="s">
        <v>5262</v>
      </c>
      <c r="P197" t="s">
        <v>5281</v>
      </c>
    </row>
    <row r="198" spans="1:16" x14ac:dyDescent="0.15">
      <c r="C198" t="s">
        <v>5251</v>
      </c>
      <c r="D198" t="s">
        <v>5264</v>
      </c>
      <c r="E198" t="s">
        <v>5282</v>
      </c>
      <c r="F198" t="s">
        <v>2524</v>
      </c>
      <c r="N198" t="str">
        <f t="shared" si="3"/>
        <v>{szContent="周峰已经尽力，请暂且退回疗伤。",szTarget="谢渊",szNote="恶人·张一洋·击退·浩气·周峰·复活点·丐王坡",col={100,100,255,},[14]={},tCountdown={{nClass=14,nIcon=18829,nFrame=7,szName="浩气·周峰·退场",nTime=10,nRefresh=5,key="谢渊·周峰·减伤",},{nClass=14,nIcon=14724,nFrame=6,szName="王遗风·张一洋·减伤",nTime="300,张一洋·丐王坡·减伤3层;600,张一洋·丐王坡·减伤2层;900,张一洋·丐王坡·减伤1层",nRefresh=0,key="王遗风·张一洋·减伤",},},},</v>
      </c>
      <c r="O198" t="s">
        <v>5266</v>
      </c>
      <c r="P198" t="s">
        <v>5283</v>
      </c>
    </row>
    <row r="199" spans="1:16" x14ac:dyDescent="0.15">
      <c r="A199" t="s">
        <v>716</v>
      </c>
      <c r="B199">
        <v>30</v>
      </c>
      <c r="N199" t="str">
        <f t="shared" si="3"/>
        <v>},[30]={</v>
      </c>
    </row>
    <row r="200" spans="1:16" x14ac:dyDescent="0.15">
      <c r="C200" t="s">
        <v>4887</v>
      </c>
      <c r="D200" t="s">
        <v>4888</v>
      </c>
      <c r="N200" t="str">
        <f t="shared" si="3"/>
        <v>{szContent="一起去哪玩？",szTarget="雪雪",[14]={},tCountdown={{nClass=14,nIcon=293,nFrame=5,szName="可以往瀑布方向走·看冰水",nTime=20,nRefresh=15,key="雪雪·旅行介绍1",},{nClass=14,nIcon=293,nFrame=5,szName="可以找·NPC冰雪",nTime=20,nRefresh=15,key="雪雪·旅行介绍2",},},},</v>
      </c>
      <c r="O200" t="s">
        <v>5284</v>
      </c>
      <c r="P200" t="s">
        <v>5285</v>
      </c>
    </row>
    <row r="201" spans="1:16" x14ac:dyDescent="0.15">
      <c r="C201" t="s">
        <v>5231</v>
      </c>
      <c r="D201" t="s">
        <v>5151</v>
      </c>
      <c r="F201" t="s">
        <v>2529</v>
      </c>
      <c r="N201" t="str">
        <f t="shared" si="3"/>
        <v>{szContent="恶人谷老友们可在我这里传送到恶人谷！",szTarget="霸图",col={255,100,100,},[14]={},tCountdown={{nClass=14,nIcon=2864,nFrame=7,szName="霸图·已刷新",nTime=2,nRefresh=600,key="霸图",},},},</v>
      </c>
      <c r="O201" t="s">
        <v>5232</v>
      </c>
    </row>
    <row r="202" spans="1:16" x14ac:dyDescent="0.15">
      <c r="C202" t="s">
        <v>5233</v>
      </c>
      <c r="D202" t="s">
        <v>5153</v>
      </c>
      <c r="F202" t="s">
        <v>2524</v>
      </c>
      <c r="N202" t="str">
        <f t="shared" si="3"/>
        <v>{szContent="浩气盟侠士们可在我这里传送到浩气盟！",szTarget="孙永恒",col={100,100,255,},[14]={},tCountdown={{nClass=14,nIcon=845,nFrame=3,szName="孙永恒·已刷新",nTime=2,nRefresh=600,key="孙永恒",},},},</v>
      </c>
      <c r="O202" t="s">
        <v>5234</v>
      </c>
    </row>
    <row r="203" spans="1:16" x14ac:dyDescent="0.15">
      <c r="C203" t="s">
        <v>5155</v>
      </c>
      <c r="D203" t="s">
        <v>5156</v>
      </c>
      <c r="F203" t="s">
        <v>2529</v>
      </c>
      <c r="N203" t="str">
        <f t="shared" si="3"/>
        <v>{szContent="护送不利，恶人谷的运输小队被浩气盟截下了！",szTarget="管良沧",col={255,100,100,},[14]={},tCountdown={{nClass=14,nIcon=2397,nFrame=7,szName="浩气·劫车奖励",nTime=60,key="粮草先行·恶人谷",},},},</v>
      </c>
      <c r="O203" t="s">
        <v>5286</v>
      </c>
    </row>
    <row r="204" spans="1:16" x14ac:dyDescent="0.15">
      <c r="C204" t="s">
        <v>5155</v>
      </c>
      <c r="D204" t="s">
        <v>5158</v>
      </c>
      <c r="F204" t="s">
        <v>2529</v>
      </c>
      <c r="N204" t="str">
        <f t="shared" si="3"/>
        <v>{szContent="恶人谷的运输小队成功到达营地！接下来由他们将物资运往更前线，大伙继续加油，收集更多物资！",szTarget="管良沧",col={255,100,100,},[14]={},tCountdown={{nClass=14,nIcon=2398,nFrame=3,szName="恶人·领取护送奖赏",nTime=60,key="粮草先行·恶人谷",},},},</v>
      </c>
      <c r="O204" t="s">
        <v>5159</v>
      </c>
    </row>
    <row r="205" spans="1:16" x14ac:dyDescent="0.15">
      <c r="C205" t="s">
        <v>5155</v>
      </c>
      <c r="D205" t="s">
        <v>5160</v>
      </c>
      <c r="E205" t="s">
        <v>5161</v>
      </c>
      <c r="F205" t="s">
        <v>2529</v>
      </c>
      <c r="L205">
        <v>1</v>
      </c>
      <c r="N205" t="str">
        <f t="shared" si="3"/>
        <v>{szContent="恶人谷的运输小队出现了，大伙快前去接送到我方营地，谷主重重有赏！",szTarget="管良沧",szNote="粮草先行·恶人牛车",col={255,100,100,},[14]={bCenterAlarm=true,},tCountdown={{nClass=14,nIcon=15380,nFrame=3,szName="恶人·护送牛车",nTime=557,key="粮草先行·恶人谷",},},},</v>
      </c>
      <c r="O205" t="s">
        <v>5287</v>
      </c>
    </row>
    <row r="206" spans="1:16" x14ac:dyDescent="0.15">
      <c r="C206" t="s">
        <v>5163</v>
      </c>
      <c r="D206" t="s">
        <v>5164</v>
      </c>
      <c r="F206" t="s">
        <v>2524</v>
      </c>
      <c r="N206" t="str">
        <f t="shared" si="3"/>
        <v>{szContent="护送不利，浩气盟的运输小队被恶人谷截下了！",szTarget="苏才寥",col={100,100,255,},[14]={},tCountdown={{nClass=14,nIcon=2398,nFrame=3,szName="恶人·劫车奖励",nTime=60,key="粮草先行·浩气盟",},},},</v>
      </c>
      <c r="O206" t="s">
        <v>5165</v>
      </c>
    </row>
    <row r="207" spans="1:16" x14ac:dyDescent="0.15">
      <c r="C207" t="s">
        <v>5163</v>
      </c>
      <c r="D207" t="s">
        <v>5166</v>
      </c>
      <c r="F207" t="s">
        <v>2524</v>
      </c>
      <c r="N207" t="str">
        <f t="shared" si="3"/>
        <v>{szContent="浩气盟的运输小队成功到达营地！接下来由他们将物资运往更前线，大伙继续加油，收集更多物资！",szTarget="苏才寥",col={100,100,255,},[14]={},tCountdown={{nClass=14,nIcon=2397,nFrame=7,szName="浩气·领取护送奖赏",nTime=60,key="粮草先行·浩气盟",},},},</v>
      </c>
      <c r="O207" t="s">
        <v>5167</v>
      </c>
    </row>
    <row r="208" spans="1:16" x14ac:dyDescent="0.15">
      <c r="C208" t="s">
        <v>5163</v>
      </c>
      <c r="D208" t="s">
        <v>5168</v>
      </c>
      <c r="E208" t="s">
        <v>5169</v>
      </c>
      <c r="F208" t="s">
        <v>2524</v>
      </c>
      <c r="L208">
        <v>1</v>
      </c>
      <c r="N208" t="str">
        <f t="shared" si="3"/>
        <v>{szContent="浩气盟的运输小队出现了，大伙快前去接送到我方营地，盟主重重有赏！",szTarget="苏才寥",szNote="粮草先行·浩气牛车",col={100,100,255,},[14]={bCenterAlarm=true,},tCountdown={{nClass=14,nIcon=15384,nFrame=7,szName="浩气·护送牛车",nTime=557,key="粮草先行·浩气盟",},},},</v>
      </c>
      <c r="O208" t="s">
        <v>5288</v>
      </c>
    </row>
    <row r="209" spans="1:18" x14ac:dyDescent="0.15">
      <c r="A209" t="s">
        <v>242</v>
      </c>
      <c r="B209">
        <v>35</v>
      </c>
      <c r="N209" t="str">
        <f t="shared" si="3"/>
        <v>},[35]={</v>
      </c>
    </row>
    <row r="210" spans="1:18" x14ac:dyDescent="0.15">
      <c r="C210" t="s">
        <v>5289</v>
      </c>
      <c r="D210" t="s">
        <v>5290</v>
      </c>
      <c r="N210" t="str">
        <f t="shared" si="3"/>
        <v>{szContent="不好，附近龙脉的守护灵被惊动了。",szTarget="源明雅",[14]={},tCountdown={{nClass=14,nIcon=4975,nFrame=5,szName="寻龙勘脉·地脉守护灵",nTime=55,key="寻龙勘脉窥天机·开启",},},},</v>
      </c>
      <c r="O210" t="s">
        <v>5291</v>
      </c>
    </row>
    <row r="211" spans="1:18" x14ac:dyDescent="0.15">
      <c r="C211" t="s">
        <v>5289</v>
      </c>
      <c r="D211" t="s">
        <v>5292</v>
      </c>
      <c r="N211" t="str">
        <f t="shared" si="3"/>
        <v>{szContent="我现在要使用这个水灵珠激活附近的地脉。",szTarget="源明雅",[14]={},tCountdown={{nClass=14,nIcon=4975,nFrame=5,szName="寻龙勘脉·开启",nTime=120,key="寻龙勘脉窥天机·开启",},},},</v>
      </c>
      <c r="O211" t="s">
        <v>5293</v>
      </c>
    </row>
    <row r="212" spans="1:18" x14ac:dyDescent="0.15">
      <c r="C212" t="s">
        <v>5289</v>
      </c>
      <c r="D212" t="s">
        <v>5294</v>
      </c>
      <c r="N212" t="str">
        <f t="shared" si="3"/>
        <v>{szContent="竟然能打败守护灵，你的身手不错。现在去下一个地点吧。",szTarget="源明雅",[14]={},tCountdown={{nClass=14,nIcon=4975,nFrame=5,szName="寻龙勘脉·成功+1",nTime=5,key="寻龙勘脉窥天机·开启",},},},</v>
      </c>
      <c r="O212" t="s">
        <v>5295</v>
      </c>
    </row>
    <row r="213" spans="1:18" x14ac:dyDescent="0.15">
      <c r="C213" t="s">
        <v>5289</v>
      </c>
      <c r="D213" t="s">
        <v>5296</v>
      </c>
      <c r="N213" t="str">
        <f t="shared" si="3"/>
        <v>{szContent="不好，水灵珠破裂了。我的幻身很快就会消失，快去下一个地点吧。",szTarget="源明雅",[14]={},tCountdown={{nClass=14,nIcon=4975,nFrame=5,szName="寻龙勘脉·水灵珠·破裂",nTime=10,key="寻龙勘脉窥天机·开启",},},},</v>
      </c>
      <c r="O213" t="s">
        <v>5297</v>
      </c>
    </row>
    <row r="214" spans="1:18" x14ac:dyDescent="0.15">
      <c r="C214" t="s">
        <v>5289</v>
      </c>
      <c r="D214" t="s">
        <v>5298</v>
      </c>
      <c r="N214" t="str">
        <f t="shared" si="3"/>
        <v>{szContent="今天就到此为止吧，有劳了。",szTarget="源明雅",[14]={},tCountdown={{nClass=14,nIcon=4975,nFrame=5,szName="寻龙勘脉·任务完成",nTime=10,key="寻龙勘脉窥天机·开启",},},},</v>
      </c>
      <c r="O214" t="s">
        <v>5299</v>
      </c>
    </row>
    <row r="215" spans="1:18" x14ac:dyDescent="0.15">
      <c r="C215" t="s">
        <v>5300</v>
      </c>
      <c r="D215" t="s">
        <v>5301</v>
      </c>
      <c r="N215" t="str">
        <f t="shared" si="3"/>
        <v>{szContent="那个东瀛的小子你给我出来，带着人在我十二连环坞的地头上装神弄鬼，搞什么呢，弟兄们，砸了他们的场子！",szTarget="宇文画",[14]={},tCountdown={{nClass=14,nIcon=4891,nFrame=5,szName="宇文画·已刷新",nTime=10,key="宇文画·刷新",},},},</v>
      </c>
      <c r="O215" t="s">
        <v>5302</v>
      </c>
    </row>
    <row r="216" spans="1:18" x14ac:dyDescent="0.15">
      <c r="C216" t="s">
        <v>5300</v>
      </c>
      <c r="D216" t="s">
        <v>5303</v>
      </c>
      <c r="N216" t="str">
        <f t="shared" si="3"/>
        <v>{szContent="哼，东瀛的小子，算你们狠，弟兄们，我们撤！",szTarget="宇文画",[14]={},tCountdown={{nClass=14,nIcon=4891,nFrame=5,szName="宇文画·已击退",nTime=10,key="宇文画·刷新",},},},</v>
      </c>
      <c r="O216" t="s">
        <v>5304</v>
      </c>
    </row>
    <row r="217" spans="1:18" x14ac:dyDescent="0.15">
      <c r="A217" t="s">
        <v>734</v>
      </c>
      <c r="B217">
        <v>49</v>
      </c>
      <c r="N217" t="str">
        <f t="shared" si="3"/>
        <v>},[49]={</v>
      </c>
    </row>
    <row r="218" spans="1:18" x14ac:dyDescent="0.15">
      <c r="C218" t="s">
        <v>5305</v>
      </c>
      <c r="D218" t="s">
        <v>5306</v>
      </c>
      <c r="N218" t="str">
        <f t="shared" si="3"/>
        <v>{szContent="众弟子，随我迎敌！",szTarget="叶凡",[14]={},tCountdown={{nClass=14,nIcon=17135,nFrame=3,szName="门派事件2·抵御狼牙·慕容枯",nTime=10,key="门派事件1",},},},</v>
      </c>
      <c r="O218" t="s">
        <v>5307</v>
      </c>
    </row>
    <row r="219" spans="1:18" x14ac:dyDescent="0.15">
      <c r="C219" t="s">
        <v>5308</v>
      </c>
      <c r="D219" t="s">
        <v>5309</v>
      </c>
      <c r="N219" t="str">
        <f t="shared" si="3"/>
        <v>{szContent="大胆狂徒！今日天下英雄尽聚于此，尔等焉敢猖狂，众弟子迎敌！",szTarget="叶炜",[14]={},tCountdown={{nClass=20,nIcon=17135,nFrame=3,szName="门派事件1·名剑新生·开启",nTime=10,key="门派事件1",},},},</v>
      </c>
      <c r="O219" t="s">
        <v>5310</v>
      </c>
    </row>
    <row r="220" spans="1:18" x14ac:dyDescent="0.15">
      <c r="C220" t="s">
        <v>5311</v>
      </c>
      <c r="D220" t="s">
        <v>5312</v>
      </c>
      <c r="N220" t="str">
        <f t="shared" si="3"/>
        <v>{szContent="都来了？也好，让我领教领教藏剑山庄的绝技。",szTarget="慕容古",[14]={},tCountdown={{nClass=14,nIcon=17135,nFrame=3,szName="门派事件2·以贼试剑·慕容枯",nTime=10,key="门派事件2",},},},</v>
      </c>
      <c r="O220" t="s">
        <v>5313</v>
      </c>
    </row>
    <row r="221" spans="1:18" x14ac:dyDescent="0.15">
      <c r="C221" t="s">
        <v>5311</v>
      </c>
      <c r="D221" t="s">
        <v>5314</v>
      </c>
      <c r="N221" t="str">
        <f t="shared" si="3"/>
        <v>{szContent="这是……什么剑法……",szTarget="慕容古",[14]={},tCountdown={{nClass=20,nIcon=17135,nFrame=3,szName="门派事件2·以贼试剑·结束",nTime=5,key="门派事件2",},},},</v>
      </c>
      <c r="O221" t="s">
        <v>5315</v>
      </c>
    </row>
    <row r="222" spans="1:18" x14ac:dyDescent="0.15">
      <c r="D222" t="s">
        <v>5034</v>
      </c>
      <c r="E222" t="s">
        <v>5316</v>
      </c>
      <c r="N222" t="str">
        <f t="shared" si="3"/>
        <v>{szContent="宠物已成功添加。",szNote="宠物奇遇·烟花戏·秋·瑞瑞",[14]={},tCountdown={{nClass=14,nIcon=17135,nFrame=0,szName="奇遇提示0",nTime=0,key="奇遇提示0",},{nClass=14,nIcon=17135,nFrame=7,szName="奇遇提示1",nTime=0,key="奇遇提示1",},{nClass=14,nIcon=17135,nFrame=7,szName="奇遇提示2",nTime=0,key="奇遇提示2",},{nClass=14,nIcon=17135,nFrame=7,szName="奇遇提示3",nTime=0,key="奇遇提示3",},},},</v>
      </c>
      <c r="O222" t="s">
        <v>5035</v>
      </c>
      <c r="P222" t="s">
        <v>4786</v>
      </c>
      <c r="Q222" t="s">
        <v>4787</v>
      </c>
      <c r="R222" t="s">
        <v>4788</v>
      </c>
    </row>
    <row r="223" spans="1:18" x14ac:dyDescent="0.15">
      <c r="A223" t="s">
        <v>756</v>
      </c>
      <c r="B223">
        <v>74</v>
      </c>
      <c r="N223" t="str">
        <f t="shared" si="3"/>
        <v>},[74]={</v>
      </c>
    </row>
    <row r="224" spans="1:18" x14ac:dyDescent="0.15">
      <c r="D224" t="s">
        <v>5317</v>
      </c>
      <c r="N224" t="str">
        <f t="shared" si="3"/>
        <v>{szContent="唱晚池旁的李霖好像有事在找你。",[14]={},tCountdown={{nClass=14,nIcon=17135,nFrame=0,szName="奇遇·炼狱水煮鱼·改良",nTime=20,key="炼狱水煮鱼·改良1",},{nClass=14,nIcon=17135,nFrame=0,szName="唱晚池旁·李霖",nTime=20,key="炼狱水煮鱼·改良2",},{nClass=14,nIcon=17135,nFrame=0,szName="需要准备·今朝醉·1个",nTime=20,key="炼狱水煮鱼·改良3",},},},</v>
      </c>
      <c r="O224" t="s">
        <v>5318</v>
      </c>
      <c r="P224" t="s">
        <v>5319</v>
      </c>
      <c r="Q224" t="s">
        <v>5320</v>
      </c>
    </row>
    <row r="225" spans="1:20" x14ac:dyDescent="0.15">
      <c r="A225" t="s">
        <v>759</v>
      </c>
      <c r="B225">
        <v>101</v>
      </c>
      <c r="N225" t="str">
        <f t="shared" si="3"/>
        <v>},[101]={</v>
      </c>
    </row>
    <row r="226" spans="1:20" x14ac:dyDescent="0.15">
      <c r="C226" t="s">
        <v>5321</v>
      </c>
      <c r="D226" t="s">
        <v>5322</v>
      </c>
      <c r="N226" t="str">
        <f t="shared" si="3"/>
        <v>{szContent="真好吃！",szTarget="沈笑颜",[14]={},tCountdown={{nClass=14,nIcon=17135,nFrame=0,szName="奇遇提示0",nTime="5,恭喜触发·竹马情·弈棋小龟;15,奇遇不封印·约10分钟完成;30,1.对话·沈笑颜;120,2.归林泽上括号一个闪闪发光的物件;180,3.返回归林泽·沈笑颜;240,4.万宝阁下括号·万福;300,5.南冥谷上括号左·向万景;360,6.万宝阁下括号右下·向万景;480,7.返回归林泽·沈笑颜·结束",nRefresh=0,key="奇遇提示0",},{nClass=14,nIcon=17135,nFrame=7,szName="对话·沈笑颜",nTime=600,key="奇遇提示1",},{nClass=14,nIcon=17135,nFrame=7,szName="归林泽上·一个闪闪发光的物件",nTime=600,key="奇遇提示2",},{nClass=14,nIcon=17135,nFrame=7,szName="返回·沈笑颜·万宝阁下·万福",nTime=600,key="奇遇提示3",},{nClass=14,nIcon=17135,nFrame=7,szName="前往·南冥谷左·向万景",nTime=600,key="奇遇提示4",},{nClass=14,nIcon=17135,nFrame=7,szName="前往·万宝阁右下·向万景",nTime=600,key="奇遇提示5",},},},</v>
      </c>
      <c r="O226" t="s">
        <v>5323</v>
      </c>
      <c r="P226" t="s">
        <v>5324</v>
      </c>
      <c r="Q226" t="s">
        <v>5325</v>
      </c>
      <c r="R226" t="s">
        <v>5326</v>
      </c>
      <c r="S226" t="s">
        <v>5327</v>
      </c>
      <c r="T226" t="s">
        <v>5328</v>
      </c>
    </row>
    <row r="227" spans="1:20" x14ac:dyDescent="0.15">
      <c r="C227" t="s">
        <v>5329</v>
      </c>
      <c r="D227" t="s">
        <v>5330</v>
      </c>
      <c r="N227" t="str">
        <f t="shared" si="3"/>
        <v>{szContent="果果，快来快来，快看我给你带了什么。",szTarget="向万景",[14]={},tCountdown={{nClass=14,nIcon=17135,nFrame=0,szName="奇遇提示0",nTime="60,等待剧情·对话·向万景;300,返回归林泽·沈笑颜·结束",key="奇遇提示0",},{nClass=14,nIcon=17135,nFrame=7,szName="等待剧情·对话·向万景",nTime=60,key="奇遇提示1",},{nClass=14,nIcon=17135,nFrame=7,szName="奇遇提示2",nTime=0,key="奇遇提示2",},{nClass=14,nIcon=17135,nFrame=7,szName="奇遇提示3",nTime=0,key="奇遇提示3",},{nClass=14,nIcon=17135,nFrame=7,szName="奇遇提示4",nTime=0,key="奇遇提示4",},{nClass=14,nIcon=17135,nFrame=7,szName="奇遇提示5",nTime=0,key="奇遇提示5",},},},</v>
      </c>
      <c r="O227" t="s">
        <v>5331</v>
      </c>
      <c r="P227" t="s">
        <v>5332</v>
      </c>
      <c r="Q227" t="s">
        <v>4787</v>
      </c>
      <c r="R227" t="s">
        <v>4788</v>
      </c>
      <c r="S227" t="s">
        <v>5036</v>
      </c>
      <c r="T227" t="s">
        <v>5037</v>
      </c>
    </row>
    <row r="228" spans="1:20" x14ac:dyDescent="0.15">
      <c r="C228" t="s">
        <v>5329</v>
      </c>
      <c r="D228" t="s">
        <v>5333</v>
      </c>
      <c r="N228" t="str">
        <f t="shared" si="3"/>
        <v>{szContent="原来只要这样，那这两样东西我立刻就去还了。",szTarget="向万景",[14]={},tCountdown={{nClass=14,nIcon=17135,nFrame=7,szName="返回归林泽·沈笑颜·结束",nTime=240,key="奇遇提示1",},},},</v>
      </c>
      <c r="O228" t="s">
        <v>5334</v>
      </c>
    </row>
    <row r="229" spans="1:20" x14ac:dyDescent="0.15">
      <c r="D229" t="s">
        <v>5034</v>
      </c>
      <c r="N229" t="str">
        <f t="shared" si="3"/>
        <v>{szContent="宠物已成功添加。",[14]={},tCountdown={{nClass=14,nIcon=17135,nFrame=0,szName="奇遇提示0",nTime=0,key="奇遇提示0",},{nClass=14,nIcon=17135,nFrame=7,szName="奇遇提示1",nTime=0,key="奇遇提示1",},},},</v>
      </c>
      <c r="O229" t="s">
        <v>5035</v>
      </c>
      <c r="P229" t="s">
        <v>4786</v>
      </c>
    </row>
    <row r="230" spans="1:20" x14ac:dyDescent="0.15">
      <c r="A230" t="s">
        <v>760</v>
      </c>
      <c r="B230">
        <v>102</v>
      </c>
      <c r="N230" t="str">
        <f t="shared" si="3"/>
        <v>},[102]={</v>
      </c>
    </row>
    <row r="231" spans="1:20" x14ac:dyDescent="0.15">
      <c r="C231" t="s">
        <v>5335</v>
      </c>
      <c r="D231" t="s">
        <v>5336</v>
      </c>
      <c r="N231" t="str">
        <f t="shared" si="3"/>
        <v>{szContent="我们不是这女人的对手,请侠士们出手相助!",szTarget="苗民卫兵",[14]={},tCountdown={{nClass=14,nIcon=17135,nFrame=3,szName="门派事件1·圣兽潭·天一阴谋",nTime=10,nRefresh=120,key="门派事件1",},},},</v>
      </c>
      <c r="O231" t="s">
        <v>5337</v>
      </c>
    </row>
    <row r="232" spans="1:20" x14ac:dyDescent="0.15">
      <c r="C232" t="s">
        <v>5338</v>
      </c>
      <c r="D232" t="s">
        <v>5339</v>
      </c>
      <c r="N232" t="str">
        <f t="shared" si="3"/>
        <v>{szContent="这次多亏了侠士们及时赶到，才使我教免于一场劫难。",szTarget="曲云",[14]={},tCountdown={{nClass=14,nIcon=17135,nFrame=3,szName="门派事件1·天一阴谋·结束",nTime=5,nRefresh=120,key="门派事件1",},},},</v>
      </c>
      <c r="O232" t="s">
        <v>5340</v>
      </c>
    </row>
    <row r="233" spans="1:20" x14ac:dyDescent="0.15">
      <c r="C233" t="s">
        <v>5338</v>
      </c>
      <c r="D233" t="s">
        <v>5341</v>
      </c>
      <c r="N233" t="str">
        <f t="shared" si="3"/>
        <v>{szContent="圣兽潭附近还有残余血蚊，望侠士们帮忙清理，此刻我还需带孙飞亮回总坛疗伤。",szTarget="曲云",[14]={},tCountdown={{nClass=14,nIcon=17135,nFrame=3,szName="门派事件2·圣兽潭·清除剩余血蚊",nTime=10,nRefresh=120,key="门派事件1",},},},</v>
      </c>
      <c r="O233" t="s">
        <v>5342</v>
      </c>
    </row>
    <row r="234" spans="1:20" x14ac:dyDescent="0.15">
      <c r="C234" t="s">
        <v>5343</v>
      </c>
      <c r="D234" t="s">
        <v>5344</v>
      </c>
      <c r="N234" t="str">
        <f t="shared" si="3"/>
        <v>{szContent="玛索师姐已去炼制血蚊丹，炼成后可以引走金虎，望众侠士相助五毒教，抵挡这植兽！",szTarget="五毒大师兄",[14]={},tCountdown={{nClass=20,nIcon=17135,nFrame=0,szName="门派事件1·五毒总坛·噬魂金虎",nTime=10,key="门派事件1",},},},</v>
      </c>
      <c r="O234" t="s">
        <v>5345</v>
      </c>
    </row>
    <row r="235" spans="1:20" x14ac:dyDescent="0.15">
      <c r="C235" t="s">
        <v>5346</v>
      </c>
      <c r="D235" t="s">
        <v>5347</v>
      </c>
      <c r="N235" t="str">
        <f t="shared" si="3"/>
        <v>{szContent="多亏侠士们拼死抵挡这植兽，刚才我用昨日侠士击杀血蚊炼成血蚊丹，已命教内轻功拔尖的教众携带这丹药向天一教老巢赶去。",szTarget="玛索",[14]={},tCountdown={{nClass=20,nIcon=17135,nFrame=0,szName="门派事件1·噬魂金虎·结束",nTime=5,key="门派事件1",},},},</v>
      </c>
      <c r="O235" t="s">
        <v>5348</v>
      </c>
    </row>
    <row r="236" spans="1:20" x14ac:dyDescent="0.15">
      <c r="C236" t="s">
        <v>5346</v>
      </c>
      <c r="D236" t="s">
        <v>5349</v>
      </c>
      <c r="N236" t="str">
        <f t="shared" si="3"/>
        <v>{szContent="我还要前去天一老巢打探一番，不要让我教众被这噬魂金虎误伤，告辞了！",szTarget="玛索",[14]={},tCountdown={{nClass=20,nIcon=17135,nFrame=0,szName="门派事件2·五毒总坛·清除剩余血蚊",nTime=10,nRefresh=120,key="门派事件2",},},},</v>
      </c>
      <c r="O236" t="s">
        <v>5350</v>
      </c>
    </row>
    <row r="237" spans="1:20" x14ac:dyDescent="0.15">
      <c r="C237" t="s">
        <v>5351</v>
      </c>
      <c r="D237" t="s">
        <v>5352</v>
      </c>
      <c r="N237" t="str">
        <f t="shared" si="3"/>
        <v>{szContent="一件虽然不贵重但有特殊意义的饰品。",szTarget="苗淼尔",[14]={},tCountdown={{nClass=14,nIcon=17135,nFrame=0,szName="奇遇提示0",nTime="5,恭喜触发·滇南行;15,奇遇不封印·全程5-10分钟;60,1.圣兽潭左上·小土堆;90,1.拾取·脏兮兮的纸条;120,1.返回·苗淼尔;180,2.溪山渡上方·小土堆;210,2.拾取·脏脏的衣角;240,2.返回·苗淼尔;270,3.幽魂草泽·乌苏;300,3.幽魂草泽·寻找·换颜草;360,3.返回·乌苏;390,4.被打晕后·对话·苗淼尔;400,结束·滇南行",key="奇遇提示0",},{nClass=14,nIcon=17135,nFrame=7,szName="1.圣兽潭左上·小土堆·返回",nTime=60,key="奇遇提示1",},{nClass=14,nIcon=17135,nFrame=7,szName="2.溪山渡上方·小土堆·返回",nTime=60,key="奇遇提示2",},{nClass=14,nIcon=17135,nFrame=7,szName="3.幽魂草泽·乌苏·换颜草",nTime=60,key="奇遇提示3",},{nClass=14,nIcon=17135,nFrame=7,szName="4.返回·乌苏·对话·苗淼尔",nTime=60,key="奇遇提示4",},},},</v>
      </c>
      <c r="O237" t="s">
        <v>5353</v>
      </c>
      <c r="P237" t="s">
        <v>5354</v>
      </c>
      <c r="Q237" t="s">
        <v>5355</v>
      </c>
      <c r="R237" t="s">
        <v>5356</v>
      </c>
      <c r="S237" t="s">
        <v>5357</v>
      </c>
    </row>
    <row r="238" spans="1:20" x14ac:dyDescent="0.15">
      <c r="D238" t="s">
        <v>5358</v>
      </c>
      <c r="N238" t="str">
        <f t="shared" si="3"/>
        <v>{szContent="你已经挖掘过这个土堆了",[14]={},},</v>
      </c>
    </row>
    <row r="239" spans="1:20" x14ac:dyDescent="0.15">
      <c r="A239" t="s">
        <v>766</v>
      </c>
      <c r="B239">
        <v>108</v>
      </c>
      <c r="N239" t="str">
        <f t="shared" si="3"/>
        <v>},[108]={</v>
      </c>
    </row>
    <row r="240" spans="1:20" x14ac:dyDescent="0.15">
      <c r="D240" t="s">
        <v>4966</v>
      </c>
      <c r="H240">
        <v>1</v>
      </c>
      <c r="N240" t="str">
        <f t="shared" si="3"/>
        <v>{szContent="本轮得分为(%d-)分",bReg=true,[14]={},tCountdown={{nClass=14,nIcon=17135,nFrame=7,szName="本轮得分·{$1}",nTime=60,nRefresh=11,key="断线的风筝",},},},</v>
      </c>
      <c r="O240" t="s">
        <v>4967</v>
      </c>
    </row>
    <row r="241" spans="1:16" x14ac:dyDescent="0.15">
      <c r="C241" t="s">
        <v>2359</v>
      </c>
      <c r="D241" t="s">
        <v>5359</v>
      </c>
      <c r="E241" t="s">
        <v>497</v>
      </c>
      <c r="N241" t="str">
        <f t="shared" si="3"/>
        <v>{szContent="扛下了所有啊……",szTarget="木桩",szNote="白日梦",[14]={},tCountdown={{nClass=14,nIcon=17135,nFrame=6,bHold=true,szName="再次对话·木桩",nTime=300,key="奇遇提示2",},{nClass=14,nIcon=17135,nFrame=6,bHold=true,szName="对话完成·回到家园·裴草",nTime=300,key="奇遇提示3",},},},</v>
      </c>
      <c r="O241" t="s">
        <v>5360</v>
      </c>
      <c r="P241" t="s">
        <v>4983</v>
      </c>
    </row>
    <row r="242" spans="1:16" x14ac:dyDescent="0.15">
      <c r="D242" t="s">
        <v>4899</v>
      </c>
      <c r="E242" t="s">
        <v>497</v>
      </c>
      <c r="N242" t="str">
        <f t="shared" si="3"/>
        <v>{szContent="还未到达指定地点！",szNote="白日梦",[14]={},tCountdown={{nClass=14,nIcon=17135,nFrame=7,bHold=true,szName="极境木桩·使用·游梦仙枕",nTime=300,key="奇遇提示3",},},},</v>
      </c>
      <c r="O242" t="s">
        <v>5361</v>
      </c>
    </row>
    <row r="243" spans="1:16" x14ac:dyDescent="0.15">
      <c r="A243" t="s">
        <v>244</v>
      </c>
      <c r="B243">
        <v>122</v>
      </c>
      <c r="N243" t="str">
        <f t="shared" si="3"/>
        <v>},[122]={</v>
      </c>
    </row>
    <row r="244" spans="1:16" x14ac:dyDescent="0.15">
      <c r="C244" t="s">
        <v>5362</v>
      </c>
      <c r="D244" t="s">
        <v>5363</v>
      </c>
      <c r="N244" t="str">
        <f t="shared" si="3"/>
        <v>{szContent="无乐，过几年我也懒得再管你的事了，你自己好自为之。",szTarget="唐无寻",[14]={},tCountdown={{nClass=20,nIcon=17135,nFrame=3,szName="门派事件1·唐家堡·修复机甲",nTime=10,key="门派事件1",},},},</v>
      </c>
      <c r="O244" t="s">
        <v>5364</v>
      </c>
    </row>
    <row r="245" spans="1:16" x14ac:dyDescent="0.15">
      <c r="C245" t="s">
        <v>5362</v>
      </c>
      <c r="D245" t="s">
        <v>5365</v>
      </c>
      <c r="N245" t="str">
        <f t="shared" si="3"/>
        <v>{szContent="无乐，我方制造的机甲已成型，你可莫要逃了。",szTarget="唐无寻",[14]={},tCountdown={{nClass=20,nIcon=17135,nFrame=3,szName="门派事件1·修复机甲·结束",nTime=5,key="门派事件1",},},},</v>
      </c>
      <c r="O245" t="s">
        <v>5366</v>
      </c>
    </row>
    <row r="246" spans="1:16" x14ac:dyDescent="0.15">
      <c r="C246" t="s">
        <v>5362</v>
      </c>
      <c r="D246" t="s">
        <v>5367</v>
      </c>
      <c r="N246" t="str">
        <f t="shared" si="3"/>
        <v>{szContent="呵呵，大言不惭。胜负成败，就看此一战。上吧！",szTarget="唐无寻",[14]={},tCountdown={{nClass=20,nIcon=17135,nFrame=3,szName="门派事件2·唐家堡·机甲对决",nTime=10,key="门派事件2",},},},</v>
      </c>
      <c r="O246" t="s">
        <v>5368</v>
      </c>
    </row>
    <row r="247" spans="1:16" x14ac:dyDescent="0.15">
      <c r="C247" t="s">
        <v>5369</v>
      </c>
      <c r="D247" t="s">
        <v>5370</v>
      </c>
      <c r="N247" t="str">
        <f t="shared" si="3"/>
        <v>{szContent="竟是输你一成……没想到大哥你的机甲制造术又精进不少。",szTarget="唐无乐",[14]={},tCountdown={{nClass=20,nIcon=17135,nFrame=3,szName="门派事件2·机甲对决·结束",nTime=5,key="门派事件2",},},},</v>
      </c>
      <c r="O247" t="s">
        <v>5371</v>
      </c>
    </row>
    <row r="248" spans="1:16" x14ac:dyDescent="0.15">
      <c r="C248" t="s">
        <v>5362</v>
      </c>
      <c r="D248" t="s">
        <v>5372</v>
      </c>
      <c r="N248" t="str">
        <f t="shared" si="3"/>
        <v>{szContent="哼！诸位侠士请助我们护住机甲。",szTarget="唐无寻",[14]={},tCountdown={{nClass=20,nIcon=17135,nFrame=3,szName="门派事件1·唐家堡·对抗狼牙",nTime=10,key="门派事件1",},},},</v>
      </c>
      <c r="O248" t="s">
        <v>5373</v>
      </c>
    </row>
    <row r="249" spans="1:16" x14ac:dyDescent="0.15">
      <c r="C249" t="s">
        <v>5369</v>
      </c>
      <c r="D249" t="s">
        <v>5374</v>
      </c>
      <c r="N249" t="str">
        <f t="shared" si="3"/>
        <v>{szContent="好！多亏诸位侠士相助，机甲已经休整完毕，狼牙的末日到了！",szTarget="唐无乐",[14]={},tCountdown={{nClass=20,nIcon=17135,nFrame=3,szName="门派事件1·对抗狼牙·御敌·结束",nTime=5,key="门派事件1",},},},</v>
      </c>
      <c r="O249" t="s">
        <v>5375</v>
      </c>
    </row>
    <row r="250" spans="1:16" x14ac:dyDescent="0.15">
      <c r="C250" t="s">
        <v>5376</v>
      </c>
      <c r="D250" t="s">
        <v>5377</v>
      </c>
      <c r="N250" t="str">
        <f t="shared" si="3"/>
        <v>{szContent="看看是谁在说大话！",szTarget="跋野古寒",[14]={},tCountdown={{nClass=20,nIcon=17135,nFrame=3,szName="门派事件1·唐家堡·对抗狼牙·斩首",nTime=10,key="门派事件2",},},},</v>
      </c>
      <c r="O250" t="s">
        <v>5378</v>
      </c>
    </row>
    <row r="251" spans="1:16" x14ac:dyDescent="0.15">
      <c r="C251" t="s">
        <v>5362</v>
      </c>
      <c r="D251" t="s">
        <v>5379</v>
      </c>
      <c r="N251" t="str">
        <f t="shared" si="3"/>
        <v>{szContent="诸位侠士当心！机甲将会在十秒后自爆，唐门所属！准备撤！",szTarget="唐无寻",[14]={},tCountdown={{nClass=20,nIcon=17135,nFrame=3,szName="机甲自爆·远离",nTime=10,key="门派事件2·提示",},},},</v>
      </c>
      <c r="O251" t="s">
        <v>5380</v>
      </c>
    </row>
    <row r="252" spans="1:16" x14ac:dyDescent="0.15">
      <c r="C252" t="s">
        <v>5376</v>
      </c>
      <c r="D252" t="s">
        <v>5381</v>
      </c>
      <c r="N252" t="str">
        <f t="shared" si="3"/>
        <v>{szContent="啊，我不甘心啊。",szTarget="跋野古寒",[14]={},tCountdown={{nClass=20,nIcon=17135,nFrame=3,szName="门派事件2·对抗狼牙斩首·结束",nTime=5,key="门派事件2",},},},</v>
      </c>
      <c r="O252" t="s">
        <v>5382</v>
      </c>
    </row>
    <row r="253" spans="1:16" x14ac:dyDescent="0.15">
      <c r="A253" t="s">
        <v>793</v>
      </c>
      <c r="B253">
        <v>138</v>
      </c>
      <c r="N253" t="str">
        <f t="shared" si="3"/>
        <v>},[138]={</v>
      </c>
    </row>
    <row r="254" spans="1:16" x14ac:dyDescent="0.15">
      <c r="C254" t="s">
        <v>5383</v>
      </c>
      <c r="D254" t="s">
        <v>5384</v>
      </c>
      <c r="E254" t="s">
        <v>5385</v>
      </c>
      <c r="L254">
        <v>1</v>
      </c>
      <c r="N254" t="str">
        <f t="shared" si="3"/>
        <v>{szContent="是浩气盟的特使，门主已待各位多时，请随我前来。",szTarget="唐某",szNote="唐某·开剧情",[14]={bCenterAlarm=true,},tCountdown={{nClass=14,nIcon=13,nFrame=5,szName="交互·唐某·开剧情",nTime=10,key="剧情·提示1",},},},</v>
      </c>
      <c r="O254" t="s">
        <v>5386</v>
      </c>
    </row>
    <row r="255" spans="1:16" x14ac:dyDescent="0.15">
      <c r="A255" t="s">
        <v>245</v>
      </c>
      <c r="B255">
        <v>150</v>
      </c>
      <c r="N255" t="str">
        <f t="shared" si="3"/>
        <v>},[150]={</v>
      </c>
    </row>
    <row r="256" spans="1:16" x14ac:dyDescent="0.15">
      <c r="C256" t="s">
        <v>4887</v>
      </c>
      <c r="D256" t="s">
        <v>4888</v>
      </c>
      <c r="N256" t="str">
        <f t="shared" si="3"/>
        <v>{szContent="一起去哪玩？",szTarget="雪雪",[14]={},tCountdown={{nClass=14,nIcon=293,nFrame=5,szName="三生树找·NPC波斯猫",nTime=20,nRefresh=15,key="雪雪·旅行介绍1",},{nClass=14,nIcon=293,nFrame=5,szName="三生树东北找·两只贴贴的骆驼",nTime=20,nRefresh=15,key="雪雪·旅行介绍2",},},},</v>
      </c>
      <c r="O256" t="s">
        <v>5387</v>
      </c>
      <c r="P256" t="s">
        <v>5388</v>
      </c>
    </row>
    <row r="257" spans="1:15" x14ac:dyDescent="0.15">
      <c r="C257" t="s">
        <v>5389</v>
      </c>
      <c r="D257" t="s">
        <v>5390</v>
      </c>
      <c r="N257" t="str">
        <f t="shared" si="3"/>
        <v>{szContent="如此，我们就同心相祈，大会这便开始。",szTarget="陆烟儿",[14]={},tCountdown={{nClass=20,nIcon=17135,nFrame=0,szName="门派事件1·圣墓山·明尊大典·祈",nTime=20,key="门派事件1",},},},</v>
      </c>
      <c r="O257" t="s">
        <v>5391</v>
      </c>
    </row>
    <row r="258" spans="1:15" x14ac:dyDescent="0.15">
      <c r="C258" t="s">
        <v>5392</v>
      </c>
      <c r="D258" t="s">
        <v>5393</v>
      </c>
      <c r="N258" t="str">
        <f t="shared" ref="N258:N321" si="4">IF(ISBLANK(B258)=FALSE,IF(ISBLANK(B257),"},["&amp;B258&amp;"]={","["&amp;B258&amp;"]={"),IF(AND(ISBLANK(B258),ISBLANK(D258),ISBLANK(G258),ISBLANK(H258),OR(ISBLANK(B257)=FALSE,ISBLANK(D257)=FALSE,ISBLANK(G257)=FALSE,ISBLANK(H257)=FALSE)),"},},}",IF(ISBLANK(D258),"","{szContent="""&amp;D258&amp;""","&amp;IF(C258&lt;&gt;"","szTarget="""&amp;C258&amp;""",","")&amp;IF(E258&lt;&gt;"","szNote="""&amp;E258&amp;""",","")&amp;IF(F258&lt;&gt;"","col={"&amp;F258&amp;"},","")&amp;IF(G258&gt;0,"bSearch=true,","")&amp;IF(H258&gt;0,"bReg=true,","")&amp;"[14]={"&amp;IF(I258&gt;0,"szVoice="""&amp;I258&amp;""",","")&amp;IF(J258&gt;0,"bTeamChannel=true,","")&amp;IF(K258&gt;0,"bWhisperChannel=true,","")&amp;IF(L258&gt;0,"bCenterAlarm=true,","")&amp;IF(M258&gt;0,"bScreenHead=true,","")&amp;"},"&amp;IF(O258&lt;&gt;"","tCountdown={"&amp;_xlfn.TEXTJOIN("",TRUE,O258:ZZ258)&amp;"},","")&amp;"},")))</f>
        <v>{szContent="杀掉那些中原人！！",szTarget="宫觥",[14]={},tCountdown={{nClass=20,nIcon=17135,nFrame=3,szName="门派事件2·圣墓山·宫觥",nTime=10,key="门派事件2",},},},</v>
      </c>
      <c r="O258" t="s">
        <v>5394</v>
      </c>
    </row>
    <row r="259" spans="1:15" x14ac:dyDescent="0.15">
      <c r="C259" t="s">
        <v>5395</v>
      </c>
      <c r="D259" t="s">
        <v>5396</v>
      </c>
      <c r="N259" t="str">
        <f t="shared" si="4"/>
        <v>{szContent="恐怕今日来的只是红衣教先遣教徒，明日还会有一场大战。",szTarget="丁君",[14]={},tCountdown={{nClass=20,nIcon=17135,nFrame=3,szName="门派事件2·宫觥·结束",nTime=5,key="门派事件2",},},},</v>
      </c>
      <c r="O259" t="s">
        <v>5397</v>
      </c>
    </row>
    <row r="260" spans="1:15" x14ac:dyDescent="0.15">
      <c r="C260" t="s">
        <v>5389</v>
      </c>
      <c r="D260" t="s">
        <v>5398</v>
      </c>
      <c r="N260" t="str">
        <f t="shared" si="4"/>
        <v>{szContent="果然不出所料，红衣教昨日只是派出刺客先行，捣乱祈愿大会。",szTarget="陆烟儿",[14]={},tCountdown={{nClass=20,nIcon=17135,nFrame=3,szName="门派事件1·三生树·血染红衣",nTime=10,key="门派事件1",},},},</v>
      </c>
      <c r="O260" t="s">
        <v>5399</v>
      </c>
    </row>
    <row r="261" spans="1:15" x14ac:dyDescent="0.15">
      <c r="C261" t="s">
        <v>5389</v>
      </c>
      <c r="D261" t="s">
        <v>5400</v>
      </c>
      <c r="N261" t="str">
        <f t="shared" si="4"/>
        <v>{szContent="红衣教徒已尽数消灭，多谢各位侠士仗义援手！",szTarget="陆烟儿",[14]={},tCountdown={{nClass=20,nIcon=17135,nFrame=3,szName="门派事件1·血染红衣·结束",nTime=5,key="门派事件1",},},},</v>
      </c>
      <c r="O261" t="s">
        <v>5401</v>
      </c>
    </row>
    <row r="262" spans="1:15" x14ac:dyDescent="0.15">
      <c r="D262" t="s">
        <v>5402</v>
      </c>
      <c r="N262" t="str">
        <f t="shared" si="4"/>
        <v>{szContent="老伯似乎还有事相求。",[14]={},tCountdown={{nClass=14,nIcon=17135,nFrame=6,szName="对话·赫连别月·前往地图左下角",nTime=60,key="任务·提示1",},},},</v>
      </c>
      <c r="O262" t="s">
        <v>5403</v>
      </c>
    </row>
    <row r="263" spans="1:15" x14ac:dyDescent="0.15">
      <c r="D263" t="s">
        <v>5404</v>
      </c>
      <c r="N263" t="str">
        <f t="shared" si="4"/>
        <v>{szContent="老伯似乎心神不宁，回家里陪他一下吧。",[14]={},tCountdown={{nClass=14,nIcon=17135,nFrame=6,szName="返回·赫连别月·家里·继续对话",nTime=60,key="任务·提示1",},},},</v>
      </c>
      <c r="O263" t="s">
        <v>5405</v>
      </c>
    </row>
    <row r="264" spans="1:15" x14ac:dyDescent="0.15">
      <c r="C264" t="s">
        <v>5406</v>
      </c>
      <c r="D264" t="s">
        <v>5407</v>
      </c>
      <c r="N264" t="str">
        <f t="shared" si="4"/>
        <v>{szContent="谢谢你吉言。",szTarget="赫连别月",[14]={},tCountdown={{nClass=14,nIcon=17135,nFrame=6,szName="等等看·赫连鹰扬·是否回家",nTime=20,key="任务·提示1",},},},</v>
      </c>
      <c r="O264" t="s">
        <v>5408</v>
      </c>
    </row>
    <row r="265" spans="1:15" x14ac:dyDescent="0.15">
      <c r="C265" t="s">
        <v>5409</v>
      </c>
      <c r="D265" t="s">
        <v>5410</v>
      </c>
      <c r="N265" t="str">
        <f t="shared" si="4"/>
        <v>{szContent="我，回来了。",szTarget="赫连鹰扬",[14]={},tCountdown={{nClass=14,nIcon=17135,nFrame=6,szName="赫连鹰扬·回家了",nTime=10,key="任务·提示1",},},},</v>
      </c>
      <c r="O265" t="s">
        <v>5411</v>
      </c>
    </row>
    <row r="266" spans="1:15" x14ac:dyDescent="0.15">
      <c r="A266" t="s">
        <v>801</v>
      </c>
      <c r="B266">
        <v>151</v>
      </c>
      <c r="N266" t="str">
        <f t="shared" si="4"/>
        <v>},[151]={</v>
      </c>
    </row>
    <row r="267" spans="1:15" x14ac:dyDescent="0.15">
      <c r="C267" t="s">
        <v>5412</v>
      </c>
      <c r="D267" t="s">
        <v>5413</v>
      </c>
      <c r="N267" t="str">
        <f t="shared" si="4"/>
        <v>{szContent="来者可是藏剑的叶凡叶五少爷？果然大家之子，气度不凡。叶家五少真是名不虚传啊。",szTarget="曹炎烈",[14]={},tCountdown={{nClass=14,nIcon=17135,nFrame=3,szName="曹炎烈·激活剩余",nTime=102,key="公共事件2",},},},</v>
      </c>
      <c r="O267" t="s">
        <v>5414</v>
      </c>
    </row>
    <row r="268" spans="1:15" x14ac:dyDescent="0.15">
      <c r="C268" t="s">
        <v>5412</v>
      </c>
      <c r="D268" t="s">
        <v>5415</v>
      </c>
      <c r="N268" t="str">
        <f t="shared" si="4"/>
        <v>{szContent="可惜可惜！",szTarget="曹炎烈",[14]={},tCountdown={{nClass=14,nIcon=17135,nFrame=3,szName="曹炎烈·免死剩余",nTime=300,key="公共事件2",},},},</v>
      </c>
      <c r="O268" t="s">
        <v>5416</v>
      </c>
    </row>
    <row r="269" spans="1:15" x14ac:dyDescent="0.15">
      <c r="C269" t="s">
        <v>5305</v>
      </c>
      <c r="D269" t="s">
        <v>5417</v>
      </c>
      <c r="N269" t="str">
        <f t="shared" si="4"/>
        <v>{szContent="你已招架不住，还不束手就擒？",szTarget="叶凡",[14]={},tCountdown={{nClass=14,nIcon=17135,nFrame=3,szName="曹炎烈·已击退",nTime=5,key="公共事件2",},},},</v>
      </c>
      <c r="O269" t="s">
        <v>5418</v>
      </c>
    </row>
    <row r="270" spans="1:15" x14ac:dyDescent="0.15">
      <c r="C270" t="s">
        <v>5419</v>
      </c>
      <c r="D270" t="s">
        <v>5420</v>
      </c>
      <c r="N270" t="str">
        <f t="shared" si="4"/>
        <v>{szContent="多谢诸位侠士护送，我们在此稍作整顿即可自行前往目的地了。",szTarget="藏剑弟子",[14]={},tCountdown={{nClass=14,nIcon=17135,nFrame=3,szName="公共事件1·护卫除追兵·结束",nTime=5,key="公共事件1",},},},</v>
      </c>
      <c r="O270" t="s">
        <v>5421</v>
      </c>
    </row>
    <row r="271" spans="1:15" x14ac:dyDescent="0.15">
      <c r="C271" t="s">
        <v>5422</v>
      </c>
      <c r="D271" t="s">
        <v>5420</v>
      </c>
      <c r="N271" t="str">
        <f t="shared" si="4"/>
        <v>{szContent="多谢诸位侠士护送，我们在此稍作整顿即可自行前往目的地了。",szTarget="高级藏剑弟子",[14]={},tCountdown={{nClass=14,nIcon=17135,nFrame=3,szName="公共事件1·护卫除追兵·结束",nTime=5,key="公共事件1",},},},</v>
      </c>
      <c r="O271" t="s">
        <v>5421</v>
      </c>
    </row>
    <row r="272" spans="1:15" x14ac:dyDescent="0.15">
      <c r="D272" t="s">
        <v>5423</v>
      </c>
      <c r="N272" t="str">
        <f t="shared" si="4"/>
        <v>{szContent="你获得了事件【护送除追兵】的奖励。",[14]={},tCountdown={{nClass=14,nIcon=17135,nFrame=3,szName="公共事件1·护卫除追兵·结束",nTime=5,key="公共事件1",},},},</v>
      </c>
      <c r="O272" t="s">
        <v>5421</v>
      </c>
    </row>
    <row r="273" spans="1:18" x14ac:dyDescent="0.15">
      <c r="C273" t="s">
        <v>5424</v>
      </c>
      <c r="D273" t="s">
        <v>5425</v>
      </c>
      <c r="N273" t="str">
        <f t="shared" si="4"/>
        <v>{szContent="啊……",szTarget="求助的流民",[14]={},tCountdown={{nClass=14,nIcon=17135,nFrame=0,szName="成就·心慈手软·放走妇人",nTime=15.3,key="茶馆·成就",},},},</v>
      </c>
      <c r="O273" t="s">
        <v>5426</v>
      </c>
    </row>
    <row r="274" spans="1:18" x14ac:dyDescent="0.15">
      <c r="C274" t="s">
        <v>5424</v>
      </c>
      <c r="D274" t="s">
        <v>5427</v>
      </c>
      <c r="N274" t="str">
        <f t="shared" si="4"/>
        <v>{szContent="多谢大侠饶命！多谢大侠饶命！",szTarget="求助的流民",[14]={},tCountdown={{nClass=14,nIcon=17135,nFrame=0,szName="成就·心慈手软·放走妇人",nTime=0,key="茶馆·成就",},},},</v>
      </c>
      <c r="O274" t="s">
        <v>5428</v>
      </c>
    </row>
    <row r="275" spans="1:18" x14ac:dyDescent="0.15">
      <c r="C275" t="s">
        <v>4118</v>
      </c>
      <c r="D275" t="s">
        <v>5429</v>
      </c>
      <c r="N275" t="str">
        <f t="shared" si="4"/>
        <v>{szContent="我不怕，娘说那些狼不会咬我！",szTarget="苏恨林",[14]={},tCountdown={{nClass=14,nIcon=17135,nFrame=5,szName="任务提示1",nTime=0,key="任务提示1",},},},</v>
      </c>
      <c r="O275" t="s">
        <v>5430</v>
      </c>
    </row>
    <row r="276" spans="1:18" x14ac:dyDescent="0.15">
      <c r="C276" t="s">
        <v>5431</v>
      </c>
      <c r="D276" t="s">
        <v>5432</v>
      </c>
      <c r="N276" t="str">
        <f t="shared" si="4"/>
        <v>{szContent="茶馆这么多人，要找谁打听呢……",szTarget="阎规",[14]={},tCountdown={{nClass=20,nIcon=17135,nFrame=7,bHold=true,szName="洛阳·战乱·洛阳城门",nTime=600,key="奇遇提示2",},{nClass=20,nIcon=17135,nFrame=7,bHold=true,szName="茶馆附近·对话·神秘人",nTime=600,key="奇遇提示3",},},},</v>
      </c>
      <c r="O276" t="s">
        <v>5433</v>
      </c>
      <c r="P276" t="s">
        <v>5434</v>
      </c>
    </row>
    <row r="277" spans="1:18" x14ac:dyDescent="0.15">
      <c r="C277" t="s">
        <v>5435</v>
      </c>
      <c r="D277" t="s">
        <v>5436</v>
      </c>
      <c r="N277" t="str">
        <f t="shared" si="4"/>
        <v>{szContent="你的朋友已经先过去了。",szTarget="神秘人",[14]={},tCountdown={{nClass=20,nIcon=17135,nFrame=7,bHold=true,szName="依次对话·阎规·鲁小兔",nTime=600,key="奇遇提示2",},{nClass=20,nIcon=17135,nFrame=7,bHold=true,szName="结束对话后前往山顶结拜",nTime=600,key="奇遇提示3",},},},</v>
      </c>
      <c r="O277" t="s">
        <v>5437</v>
      </c>
      <c r="P277" t="s">
        <v>5438</v>
      </c>
    </row>
    <row r="278" spans="1:18" x14ac:dyDescent="0.15">
      <c r="C278" t="s">
        <v>5439</v>
      </c>
      <c r="D278" t="s">
        <v>5440</v>
      </c>
      <c r="N278" t="str">
        <f t="shared" si="4"/>
        <v>{szContent="东西我都准备妥当就差人了，快跟我来山顶。",szTarget="鲁小兔",[14]={},tCountdown={{nClass=20,nIcon=17135,nFrame=7,bHold=true,szName="背对神秘人·走台阶·佛塔",nTime=600,key="奇遇提示2",},{nClass=20,nIcon=17135,nFrame=7,bHold=true,szName="再次对话·鲁小兔·QTE",nTime=600,key="奇遇提示3",},},},</v>
      </c>
      <c r="O278" t="s">
        <v>5441</v>
      </c>
      <c r="P278" t="s">
        <v>5442</v>
      </c>
    </row>
    <row r="279" spans="1:18" x14ac:dyDescent="0.15">
      <c r="C279" t="s">
        <v>5431</v>
      </c>
      <c r="D279" t="s">
        <v>5443</v>
      </c>
      <c r="N279" t="str">
        <f t="shared" si="4"/>
        <v>{szContent="咕噜…",szTarget="阎规",[14]={},tCountdown={{nClass=20,nIcon=17135,nFrame=7,bHold=true,szName="结束QTE·再次对话·鲁小兔",nTime=600,key="奇遇提示2",},{nClass=20,nIcon=17135,nFrame=7,bHold=true,szName="奇遇封印·次日7时",nTime=600,key="奇遇提示3",},},},</v>
      </c>
      <c r="O279" t="s">
        <v>5444</v>
      </c>
      <c r="P279" t="s">
        <v>5445</v>
      </c>
    </row>
    <row r="280" spans="1:18" x14ac:dyDescent="0.15">
      <c r="C280" t="s">
        <v>5439</v>
      </c>
      <c r="D280" t="s">
        <v>5446</v>
      </c>
      <c r="N280" t="str">
        <f t="shared" si="4"/>
        <v>{szContent="我在山下的小山谷当大侠，快来~",szTarget="鲁小兔",[14]={},tCountdown={{nClass=20,nIcon=17135,nFrame=7,bHold=true,szName="棚子后面小山丘·山谷中间",nTime=600,key="奇遇提示2",},{nClass=20,nIcon=17135,nFrame=7,bHold=true,szName="对话·鲁小兔·QTE",nTime=600,key="奇遇提示3",},},},</v>
      </c>
      <c r="O280" t="s">
        <v>5447</v>
      </c>
      <c r="P280" t="s">
        <v>5448</v>
      </c>
    </row>
    <row r="281" spans="1:18" x14ac:dyDescent="0.15">
      <c r="C281" t="s">
        <v>5439</v>
      </c>
      <c r="D281" t="s">
        <v>5449</v>
      </c>
      <c r="N281" t="str">
        <f t="shared" si="4"/>
        <v>{szContent="举手之劳，何足挂齿！日后你再被人劫道，报本女侠的大名就好！",szTarget="鲁小兔",[14]={},tCountdown={{nClass=20,nIcon=17135,nFrame=7,bHold=true,szName="再次对话·鲁小兔",nTime=600,key="奇遇提示2",},{nClass=20,nIcon=17135,nFrame=7,bHold=true,szName="奇遇封印·次日7时",nTime=600,key="奇遇提示3",},},},</v>
      </c>
      <c r="O281" t="s">
        <v>5450</v>
      </c>
      <c r="P281" t="s">
        <v>5445</v>
      </c>
    </row>
    <row r="282" spans="1:18" x14ac:dyDescent="0.15">
      <c r="C282" t="s">
        <v>5439</v>
      </c>
      <c r="D282" t="s">
        <v>5451</v>
      </c>
      <c r="N282" t="str">
        <f t="shared" si="4"/>
        <v>{szContent="擂台就在山下，跟我来。",szTarget="鲁小兔",[14]={},tCountdown={{nClass=20,nIcon=17135,nFrame=7,bHold=true,szName="棚子后面小山丘·下方",nTime=600,key="奇遇提示2",},{nClass=20,nIcon=17135,nFrame=7,bHold=true,szName="对话·鲁小兔·QTE",nTime=600,key="奇遇提示3",},},},</v>
      </c>
      <c r="O282" t="s">
        <v>5452</v>
      </c>
      <c r="P282" t="s">
        <v>5448</v>
      </c>
    </row>
    <row r="283" spans="1:18" x14ac:dyDescent="0.15">
      <c r="C283" t="s">
        <v>5439</v>
      </c>
      <c r="D283" t="s">
        <v>5453</v>
      </c>
      <c r="N283" t="str">
        <f t="shared" si="4"/>
        <v>{szContent="我选的山头在这边，跟我来。",szTarget="鲁小兔",[14]={},tCountdown={{nClass=20,nIcon=17135,nFrame=7,bHold=true,szName="佛塔·右后方",nTime=600,nRefresh=600,key="奇遇提示2",},{nClass=20,nIcon=17135,nFrame=7,bHold=true,szName="对话·鲁小兔·使用包裹",nTime=600,nRefresh=600,key="奇遇提示3",},},},</v>
      </c>
      <c r="O283" t="s">
        <v>5454</v>
      </c>
      <c r="P283" t="s">
        <v>5455</v>
      </c>
    </row>
    <row r="284" spans="1:18" x14ac:dyDescent="0.15">
      <c r="C284" t="s">
        <v>5439</v>
      </c>
      <c r="D284" t="s">
        <v>5456</v>
      </c>
      <c r="N284" t="str">
        <f t="shared" si="4"/>
        <v>{szContent="嗯嗯不错不错，江湖儿女鲁小兔今日就正式退出江湖啦~",szTarget="鲁小兔",[14]={},tCountdown={{nClass=20,nIcon=17135,nFrame=7,bHold=true,szName="奇遇提示2",nTime=-2,key="奇遇提示2",},{nClass=20,nIcon=17135,nFrame=7,bHold=true,szName="奇遇提示3",nTime=-2,key="奇遇提示3",},{nClass=20,nIcon=17135,nFrame=7,bHold=true,szName="再次对话·鲁小兔",nTime=600,key="奇遇提示2",},{nClass=20,nIcon=17135,nFrame=7,bHold=true,szName="随后对话·阎规",nTime=600,key="奇遇提示3",},},},</v>
      </c>
      <c r="O284" t="s">
        <v>5457</v>
      </c>
      <c r="P284" t="s">
        <v>5458</v>
      </c>
      <c r="Q284" t="s">
        <v>5450</v>
      </c>
      <c r="R284" t="s">
        <v>5459</v>
      </c>
    </row>
    <row r="285" spans="1:18" x14ac:dyDescent="0.15">
      <c r="C285" t="s">
        <v>5439</v>
      </c>
      <c r="D285" t="s">
        <v>5460</v>
      </c>
      <c r="N285" t="str">
        <f t="shared" si="4"/>
        <v>{szContent="鲁小兔的两位结拜好兄弟，今日就到此处吧，两位明日来此墓前，小兔有要事相托。",szTarget="鲁小兔",[14]={},tCountdown={{nClass=20,nIcon=17135,nFrame=7,bHold=true,szName="对话·阎规",nTime=600,nRefresh=600,key="奇遇提示2",},{nClass=20,nIcon=17135,nFrame=7,bHold=true,szName="次日7时·再来此处",nTime=600,nRefresh=600,key="奇遇提示3",},},},</v>
      </c>
      <c r="O285" t="s">
        <v>5461</v>
      </c>
      <c r="P285" t="s">
        <v>5462</v>
      </c>
    </row>
    <row r="286" spans="1:18" x14ac:dyDescent="0.15">
      <c r="A286" t="s">
        <v>805</v>
      </c>
      <c r="B286">
        <v>156</v>
      </c>
      <c r="N286" t="str">
        <f t="shared" si="4"/>
        <v>},[156]={</v>
      </c>
    </row>
    <row r="287" spans="1:18" x14ac:dyDescent="0.15">
      <c r="C287" t="s">
        <v>5424</v>
      </c>
      <c r="D287" t="s">
        <v>5425</v>
      </c>
      <c r="N287" t="str">
        <f t="shared" si="4"/>
        <v>{szContent="啊……",szTarget="求助的流民",[14]={},tCountdown={{nClass=14,nIcon=17135,nFrame=0,szName="成就·心慈手软·放走妇人",nTime=15.3,key="茶馆·成就",},},},</v>
      </c>
      <c r="O287" t="s">
        <v>5426</v>
      </c>
    </row>
    <row r="288" spans="1:18" x14ac:dyDescent="0.15">
      <c r="C288" t="s">
        <v>5424</v>
      </c>
      <c r="D288" t="s">
        <v>5427</v>
      </c>
      <c r="N288" t="str">
        <f t="shared" si="4"/>
        <v>{szContent="多谢大侠饶命！多谢大侠饶命！",szTarget="求助的流民",[14]={},tCountdown={{nClass=14,nIcon=17135,nFrame=0,szName="成就·心慈手软·放走妇人",nTime=0,key="茶馆·成就",},},},</v>
      </c>
      <c r="O288" t="s">
        <v>5428</v>
      </c>
    </row>
    <row r="289" spans="1:15" x14ac:dyDescent="0.15">
      <c r="A289" t="s">
        <v>807</v>
      </c>
      <c r="B289">
        <v>158</v>
      </c>
      <c r="N289" t="str">
        <f t="shared" si="4"/>
        <v>},[158]={</v>
      </c>
    </row>
    <row r="290" spans="1:15" x14ac:dyDescent="0.15">
      <c r="C290" t="s">
        <v>5463</v>
      </c>
      <c r="D290" t="s">
        <v>5464</v>
      </c>
      <c r="N290" t="str">
        <f t="shared" si="4"/>
        <v>{szContent="走吧，曹将军还在等我们。",szTarget="阶苔",[14]={},tCountdown={{nClass=20,nIcon=17135,nFrame=3,szName="门派事件1·药师观·接应阶苔",nTime=20,key="门派事件1",},},},</v>
      </c>
      <c r="O290" t="s">
        <v>5465</v>
      </c>
    </row>
    <row r="291" spans="1:15" x14ac:dyDescent="0.15">
      <c r="C291" t="s">
        <v>5463</v>
      </c>
      <c r="D291" t="s">
        <v>5466</v>
      </c>
      <c r="N291" t="str">
        <f t="shared" si="4"/>
        <v>{szContent="多谢诸位侠士鼎立相助，阶苔在此谢过。",szTarget="阶苔",[14]={},tCountdown={{nClass=20,nIcon=17135,nFrame=3,szName="门派事件1·接应阶苔·结束",nTime=5,key="门派事件1",},},},</v>
      </c>
      <c r="O291" t="s">
        <v>5467</v>
      </c>
    </row>
    <row r="292" spans="1:15" x14ac:dyDescent="0.15">
      <c r="C292" t="s">
        <v>5463</v>
      </c>
      <c r="D292" t="s">
        <v>5468</v>
      </c>
      <c r="N292" t="str">
        <f t="shared" si="4"/>
        <v>{szContent="请诸位侠士为我守护片刻。",szTarget="阶苔",[14]={},tCountdown={{nClass=20,nIcon=17135,nFrame=3,szName="门派事件2·药师观·刺客袭击",nTime=20,key="门派事件2",},},},</v>
      </c>
      <c r="O292" t="s">
        <v>5469</v>
      </c>
    </row>
    <row r="293" spans="1:15" x14ac:dyDescent="0.15">
      <c r="C293" t="s">
        <v>5463</v>
      </c>
      <c r="D293" t="s">
        <v>5470</v>
      </c>
      <c r="N293" t="str">
        <f t="shared" si="4"/>
        <v>{szContent="大好头颅在此，尽管来拿！",szTarget="阶苔",[14]={},tCountdown={{nClass=20,nIcon=17135,nFrame=3,szName="门派事件3·药师观·游龙先生",nTime=20,key="门派事件3",},},},</v>
      </c>
      <c r="O293" t="s">
        <v>5471</v>
      </c>
    </row>
    <row r="294" spans="1:15" x14ac:dyDescent="0.15">
      <c r="C294" t="s">
        <v>5472</v>
      </c>
      <c r="D294" t="s">
        <v>5473</v>
      </c>
      <c r="N294" t="str">
        <f t="shared" si="4"/>
        <v>{szContent="人多势众，算什么好汉！我隐元会不会放弃的！",szTarget="游龙先生",[14]={},tCountdown={{nClass=20,nIcon=17135,nFrame=3,szName="门派事件3·游龙先生·结束",nTime=5,key="门派事件3",},},},</v>
      </c>
      <c r="O294" t="s">
        <v>5474</v>
      </c>
    </row>
    <row r="295" spans="1:15" x14ac:dyDescent="0.15">
      <c r="C295" t="s">
        <v>442</v>
      </c>
      <c r="D295" t="s">
        <v>5475</v>
      </c>
      <c r="N295" t="str">
        <f t="shared" si="4"/>
        <v>{szContent="有点本事，那我来亲自会会你。",szTarget="无名",[14]={},tCountdown={{nClass=20,nIcon=17135,nFrame=3,szName="门派事件1·药师观·击退无名",nTime=20,key="门派事件1",},},},</v>
      </c>
      <c r="O295" t="s">
        <v>5476</v>
      </c>
    </row>
    <row r="296" spans="1:15" x14ac:dyDescent="0.15">
      <c r="C296" t="s">
        <v>442</v>
      </c>
      <c r="D296" t="s">
        <v>5477</v>
      </c>
      <c r="N296" t="str">
        <f t="shared" si="4"/>
        <v>{szContent="今天我奈何不得你天策府，自然不会再纠缠此事。不过，我却做不了安将军的主，就此告辞。",szTarget="无名",[14]={},tCountdown={{nClass=20,nIcon=17135,nFrame=3,szName="门派事件1·击退无名·结束",nTime=5,key="门派事件1",},},},</v>
      </c>
      <c r="O296" t="s">
        <v>5478</v>
      </c>
    </row>
    <row r="297" spans="1:15" x14ac:dyDescent="0.15">
      <c r="A297" t="s">
        <v>246</v>
      </c>
      <c r="B297">
        <v>159</v>
      </c>
      <c r="N297" t="str">
        <f t="shared" si="4"/>
        <v>},[159]={</v>
      </c>
    </row>
    <row r="298" spans="1:15" x14ac:dyDescent="0.15">
      <c r="C298" t="s">
        <v>5479</v>
      </c>
      <c r="D298" t="s">
        <v>5480</v>
      </c>
      <c r="N298" t="str">
        <f t="shared" si="4"/>
        <v>{szContent="请大家稍事休息，老夫这就酿下一桶！",szTarget="蒋方文",[14]={},tCountdown={{nClass=14,nIcon=17135,nFrame=3,szName="门派事件·美酒飘香·备材·开启",nTime=10,key="门派事件1",},},},</v>
      </c>
      <c r="O298" t="s">
        <v>5481</v>
      </c>
    </row>
    <row r="299" spans="1:15" x14ac:dyDescent="0.15">
      <c r="C299" t="s">
        <v>5479</v>
      </c>
      <c r="D299" t="s">
        <v>5482</v>
      </c>
      <c r="N299" t="str">
        <f t="shared" si="4"/>
        <v>{szContent="感谢大家鼎力相助，老夫这就开始用内功催发酒力。不过此处经常会有棕熊前来偷酒，还请各位相助一二。",szTarget="蒋方文",[14]={},tCountdown={{nClass=14,nIcon=17135,nFrame=3,szName="门派事件·美酒飘香·酿酒·开启",nTime=10,key="门派事件1",},},},</v>
      </c>
      <c r="O299" t="s">
        <v>5483</v>
      </c>
    </row>
    <row r="300" spans="1:15" x14ac:dyDescent="0.15">
      <c r="C300" t="s">
        <v>5479</v>
      </c>
      <c r="D300" t="s">
        <v>5484</v>
      </c>
      <c r="N300" t="str">
        <f t="shared" si="4"/>
        <v>{szContent="哈哈哈！这酒算是成了！感谢各位的鼎力相助，蒋某不胜感激！",szTarget="蒋方文",[14]={},tCountdown={{nClass=14,nIcon=17135,nFrame=3,szName="门派事件·美酒飘香·酿酒·结束",nTime=5,key="门派事件1",},},},</v>
      </c>
      <c r="O300" t="s">
        <v>5485</v>
      </c>
    </row>
    <row r="301" spans="1:15" x14ac:dyDescent="0.15">
      <c r="C301" t="s">
        <v>5486</v>
      </c>
      <c r="D301" t="s">
        <v>5487</v>
      </c>
      <c r="N301" t="str">
        <f t="shared" si="4"/>
        <v>{szContent="有刺客！！！保护师父！！",szTarget="郭岩",[14]={},tCountdown={{nClass=14,nIcon=17135,nFrame=3,szName="门派事件·刺客来袭·开启",nTime=10,key="门派事件1",},},},</v>
      </c>
      <c r="O301" t="s">
        <v>5488</v>
      </c>
    </row>
    <row r="302" spans="1:15" x14ac:dyDescent="0.15">
      <c r="C302" t="s">
        <v>5486</v>
      </c>
      <c r="D302" t="s">
        <v>5489</v>
      </c>
      <c r="N302" t="str">
        <f t="shared" si="4"/>
        <v>{szContent="师弟，此处就交于我，你且护着师父师母退后！",szTarget="郭岩",[14]={},tCountdown={{nClass=14,nIcon=17135,nFrame=3,szName="门派事件·沈眠风之乱·开启",nTime=10,key="门派事件1",},},},</v>
      </c>
      <c r="O302" t="s">
        <v>5490</v>
      </c>
    </row>
    <row r="303" spans="1:15" x14ac:dyDescent="0.15">
      <c r="C303" t="s">
        <v>5491</v>
      </c>
      <c r="D303" t="s">
        <v>5492</v>
      </c>
      <c r="N303" t="str">
        <f t="shared" si="4"/>
        <v>{szContent="我们追！",szTarget="尹放",[14]={},tCountdown={{nClass=14,nIcon=17135,nFrame=3,szName="门派事件·沈眠风之乱·结束",nTime=5,key="门派事件1",},},},</v>
      </c>
      <c r="O303" t="s">
        <v>5493</v>
      </c>
    </row>
    <row r="304" spans="1:15" x14ac:dyDescent="0.15">
      <c r="C304" t="s">
        <v>5494</v>
      </c>
      <c r="D304" t="s">
        <v>5495</v>
      </c>
      <c r="N304" t="str">
        <f t="shared" si="4"/>
        <v>{szContent="各位可以来我这里领取钓竿，然后就在我身边的浅滩上垂钓，莫要走远了。钓到了鱼儿便放入我身边的鱼篓中即可！",szTarget="尹小荷",[14]={},tCountdown={{nClass=14,nIcon=17135,nFrame=3,szName="门派事件·洞庭虹影·开启",nTime=10,key="门派事件1",},},},</v>
      </c>
      <c r="O304" t="s">
        <v>5496</v>
      </c>
    </row>
    <row r="305" spans="1:18" x14ac:dyDescent="0.15">
      <c r="C305" t="s">
        <v>5494</v>
      </c>
      <c r="D305" t="s">
        <v>5497</v>
      </c>
      <c r="N305" t="str">
        <f t="shared" si="4"/>
        <v>{szContent="相传这水中有一只万年巨龟，莫不是惊动了它？真是天助我也，大家齐心斩了这巨龟，将其龟甲献给老帮主定是极好的！",szTarget="尹小荷",[14]={},tCountdown={{nClass=14,nIcon=17135,nFrame=3,szName="门派事件·洞庭虹影·斩龟",nTime=10,key="门派事件1",},},},</v>
      </c>
      <c r="O305" t="s">
        <v>5498</v>
      </c>
    </row>
    <row r="306" spans="1:18" x14ac:dyDescent="0.15">
      <c r="D306" t="s">
        <v>5499</v>
      </c>
      <c r="E306" t="s">
        <v>5500</v>
      </c>
      <c r="L306">
        <v>1</v>
      </c>
      <c r="N306" t="str">
        <f t="shared" si="4"/>
        <v>{szContent="好像有鱼儿上钩了，快收杆！",szNote="有鱼咬钩",[14]={bCenterAlarm=true,},tCountdown={{nClass=14,nIcon=2678,nFrame=5,szName="快收杆",nTime=5,key="钓鱼",},},},</v>
      </c>
      <c r="O306" t="s">
        <v>5501</v>
      </c>
    </row>
    <row r="307" spans="1:18" x14ac:dyDescent="0.15">
      <c r="A307" t="s">
        <v>811</v>
      </c>
      <c r="B307">
        <v>163</v>
      </c>
      <c r="N307" t="str">
        <f t="shared" si="4"/>
        <v>},[163]={</v>
      </c>
    </row>
    <row r="308" spans="1:18" x14ac:dyDescent="0.15">
      <c r="C308" t="s">
        <v>5502</v>
      </c>
      <c r="D308" t="s">
        <v>5503</v>
      </c>
      <c r="N308" t="str">
        <f t="shared" si="4"/>
        <v>{szContent="各位大侠，请跟紧我！",szTarget="王三金",[14]={},tCountdown={{nClass=14,nIcon=1240,nFrame=5,szName="秘境剧情",nTime=0,key="秘境剧情",},{nClass=14,nIcon=244,nFrame=5,szName="小钟",nTime=15,},{nClass=14,nIcon=244,nFrame=5,szName="竹子",nTime=15,},{nClass=14,nIcon=244,nFrame=5,szName="十三根",nTime=15,},},},</v>
      </c>
      <c r="O308" t="s">
        <v>5504</v>
      </c>
      <c r="P308" t="s">
        <v>5505</v>
      </c>
      <c r="Q308" t="s">
        <v>5506</v>
      </c>
      <c r="R308" t="s">
        <v>5507</v>
      </c>
    </row>
    <row r="309" spans="1:18" x14ac:dyDescent="0.15">
      <c r="C309" t="s">
        <v>5502</v>
      </c>
      <c r="D309" t="s">
        <v>5508</v>
      </c>
      <c r="N309" t="str">
        <f t="shared" si="4"/>
        <v>{szContent="几位大侠！赶紧到我这里来！不要被守卫军发现！",szTarget="王三金",[14]={},tCountdown={{nClass=14,nIcon=1240,nFrame=5,szName="对话王三金·梨园服饰",nTime=15,key="秘境剧情",},},},</v>
      </c>
      <c r="O309" t="s">
        <v>5509</v>
      </c>
    </row>
    <row r="310" spans="1:18" x14ac:dyDescent="0.15">
      <c r="A310" t="s">
        <v>250</v>
      </c>
      <c r="B310">
        <v>172</v>
      </c>
      <c r="N310" t="str">
        <f t="shared" si="4"/>
        <v>},[172]={</v>
      </c>
    </row>
    <row r="311" spans="1:18" x14ac:dyDescent="0.15">
      <c r="C311" t="s">
        <v>5510</v>
      </c>
      <c r="D311" t="s">
        <v>5511</v>
      </c>
      <c r="N311" t="str">
        <f t="shared" si="4"/>
        <v>{szContent="不对！此事必有蹊跷！",szTarget="狼牙铁勒兵",[14]={},tCountdown={{nClass=14,nIcon=278,nFrame=0,szName="狼牙铁勒兵对话·送水果",nTime=20,key="诱敌深入下暗手1",},{nClass=14,nIcon=278,nFrame=0,szName="明日午时·天佑吾皇",nTime=20,key="诱敌深入下暗手2",},{nClass=14,nIcon=278,nFrame=0,szName="丐帮中人·追随宇文将军",nTime=20,key="诱敌深入下暗手3",},},},</v>
      </c>
      <c r="O311" t="s">
        <v>5512</v>
      </c>
      <c r="P311" t="s">
        <v>5513</v>
      </c>
      <c r="Q311" t="s">
        <v>5514</v>
      </c>
    </row>
    <row r="312" spans="1:18" x14ac:dyDescent="0.15">
      <c r="C312" t="s">
        <v>5510</v>
      </c>
      <c r="D312" t="s">
        <v>5515</v>
      </c>
      <c r="N312" t="str">
        <f t="shared" si="4"/>
        <v>{szContent="{$me}，你的计谋被我识破了！",szTarget="狼牙铁勒兵",[14]={},tCountdown={{nClass=14,nIcon=13,nFrame=5,szName="诱敌深入下暗手1",nTime=0,key="诱敌深入下暗手1",},{nClass=14,nIcon=13,nFrame=5,szName="诱敌深入下暗手2",nTime=0,key="诱敌深入下暗手2",},{nClass=14,nIcon=13,nFrame=5,szName="诱敌深入下暗手3",nTime=0,key="诱敌深入下暗手3",},},},</v>
      </c>
      <c r="O312" t="s">
        <v>5516</v>
      </c>
      <c r="P312" t="s">
        <v>5517</v>
      </c>
      <c r="Q312" t="s">
        <v>5518</v>
      </c>
    </row>
    <row r="313" spans="1:18" x14ac:dyDescent="0.15">
      <c r="D313" t="s">
        <v>5519</v>
      </c>
      <c r="N313" t="str">
        <f t="shared" si="4"/>
        <v>{szContent="由于你的恭维,狼牙铁勒兵对你的信任加深了！",[14]={},tCountdown={{nClass=14,nIcon=13,nFrame=5,szName="诱敌深入下暗手1",nTime=0,key="诱敌深入下暗手1",},{nClass=14,nIcon=13,nFrame=5,szName="诱敌深入下暗手2",nTime=0,key="诱敌深入下暗手2",},{nClass=14,nIcon=13,nFrame=5,szName="诱敌深入下暗手3",nTime=0,key="诱敌深入下暗手3",},},},</v>
      </c>
      <c r="O313" t="s">
        <v>5516</v>
      </c>
      <c r="P313" t="s">
        <v>5517</v>
      </c>
      <c r="Q313" t="s">
        <v>5518</v>
      </c>
    </row>
    <row r="314" spans="1:18" x14ac:dyDescent="0.15">
      <c r="C314" t="s">
        <v>5510</v>
      </c>
      <c r="D314" t="s">
        <v>5520</v>
      </c>
      <c r="N314" t="str">
        <f t="shared" si="4"/>
        <v>{szContent="怎么不见乞丐？看来只好把你的人头带回去领功了！",szTarget="狼牙铁勒兵",[14]={},tCountdown={{nClass=14,nIcon=13,nFrame=5,szName="诱敌深入下暗手1",nTime=0,key="诱敌深入下暗手1",},{nClass=14,nIcon=13,nFrame=5,szName="诱敌深入下暗手2",nTime=0,key="诱敌深入下暗手2",},{nClass=14,nIcon=13,nFrame=5,szName="诱敌深入下暗手3",nTime=0,key="诱敌深入下暗手3",},},},</v>
      </c>
      <c r="O314" t="s">
        <v>5516</v>
      </c>
      <c r="P314" t="s">
        <v>5517</v>
      </c>
      <c r="Q314" t="s">
        <v>5518</v>
      </c>
    </row>
    <row r="315" spans="1:18" x14ac:dyDescent="0.15">
      <c r="C315" t="s">
        <v>5521</v>
      </c>
      <c r="D315" t="s">
        <v>5522</v>
      </c>
      <c r="N315" t="str">
        <f t="shared" si="4"/>
        <v>{szContent="这手里的弯刀不怎么好使了，给我弄把锋利的长枪使使。",szTarget="狼牙军官",[14]={},tCountdown={{nClass=14,nIcon=17135,nFrame=3,szName="狼牙军官·赠送兵器222",nTime=10.31,key="死生之数犹未定",},},},</v>
      </c>
      <c r="O315" t="s">
        <v>5523</v>
      </c>
    </row>
    <row r="316" spans="1:18" x14ac:dyDescent="0.15">
      <c r="C316" t="s">
        <v>5521</v>
      </c>
      <c r="D316" t="s">
        <v>5524</v>
      </c>
      <c r="N316" t="str">
        <f t="shared" si="4"/>
        <v>{szContent="真是口干舌燥，给大爷我弄点酒水来，日后定在将军前替你美言几句。",szTarget="狼牙军官",[14]={},tCountdown={{nClass=14,nIcon=17135,nFrame=7,szName="狼牙军官·赠送美酒333",nTime=10.31,key="死生之数犹未定",},},},</v>
      </c>
      <c r="O316" t="s">
        <v>5525</v>
      </c>
    </row>
    <row r="317" spans="1:18" x14ac:dyDescent="0.15">
      <c r="C317" t="s">
        <v>5526</v>
      </c>
      <c r="D317" t="s">
        <v>5527</v>
      </c>
      <c r="N317" t="str">
        <f t="shared" si="4"/>
        <v>{szContent="多行不义，施主你这是咎由自取啊...",szTarget="老和尚",[14]={},tCountdown={{nClass=14,nIcon=17135,nFrame=3,szName="死生之数犹未定·完成",nTime=5,key="死生之数犹未定",},},},</v>
      </c>
      <c r="O317" t="s">
        <v>5528</v>
      </c>
    </row>
    <row r="318" spans="1:18" x14ac:dyDescent="0.15">
      <c r="A318" t="s">
        <v>833</v>
      </c>
      <c r="B318">
        <v>193</v>
      </c>
      <c r="N318" t="str">
        <f t="shared" si="4"/>
        <v>},[193]={</v>
      </c>
    </row>
    <row r="319" spans="1:18" x14ac:dyDescent="0.15">
      <c r="D319" t="s">
        <v>5529</v>
      </c>
      <c r="N319" t="str">
        <f t="shared" si="4"/>
        <v>{szContent="你埋下了一个香囊。",[14]={},tCountdown={{nClass=14,nIcon=17135,nFrame=5,szName="故园风雨1",nTime=0,key="故园风雨1",},},},</v>
      </c>
      <c r="O319" t="s">
        <v>5530</v>
      </c>
    </row>
    <row r="320" spans="1:18" x14ac:dyDescent="0.15">
      <c r="C320" t="s">
        <v>5531</v>
      </c>
      <c r="D320" t="s">
        <v>5532</v>
      </c>
      <c r="N320" t="str">
        <f t="shared" si="4"/>
        <v>{szContent="今日收获了如此之多的寒冰雪莲，众将士辛苦了！不过大敌当前，仍需加紧训练！",szTarget="燕安",[14]={},tCountdown={{nClass=14,nIcon=17135,nFrame=3,szName="门派事件·养兵千日·结束",nTime=5,key="门派事件1",},},},</v>
      </c>
      <c r="O320" t="s">
        <v>5533</v>
      </c>
    </row>
    <row r="321" spans="1:15" x14ac:dyDescent="0.15">
      <c r="C321" t="s">
        <v>5531</v>
      </c>
      <c r="D321" t="s">
        <v>5534</v>
      </c>
      <c r="N321" t="str">
        <f t="shared" si="4"/>
        <v>{szContent="探子来报，奚人近日恐是要进攻了，大家务必抓紧训练！通过苍云堡内的训练可获寒冰雪莲，上缴者有赏！",szTarget="燕安",[14]={},tCountdown={{nClass=14,nIcon=17135,nFrame=3,szName="门派事件·养兵千日·开启",nTime=10,key="门派事件1",},},},</v>
      </c>
      <c r="O321" t="s">
        <v>5535</v>
      </c>
    </row>
    <row r="322" spans="1:15" x14ac:dyDescent="0.15">
      <c r="C322" t="s">
        <v>5536</v>
      </c>
      <c r="D322" t="s">
        <v>5537</v>
      </c>
      <c r="N322" t="str">
        <f t="shared" ref="N322:N385" si="5">IF(ISBLANK(B322)=FALSE,IF(ISBLANK(B321),"},["&amp;B322&amp;"]={","["&amp;B322&amp;"]={"),IF(AND(ISBLANK(B322),ISBLANK(D322),ISBLANK(G322),ISBLANK(H322),OR(ISBLANK(B321)=FALSE,ISBLANK(D321)=FALSE,ISBLANK(G321)=FALSE,ISBLANK(H321)=FALSE)),"},},}",IF(ISBLANK(D322),"","{szContent="""&amp;D322&amp;""","&amp;IF(C322&lt;&gt;"","szTarget="""&amp;C322&amp;""",","")&amp;IF(E322&lt;&gt;"","szNote="""&amp;E322&amp;""",","")&amp;IF(F322&lt;&gt;"","col={"&amp;F322&amp;"},","")&amp;IF(G322&gt;0,"bSearch=true,","")&amp;IF(H322&gt;0,"bReg=true,","")&amp;"[14]={"&amp;IF(I322&gt;0,"szVoice="""&amp;I322&amp;""",","")&amp;IF(J322&gt;0,"bTeamChannel=true,","")&amp;IF(K322&gt;0,"bWhisperChannel=true,","")&amp;IF(L322&gt;0,"bCenterAlarm=true,","")&amp;IF(M322&gt;0,"bScreenHead=true,","")&amp;"},"&amp;IF(O322&lt;&gt;"","tCountdown={"&amp;_xlfn.TEXTJOIN("",TRUE,O322:ZZ322)&amp;"},","")&amp;"},")))</f>
        <v>{szContent="我萨楚日率兵前来攻城！苍云小儿若是快快打开城门就放你们一条生路！哈哈哈哈！",szTarget="萨楚日",[14]={},tCountdown={{nClass=14,nIcon=17135,nFrame=3,szName="门派事件1·地图标记·萨楚日",nTime=10,key="门派事件1",},},},</v>
      </c>
      <c r="O322" t="s">
        <v>5538</v>
      </c>
    </row>
    <row r="323" spans="1:15" x14ac:dyDescent="0.15">
      <c r="C323" t="s">
        <v>5539</v>
      </c>
      <c r="D323" t="s">
        <v>5540</v>
      </c>
      <c r="N323" t="str">
        <f t="shared" si="5"/>
        <v>{szContent="今日东陉关得守，不仅是众苍云将士之功，更要多谢各位武林豪杰相助！",szTarget="申屠远",[14]={},tCountdown={{nClass=14,nIcon=17135,nFrame=3,szName="门派事件1·萨楚日·结束",nTime=5,key="门派事件1",},},},</v>
      </c>
      <c r="O323" t="s">
        <v>5541</v>
      </c>
    </row>
    <row r="324" spans="1:15" x14ac:dyDescent="0.15">
      <c r="C324" t="s">
        <v>5542</v>
      </c>
      <c r="D324" t="s">
        <v>5543</v>
      </c>
      <c r="N324" t="str">
        <f t="shared" si="5"/>
        <v>{szContent="想不到你们在如此情况下还能坚持这么久，看来是我们小瞧了你们！",szTarget="塔拉",[14]={},tCountdown={{nClass=14,nIcon=17135,nFrame=3,szName="门派事件2·地图标记·塔拉",nTime=10,key="门派事件1",},},},</v>
      </c>
      <c r="O324" t="s">
        <v>5544</v>
      </c>
    </row>
    <row r="325" spans="1:15" x14ac:dyDescent="0.15">
      <c r="C325" t="s">
        <v>5539</v>
      </c>
      <c r="D325" t="s">
        <v>5545</v>
      </c>
      <c r="N325" t="str">
        <f t="shared" si="5"/>
        <v>{szContent="多谢各路英豪前来相助，苍云的众将士也打起精神来，务必要守住这东陉关！",szTarget="申屠远",[14]={},tCountdown={{nClass=14,nIcon=17135,nFrame=3,szName="门派事件2·塔拉·结束",nTime=5,key="门派事件1",},},},</v>
      </c>
      <c r="O325" t="s">
        <v>5546</v>
      </c>
    </row>
    <row r="326" spans="1:15" x14ac:dyDescent="0.15">
      <c r="C326" t="s">
        <v>5547</v>
      </c>
      <c r="D326" t="s">
        <v>5548</v>
      </c>
      <c r="N326" t="str">
        <f t="shared" si="5"/>
        <v>{szContent="萨楚日和塔拉那两个废物真是给奚人丢脸，哼，受死吧！",szTarget="唐和斯",[14]={},tCountdown={{nClass=14,nIcon=17135,nFrame=3,szName="门派事件3·地图标记·唐和斯",nTime=20,key="门派事件1",},},},</v>
      </c>
      <c r="O326" t="s">
        <v>5549</v>
      </c>
    </row>
    <row r="327" spans="1:15" x14ac:dyDescent="0.15">
      <c r="C327" t="s">
        <v>5550</v>
      </c>
      <c r="D327" t="s">
        <v>5551</v>
      </c>
      <c r="N327" t="str">
        <f t="shared" si="5"/>
        <v>{szContent="真是废物，连这种小事都做不好！哼！",szTarget="库莫",[14]={},tCountdown={{nClass=14,nIcon=17135,nFrame=3,szName="门派事件1·锡喇·锡尔哈·结束",nTime=5,key="门派事件1",},},},</v>
      </c>
      <c r="O327" t="s">
        <v>5552</v>
      </c>
    </row>
    <row r="328" spans="1:15" x14ac:dyDescent="0.15">
      <c r="C328" t="s">
        <v>5553</v>
      </c>
      <c r="D328" t="s">
        <v>5554</v>
      </c>
      <c r="N328" t="str">
        <f t="shared" si="5"/>
        <v>{szContent="废话还真是多！众将士听令！",szTarget="长孙忘情",[14]={},tCountdown={{nClass=14,nIcon=17135,nFrame=3,szName="门派事件2·地图标记·库莫",nTime=10,key="门派事件1",},},},</v>
      </c>
      <c r="O328" t="s">
        <v>5555</v>
      </c>
    </row>
    <row r="329" spans="1:15" x14ac:dyDescent="0.15">
      <c r="C329" t="s">
        <v>5553</v>
      </c>
      <c r="D329" t="s">
        <v>5556</v>
      </c>
      <c r="N329" t="str">
        <f t="shared" si="5"/>
        <v>{szContent="哼！就凭你们便妄图灭我苍云军？真是自不量力！全军听令！今日便让这狂妄之徒有来无回！",szTarget="长孙忘情",[14]={},tCountdown={{nClass=14,nIcon=17135,nFrame=3,szName="门派事件2·库莫·结束",nTime=5,key="门派事件1",},},},</v>
      </c>
      <c r="O329" t="s">
        <v>5557</v>
      </c>
    </row>
    <row r="330" spans="1:15" x14ac:dyDescent="0.15">
      <c r="C330" t="s">
        <v>5553</v>
      </c>
      <c r="D330" t="s">
        <v>5558</v>
      </c>
      <c r="N330" t="str">
        <f t="shared" si="5"/>
        <v>{szContent="胆敢前来犯我苍云军者，诛！",szTarget="长孙忘情",[14]={},tCountdown={{nClass=14,nIcon=17135,nFrame=3,szName="门派事件1·锡喇·锡尔哈·结束",nTime=5,key="门派事件1",},},},</v>
      </c>
      <c r="O330" t="s">
        <v>5552</v>
      </c>
    </row>
    <row r="331" spans="1:15" x14ac:dyDescent="0.15">
      <c r="A331" t="s">
        <v>834</v>
      </c>
      <c r="B331">
        <v>194</v>
      </c>
      <c r="N331" t="str">
        <f t="shared" si="5"/>
        <v>},[194]={</v>
      </c>
    </row>
    <row r="332" spans="1:15" x14ac:dyDescent="0.15">
      <c r="D332" t="s">
        <v>5559</v>
      </c>
      <c r="N332" t="str">
        <f t="shared" si="5"/>
        <v>{szContent="你获得了事件【抢夺木材】的奖励",[14]={},tCountdown={{nClass=-1,nIcon=340,nFrame=5,szName="23.55.07",nTime=10,},},},</v>
      </c>
      <c r="O332" t="s">
        <v>5560</v>
      </c>
    </row>
    <row r="333" spans="1:15" x14ac:dyDescent="0.15">
      <c r="D333" t="s">
        <v>5561</v>
      </c>
      <c r="N333" t="str">
        <f t="shared" si="5"/>
        <v>{szContent="你获得了事件【进击·高秀岩营寨！】的奖励",[14]={},tCountdown={{nClass=-1,nIcon=340,nFrame=5,szName="23.54.11",nTime=10,},},},</v>
      </c>
      <c r="O333" t="s">
        <v>5562</v>
      </c>
    </row>
    <row r="334" spans="1:15" x14ac:dyDescent="0.15">
      <c r="D334" t="s">
        <v>5563</v>
      </c>
      <c r="N334" t="str">
        <f t="shared" si="5"/>
        <v>{szContent="你获得了事件【守卫伐木场】的奖励",[14]={},},</v>
      </c>
    </row>
    <row r="335" spans="1:15" x14ac:dyDescent="0.15">
      <c r="D335" t="s">
        <v>5564</v>
      </c>
      <c r="N335" t="str">
        <f t="shared" si="5"/>
        <v>{szContent="你获得了事件【进击·蔡希德营寨！】的奖励",[14]={},tCountdown={{nClass=14,nIcon=13,nFrame=4,szName="德霄财·刷新剩余",nTime=600,key="公共事件2",},},},</v>
      </c>
      <c r="O335" t="s">
        <v>5565</v>
      </c>
    </row>
    <row r="336" spans="1:15" x14ac:dyDescent="0.15">
      <c r="D336" t="s">
        <v>5566</v>
      </c>
      <c r="N336" t="str">
        <f t="shared" si="5"/>
        <v>{szContent="你获得了事件【进击·牛延阶营寨！】的奖励",[14]={},tCountdown={{nClass=14,nIcon=13,nFrame=4,szName="尤肖杰·刷新剩余",nTime=600,key="公共事件3",},},},</v>
      </c>
      <c r="O336" t="s">
        <v>5567</v>
      </c>
    </row>
    <row r="337" spans="1:15" x14ac:dyDescent="0.15">
      <c r="D337" t="s">
        <v>5568</v>
      </c>
      <c r="N337" t="str">
        <f t="shared" si="5"/>
        <v>{szContent="你获得了事件【村民的暴动】的奖励",[14]={},},</v>
      </c>
    </row>
    <row r="338" spans="1:15" x14ac:dyDescent="0.15">
      <c r="D338" t="s">
        <v>5569</v>
      </c>
      <c r="N338" t="str">
        <f t="shared" si="5"/>
        <v>{szContent="你获得了事件【拦截天门关狼牙援军】的奖励",[14]={},tCountdown={{nClass=-1,nIcon=340,nFrame=5,szName="23.55.18",nTime=10,},},},</v>
      </c>
      <c r="O338" t="s">
        <v>5570</v>
      </c>
    </row>
    <row r="339" spans="1:15" x14ac:dyDescent="0.15">
      <c r="D339" t="s">
        <v>5571</v>
      </c>
      <c r="N339" t="str">
        <f t="shared" si="5"/>
        <v>{szContent="你获得了事件【援助伐木场】的奖励",[14]={},tCountdown={{nClass=-1,nIcon=340,nFrame=5,szName="23.57.30",nTime=10,},},},</v>
      </c>
      <c r="O339" t="s">
        <v>5572</v>
      </c>
    </row>
    <row r="340" spans="1:15" x14ac:dyDescent="0.15">
      <c r="D340" t="s">
        <v>5573</v>
      </c>
      <c r="N340" t="str">
        <f t="shared" si="5"/>
        <v>{szContent="你获得了事件【重建杏花村】的奖励",[14]={},},</v>
      </c>
    </row>
    <row r="341" spans="1:15" x14ac:dyDescent="0.15">
      <c r="D341" t="s">
        <v>5574</v>
      </c>
      <c r="N341" t="str">
        <f t="shared" si="5"/>
        <v>{szContent="你获得了事件【守卫晋祠】的奖励",[14]={},tCountdown={{nClass=14,nIcon=13,nFrame=4,szName="",nTime="22,石萧翼·刷新剩余;37,石萧翼·延迟刷新",nRefresh=0,key="公共事件1",},},},</v>
      </c>
      <c r="O341" t="s">
        <v>5575</v>
      </c>
    </row>
    <row r="342" spans="1:15" x14ac:dyDescent="0.15">
      <c r="D342" t="s">
        <v>5576</v>
      </c>
      <c r="N342" t="str">
        <f t="shared" si="5"/>
        <v>{szContent="你获得了事件【进击·史朝义营寨！】的奖励",[14]={},tCountdown={{nClass=14,nIcon=13,nFrame=4,szName="李怀仙|正直·刷新剩余",nTime=202,key="公共事件1",},},},</v>
      </c>
      <c r="O342" t="s">
        <v>5577</v>
      </c>
    </row>
    <row r="343" spans="1:15" x14ac:dyDescent="0.15">
      <c r="D343" t="s">
        <v>5578</v>
      </c>
      <c r="N343" t="str">
        <f t="shared" si="5"/>
        <v>{szContent="你获得了事件【援助晋祠】的奖励",[14]={},},</v>
      </c>
    </row>
    <row r="344" spans="1:15" x14ac:dyDescent="0.15">
      <c r="C344" t="s">
        <v>5579</v>
      </c>
      <c r="D344" t="s">
        <v>5580</v>
      </c>
      <c r="N344" t="str">
        <f t="shared" si="5"/>
        <v>{szContent="狼牙军又来骚扰晋祠了，请侠士们帮助我们消灭他们！",szTarget="王岳明",[14]={},tCountdown={{nClass=14,nIcon=13,nFrame=5,szName="李怀仙|正直·刷新",nTime=10,key="公共事件1",},},},</v>
      </c>
      <c r="O344" t="s">
        <v>5581</v>
      </c>
    </row>
    <row r="345" spans="1:15" x14ac:dyDescent="0.15">
      <c r="C345" t="s">
        <v>5582</v>
      </c>
      <c r="D345" t="s">
        <v>5583</v>
      </c>
      <c r="N345" t="str">
        <f t="shared" si="5"/>
        <v>{szContent="快点快点，早点儿走到高大帅的营寨还能赶上开伙吃饭！",szTarget="王苍浪",[14]={},},</v>
      </c>
    </row>
    <row r="346" spans="1:15" x14ac:dyDescent="0.15">
      <c r="C346" t="s">
        <v>5584</v>
      </c>
      <c r="D346" t="s">
        <v>5585</v>
      </c>
      <c r="N346" t="str">
        <f t="shared" si="5"/>
        <v>{szContent="不好了！狼牙军又想占领杏花村了！快来人帮帮我们呀！",szTarget="温茹",[14]={},},</v>
      </c>
    </row>
    <row r="347" spans="1:15" x14ac:dyDescent="0.15">
      <c r="A347" t="s">
        <v>847</v>
      </c>
      <c r="B347">
        <v>213</v>
      </c>
      <c r="N347" t="str">
        <f t="shared" si="5"/>
        <v>},[213]={</v>
      </c>
    </row>
    <row r="348" spans="1:15" x14ac:dyDescent="0.15">
      <c r="C348" t="s">
        <v>5586</v>
      </c>
      <c r="D348" t="s">
        <v>5587</v>
      </c>
      <c r="N348" t="str">
        <f t="shared" si="5"/>
        <v>{szContent="开始罢。",szTarget="韩非池",[14]={},tCountdown={{nClass=14,nIcon=17135,nFrame=3,szName="门派事件1·音律之试·琴·开启",nTime=10,key="门派事件1",},},},</v>
      </c>
      <c r="O348" t="s">
        <v>5588</v>
      </c>
    </row>
    <row r="349" spans="1:15" x14ac:dyDescent="0.15">
      <c r="C349" t="s">
        <v>5589</v>
      </c>
      <c r="D349" t="s">
        <v>5590</v>
      </c>
      <c r="N349" t="str">
        <f t="shared" si="5"/>
        <v>{szContent="壁垒的坚固程度往往与抚琴者的内力相合。众位侠士花了这许时间才破除壁垒，可见贤弟的弦歌比几月前又精进了。",szTarget="杨青月",[14]={},tCountdown={{nClass=14,nIcon=17135,nFrame=3,szName="门派事件1·音律之试·结束",nTime=5,key="门派事件1",},},},</v>
      </c>
      <c r="O349" t="s">
        <v>5591</v>
      </c>
    </row>
    <row r="350" spans="1:15" x14ac:dyDescent="0.15">
      <c r="C350" t="s">
        <v>5592</v>
      </c>
      <c r="D350" t="s">
        <v>5593</v>
      </c>
      <c r="N350" t="str">
        <f t="shared" si="5"/>
        <v>{szContent="好，这就开始。随我来!",szTarget="赵宫商",[14]={},tCountdown={{nClass=14,nIcon=17135,nFrame=3,szName="门派事件2·音律之试·幻影·开启",nTime=10,key="门派事件2",},},},</v>
      </c>
      <c r="O350" t="s">
        <v>5594</v>
      </c>
    </row>
    <row r="351" spans="1:15" x14ac:dyDescent="0.15">
      <c r="C351" t="s">
        <v>5586</v>
      </c>
      <c r="D351" t="s">
        <v>5595</v>
      </c>
      <c r="N351" t="str">
        <f t="shared" si="5"/>
        <v>{szContent="幻像已破，火候有欠。",szTarget="韩非池",[14]={},tCountdown={{nClass=14,nIcon=17135,nFrame=3,szName="门派事件2·音律之试·结束",nTime=5,key="门派事件2",},},},</v>
      </c>
      <c r="O351" t="s">
        <v>5596</v>
      </c>
    </row>
    <row r="352" spans="1:15" x14ac:dyDescent="0.15">
      <c r="C352" t="s">
        <v>5589</v>
      </c>
      <c r="D352" t="s">
        <v>5597</v>
      </c>
      <c r="N352" t="str">
        <f t="shared" si="5"/>
        <v>{szContent="宫商的《清弦引梦》现进入第二阶段，我们继续跟着。",szTarget="杨青月",[14]={},tCountdown={{nClass=14,nIcon=17135,nFrame=3,szName="门派事件3·音律之试·幻影·开启",nTime=10,key="门派事件3",},},},</v>
      </c>
      <c r="O352" t="s">
        <v>5598</v>
      </c>
    </row>
    <row r="353" spans="1:18" x14ac:dyDescent="0.15">
      <c r="C353" t="s">
        <v>5589</v>
      </c>
      <c r="D353" t="s">
        <v>5599</v>
      </c>
      <c r="N353" t="str">
        <f t="shared" si="5"/>
        <v>{szContent="嗯，待他从梦境中醒来细聊。",szTarget="杨青月",[14]={},tCountdown={{nClass=14,nIcon=17135,nFrame=3,szName="门派事件3·音律之试·结束",nTime=5,key="门派事件3",},},},</v>
      </c>
      <c r="O353" t="s">
        <v>5600</v>
      </c>
    </row>
    <row r="354" spans="1:18" x14ac:dyDescent="0.15">
      <c r="A354" t="s">
        <v>848</v>
      </c>
      <c r="B354">
        <v>215</v>
      </c>
      <c r="N354" t="str">
        <f t="shared" si="5"/>
        <v>},[215]={</v>
      </c>
    </row>
    <row r="355" spans="1:18" x14ac:dyDescent="0.15">
      <c r="C355" t="s">
        <v>5601</v>
      </c>
      <c r="D355" t="s">
        <v>5602</v>
      </c>
      <c r="N355" t="str">
        <f t="shared" si="5"/>
        <v>{szContent="少侠,箱子里就是你要的东西了。你俩下去吧。",szTarget="贾昊仁",[14]={},tCountdown={{nClass=14,nIcon=17135,nFrame=7,szName="交互·沉甸甸的箱子",nTime=10,nRefresh=7200,key="奇遇·石敢当·提示1",},},},</v>
      </c>
      <c r="O355" t="s">
        <v>5603</v>
      </c>
    </row>
    <row r="356" spans="1:18" x14ac:dyDescent="0.15">
      <c r="C356" t="s">
        <v>5604</v>
      </c>
      <c r="D356" t="s">
        <v>5605</v>
      </c>
      <c r="N356" t="str">
        <f t="shared" si="5"/>
        <v>{szContent="你很厉害，不过不知道象棋是不是也厉害呢？",szTarget="航小婷",[14]={},tCountdown={{nClass=14,nIcon=17135,nFrame=0,szName="奇遇提示0",nTime="5,恭喜触发·胜负局·蟹胜;15,奇遇封印3日·每日约5分钟完成;30,1.对话·航小婷;90,2.前往·隐贤居·封博安;120,3.对话·封博安;150,4.交互·棋盘;180,5.对话·云定风;210,6.对话·封博安;220,第一日·结束",nRefresh=0,key="奇遇提示0",},{nClass=14,nIcon=17135,nFrame=7,szName="对话·航小婷·隐贤居·封博安",nTime=600,key="奇遇提示1",},{nClass=14,nIcon=17135,nFrame=7,szName="对话·封博安·交互·棋盘",nTime=600,key="奇遇提示2",},{nClass=14,nIcon=17135,nFrame=7,szName="对话·云定风·对话·封博安",nTime=600,key="奇遇提示3",},},},</v>
      </c>
      <c r="O356" t="s">
        <v>5069</v>
      </c>
      <c r="P356" t="s">
        <v>5606</v>
      </c>
      <c r="Q356" t="s">
        <v>5607</v>
      </c>
      <c r="R356" t="s">
        <v>5608</v>
      </c>
    </row>
    <row r="357" spans="1:18" x14ac:dyDescent="0.15">
      <c r="C357" t="s">
        <v>5609</v>
      </c>
      <c r="D357" t="s">
        <v>5610</v>
      </c>
      <c r="N357" t="str">
        <f t="shared" si="5"/>
        <v>{szContent="开局。",szTarget="封博安",[14]={},tCountdown={{nClass=14,nIcon=17135,nFrame=0,szName="奇遇提示0",nTime="30,4.交互·棋盘;60,5.对话·云定风;90,6.对话·封博安;100,第一日·结束",nRefresh=0,key="奇遇提示0",},{nClass=14,nIcon=17135,nFrame=7,szName="交互·棋盘",nTime=600,key="奇遇提示1",},{nClass=14,nIcon=17135,nFrame=7,szName="对话·云定风",nTime=600,key="奇遇提示2",},{nClass=14,nIcon=17135,nFrame=7,szName="对话·封博安",nTime=600,key="奇遇提示3",},},},</v>
      </c>
      <c r="O357" t="s">
        <v>5611</v>
      </c>
      <c r="P357" t="s">
        <v>5612</v>
      </c>
      <c r="Q357" t="s">
        <v>5613</v>
      </c>
      <c r="R357" t="s">
        <v>5614</v>
      </c>
    </row>
    <row r="358" spans="1:18" x14ac:dyDescent="0.15">
      <c r="C358" t="s">
        <v>5609</v>
      </c>
      <c r="D358" t="s">
        <v>5615</v>
      </c>
      <c r="N358" t="str">
        <f t="shared" si="5"/>
        <v>{szContent="为兄惭愧……但永王恳切，云兄何不考虑考虑？",szTarget="封博安",[14]={},tCountdown={{nClass=14,nIcon=17135,nFrame=0,szName="奇遇提示0",nTime="30,5.对话·云定风;60,6.对话·封博安;70,第一日·结束",nRefresh=0,key="奇遇提示0",},{nClass=14,nIcon=17135,nFrame=7,szName="对话·云定风",nTime=600,key="奇遇提示1",},{nClass=14,nIcon=17135,nFrame=7,szName="对话·封博安",nTime=600,key="奇遇提示2",},{nClass=14,nIcon=17135,nFrame=7,szName="奇遇提示3",nTime=0,key="奇遇提示3",},},},</v>
      </c>
      <c r="O358" t="s">
        <v>5616</v>
      </c>
      <c r="P358" t="s">
        <v>5617</v>
      </c>
      <c r="Q358" t="s">
        <v>5618</v>
      </c>
      <c r="R358" t="s">
        <v>4788</v>
      </c>
    </row>
    <row r="359" spans="1:18" x14ac:dyDescent="0.15">
      <c r="C359" t="s">
        <v>5609</v>
      </c>
      <c r="D359" t="s">
        <v>5619</v>
      </c>
      <c r="N359" t="str">
        <f t="shared" si="5"/>
        <v>{szContent="哎，云兄，若我们能共享富贵，何必下棋争这一壶浊酒呢？",szTarget="封博安",[14]={},tCountdown={{nClass=14,nIcon=17135,nFrame=0,szName="奇遇提示0",nTime=0,key="奇遇提示0",},{nClass=14,nIcon=17135,nFrame=7,szName="对话·封博安·第一日·结束",nTime=20,key="奇遇提示1",},{nClass=14,nIcon=17135,nFrame=7,szName="第二日·前往·隐贤居",nTime=20,key="奇遇提示2",},{nClass=14,nIcon=17135,nFrame=7,szName="第二日·交互·棋局",nTime=20,key="奇遇提示3",},},},</v>
      </c>
      <c r="O359" t="s">
        <v>5035</v>
      </c>
      <c r="P359" t="s">
        <v>5620</v>
      </c>
      <c r="Q359" t="s">
        <v>5621</v>
      </c>
      <c r="R359" t="s">
        <v>5622</v>
      </c>
    </row>
    <row r="360" spans="1:18" x14ac:dyDescent="0.15">
      <c r="C360" t="s">
        <v>5609</v>
      </c>
      <c r="D360" t="s">
        <v>5623</v>
      </c>
      <c r="N360" t="str">
        <f t="shared" si="5"/>
        <v>{szContent="局中棋势策略均无破绽，为何有……",szTarget="封博安",[14]={},tCountdown={{nClass=14,nIcon=17135,nFrame=7,szName="对话·封博安·贺城·封博安",nTime=600,key="奇遇提示1",},{nClass=14,nIcon=17135,nFrame=7,szName="对话·封博安·对话·邢簿征",nTime=600,key="奇遇提示2",},{nClass=14,nIcon=17135,nFrame=7,szName="对话·云定风·对话·邢簿征",nTime=600,key="奇遇提示3",},},},</v>
      </c>
      <c r="O360" t="s">
        <v>5624</v>
      </c>
      <c r="P360" t="s">
        <v>5625</v>
      </c>
      <c r="Q360" t="s">
        <v>5626</v>
      </c>
    </row>
    <row r="361" spans="1:18" x14ac:dyDescent="0.15">
      <c r="C361" t="s">
        <v>5609</v>
      </c>
      <c r="D361" t="s">
        <v>5627</v>
      </c>
      <c r="N361" t="str">
        <f t="shared" si="5"/>
        <v>{szContent="这……容我三思……",szTarget="封博安",[14]={},tCountdown={{nClass=14,nIcon=17135,nFrame=7,szName="对话·邢簿征·对话·云定风",nTime=600,key="奇遇提示1",},{nClass=14,nIcon=17135,nFrame=7,szName="对话·邢簿征·第二日·结束",nTime=600,key="奇遇提示2",},{nClass=14,nIcon=17135,nFrame=7,szName="第三日·前往贺城外边亭子",nTime=600,key="奇遇提示3",},},},</v>
      </c>
      <c r="O361" t="s">
        <v>5628</v>
      </c>
      <c r="P361" t="s">
        <v>5629</v>
      </c>
      <c r="Q361" t="s">
        <v>5630</v>
      </c>
    </row>
    <row r="362" spans="1:18" x14ac:dyDescent="0.15">
      <c r="C362" t="s">
        <v>5631</v>
      </c>
      <c r="D362" t="s">
        <v>5632</v>
      </c>
      <c r="N362" t="str">
        <f t="shared" si="5"/>
        <v>{szContent="封先生，这位侠士为云定风带话，明天棋局改在城外草亭。",szTarget="邢簿征",[14]={},tCountdown={{nClass=14,nIcon=17135,nFrame=7,szName="第二日·结束",nTime=20,key="奇遇提示1",},{nClass=14,nIcon=17135,nFrame=7,szName="第三日·前往·贺城外亭子",nTime=20,key="奇遇提示2",},{nClass=14,nIcon=17135,nFrame=7,szName="第三日·对话·封博安",nTime=20,key="奇遇提示3",},},},</v>
      </c>
      <c r="O362" t="s">
        <v>5633</v>
      </c>
      <c r="P362" t="s">
        <v>5634</v>
      </c>
      <c r="Q362" t="s">
        <v>5635</v>
      </c>
    </row>
    <row r="363" spans="1:18" x14ac:dyDescent="0.15">
      <c r="C363" t="s">
        <v>5609</v>
      </c>
      <c r="D363" t="s">
        <v>5636</v>
      </c>
      <c r="N363" t="str">
        <f t="shared" si="5"/>
        <v>{szContent="云兄，你来了。",szTarget="封博安",[14]={},tCountdown={{nClass=14,nIcon=17135,nFrame=7,szName="对话·封博安",nTime=300,key="奇遇提示1",},{nClass=14,nIcon=17135,nFrame=7,szName="对话·封博安",nTime=300,key="奇遇提示2",},},},</v>
      </c>
      <c r="O363" t="s">
        <v>5637</v>
      </c>
      <c r="P363" t="s">
        <v>5638</v>
      </c>
    </row>
    <row r="364" spans="1:18" x14ac:dyDescent="0.15">
      <c r="C364" t="s">
        <v>5639</v>
      </c>
      <c r="D364" t="s">
        <v>5640</v>
      </c>
      <c r="N364" t="str">
        <f t="shared" si="5"/>
        <v>{szContent="哈哈，看来日后我想赢酒，又要难了。",szTarget="云定风",[14]={},tCountdown={{nClass=14,nIcon=17135,nFrame=7,szName="对话·封博安·结束",nTime=20,key="奇遇提示1",},{nClass=14,nIcon=17135,nFrame=7,szName="奇遇提示2",nTime=0,key="奇遇提示2",},},},</v>
      </c>
      <c r="O364" t="s">
        <v>5641</v>
      </c>
      <c r="P364" t="s">
        <v>4787</v>
      </c>
    </row>
    <row r="365" spans="1:18" x14ac:dyDescent="0.15">
      <c r="A365" t="s">
        <v>256</v>
      </c>
      <c r="B365">
        <v>216</v>
      </c>
      <c r="N365" t="str">
        <f t="shared" si="5"/>
        <v>},[216]={</v>
      </c>
    </row>
    <row r="366" spans="1:18" x14ac:dyDescent="0.15">
      <c r="C366" t="s">
        <v>4887</v>
      </c>
      <c r="D366" t="s">
        <v>4888</v>
      </c>
      <c r="N366" t="str">
        <f t="shared" si="5"/>
        <v>{szContent="一起去哪玩？",szTarget="雪雪",[14]={},tCountdown={{nClass=14,nIcon=293,nFrame=5,szName="阴山集市·黑市附近",nTime=20,nRefresh=15,key="雪雪·旅行介绍1",},{nClass=14,nIcon=293,nFrame=5,szName="阴山茶馆找·茶馆老板娘",nTime=20,nRefresh=15,key="雪雪·旅行介绍2",},{nClass=14,nIcon=293,nFrame=5,szName="湖心岛·触发命途",nTime=20,nRefresh=15,key="雪雪·旅行介绍3",},},},</v>
      </c>
      <c r="O366" t="s">
        <v>5642</v>
      </c>
      <c r="P366" t="s">
        <v>5643</v>
      </c>
      <c r="Q366" t="s">
        <v>5644</v>
      </c>
    </row>
    <row r="367" spans="1:18" x14ac:dyDescent="0.15">
      <c r="C367" t="s">
        <v>4887</v>
      </c>
      <c r="D367" t="s">
        <v>5645</v>
      </c>
      <c r="N367" t="str">
        <f t="shared" si="5"/>
        <v>{szContent="大姐姐，我们去那边湖中间的小岛看看嘛。",szTarget="雪雪",[14]={},tCountdown={{nClass=14,nIcon=293,nFrame=5,szName="湖心岛·触发命途",nTime=20,key="雪雪·旅行介绍3",},},},</v>
      </c>
      <c r="O367" t="s">
        <v>5646</v>
      </c>
    </row>
    <row r="368" spans="1:18" x14ac:dyDescent="0.15">
      <c r="D368" t="s">
        <v>492</v>
      </c>
      <c r="G368">
        <v>1</v>
      </c>
      <c r="N368" t="str">
        <f t="shared" si="5"/>
        <v>{szContent="无忧无虑",bSearch=true,[14]={},tCountdown={{nClass=14,nIcon=17135,nFrame=5,szName="无忧无虑·加速成长·lv/20min",nTime=20,nRefresh=600,key="训马·心情",},{nClass=14,nIcon=4519,nFrame=6,szName="训马·交互·神采飞扬",nTime=0,key="训马·交互·神采飞扬",},{nClass=14,nIcon=4521,nFrame=5,szName="训马·交互·无忧无虑",nTime=0,key="训马·交互·无忧无虑",},},},</v>
      </c>
      <c r="O368" t="s">
        <v>5647</v>
      </c>
      <c r="P368" t="s">
        <v>5648</v>
      </c>
      <c r="Q368" t="s">
        <v>5649</v>
      </c>
    </row>
    <row r="369" spans="1:17" x14ac:dyDescent="0.15">
      <c r="D369" t="s">
        <v>493</v>
      </c>
      <c r="G369">
        <v>1</v>
      </c>
      <c r="N369" t="str">
        <f t="shared" si="5"/>
        <v>{szContent="神采飞扬",bSearch=true,[14]={},tCountdown={{nClass=14,nIcon=17135,nFrame=6,szName="神采飞扬·邮寄礼物·马草饲料",nTime=20,nRefresh=600,key="训马·心情",},{nClass=14,nIcon=4519,nFrame=6,szName="训马·交互·神采飞扬",nTime=0,key="训马·交互·神采飞扬",},{nClass=14,nIcon=4521,nFrame=5,szName="训马·交互·无忧无虑",nTime=0,key="训马·交互·无忧无虑",},},},</v>
      </c>
      <c r="O369" t="s">
        <v>5650</v>
      </c>
      <c r="P369" t="s">
        <v>5648</v>
      </c>
      <c r="Q369" t="s">
        <v>5649</v>
      </c>
    </row>
    <row r="370" spans="1:17" x14ac:dyDescent="0.15">
      <c r="D370" t="s">
        <v>482</v>
      </c>
      <c r="G370">
        <v>1</v>
      </c>
      <c r="N370" t="str">
        <f t="shared" si="5"/>
        <v>{szContent="狂躁不安",bSearch=true,[14]={},tCountdown={{nClass=14,nIcon=17135,nFrame=3,szName="训马·心情·狂躁不安",nTime=60,key="训马·心情",},{nClass=14,nIcon=4519,nFrame=6,szName="训马·交互·神采飞扬",nTime=0,key="训马·交互·神采飞扬",},{nClass=14,nIcon=4521,nFrame=5,szName="训马·交互·无忧无虑",nTime=0,key="训马·交互·无忧无虑",},},},</v>
      </c>
      <c r="O370" t="s">
        <v>5651</v>
      </c>
      <c r="P370" t="s">
        <v>5648</v>
      </c>
      <c r="Q370" t="s">
        <v>5649</v>
      </c>
    </row>
    <row r="371" spans="1:17" x14ac:dyDescent="0.15">
      <c r="D371" t="s">
        <v>491</v>
      </c>
      <c r="G371">
        <v>1</v>
      </c>
      <c r="N371" t="str">
        <f t="shared" si="5"/>
        <v>{szContent="畏缩不前",bSearch=true,[14]={},tCountdown={{nClass=14,nIcon=17135,nFrame=3,szName="训马·心情·畏缩不前",nTime=60,key="训马·心情",},{nClass=14,nIcon=4519,nFrame=6,szName="训马·交互·神采飞扬",nTime=0,key="训马·交互·神采飞扬",},{nClass=14,nIcon=4521,nFrame=5,szName="训马·交互·无忧无虑",nTime=0,key="训马·交互·无忧无虑",},},},</v>
      </c>
      <c r="O371" t="s">
        <v>5652</v>
      </c>
      <c r="P371" t="s">
        <v>5648</v>
      </c>
      <c r="Q371" t="s">
        <v>5649</v>
      </c>
    </row>
    <row r="372" spans="1:17" x14ac:dyDescent="0.15">
      <c r="D372" t="s">
        <v>379</v>
      </c>
      <c r="G372">
        <v>1</v>
      </c>
      <c r="N372" t="str">
        <f t="shared" si="5"/>
        <v>{szContent="兴奋",bSearch=true,[14]={},tCountdown={{nClass=14,nIcon=17135,nFrame=3,szName="训马·心情·兴奋",nTime=60,key="训马·心情",},{nClass=14,nIcon=4519,nFrame=6,szName="神采飞扬·交互·训练",nTime=20,key="训马·交互·神采飞扬",},{nClass=14,nIcon=4521,nFrame=5,szName="无忧无虑·交互·安抚",nTime=20,key="训马·交互·无忧无虑",},},},</v>
      </c>
      <c r="O372" t="s">
        <v>5653</v>
      </c>
      <c r="P372" t="s">
        <v>5654</v>
      </c>
      <c r="Q372" t="s">
        <v>5655</v>
      </c>
    </row>
    <row r="373" spans="1:17" x14ac:dyDescent="0.15">
      <c r="D373" t="s">
        <v>5656</v>
      </c>
      <c r="G373">
        <v>1</v>
      </c>
      <c r="N373" t="str">
        <f t="shared" si="5"/>
        <v>{szContent="悠闲",bSearch=true,[14]={},tCountdown={{nClass=14,nIcon=17135,nFrame=3,szName="训马·心情·悠闲",nTime=60,key="训马·心情",},{nClass=14,nIcon=4519,nFrame=6,szName="神采飞扬·交互·训练",nTime=20,key="训马·交互·神采飞扬",},{nClass=14,nIcon=4521,nFrame=5,szName="无忧无虑·交互·安抚",nTime=20,key="训马·交互·无忧无虑",},},},</v>
      </c>
      <c r="O373" t="s">
        <v>5657</v>
      </c>
      <c r="P373" t="s">
        <v>5654</v>
      </c>
      <c r="Q373" t="s">
        <v>5655</v>
      </c>
    </row>
    <row r="374" spans="1:17" x14ac:dyDescent="0.15">
      <c r="D374" t="s">
        <v>603</v>
      </c>
      <c r="G374">
        <v>1</v>
      </c>
      <c r="N374" t="str">
        <f t="shared" si="5"/>
        <v>{szContent="急躁",bSearch=true,[14]={},tCountdown={{nClass=14,nIcon=17135,nFrame=3,szName="训马·心情·急躁",nTime=60,key="训马·心情",},{nClass=14,nIcon=4519,nFrame=6,szName="神采飞扬·交互·清洁",nTime=20,key="训马·交互·神采飞扬",},{nClass=14,nIcon=4521,nFrame=5,szName="无忧无虑·交互·放养",nTime=20,key="训马·交互·无忧无虑",},},},</v>
      </c>
      <c r="O374" t="s">
        <v>5658</v>
      </c>
      <c r="P374" t="s">
        <v>5659</v>
      </c>
      <c r="Q374" t="s">
        <v>5660</v>
      </c>
    </row>
    <row r="375" spans="1:17" x14ac:dyDescent="0.15">
      <c r="D375" t="s">
        <v>5661</v>
      </c>
      <c r="G375">
        <v>1</v>
      </c>
      <c r="N375" t="str">
        <f t="shared" si="5"/>
        <v>{szContent="胆小",bSearch=true,[14]={},tCountdown={{nClass=14,nIcon=17135,nFrame=3,szName="训马·心情·胆小",nTime=60,key="训马·心情",},{nClass=14,nIcon=4519,nFrame=6,szName="神采飞扬·交互·安抚",nTime=20,key="训马·交互·神采飞扬",},{nClass=14,nIcon=4521,nFrame=5,szName="无忧无虑·交互·安抚",nTime=20,key="训马·交互·无忧无虑",},},},</v>
      </c>
      <c r="O375" t="s">
        <v>5662</v>
      </c>
      <c r="P375" t="s">
        <v>5663</v>
      </c>
      <c r="Q375" t="s">
        <v>5655</v>
      </c>
    </row>
    <row r="376" spans="1:17" x14ac:dyDescent="0.15">
      <c r="D376" t="s">
        <v>281</v>
      </c>
      <c r="G376">
        <v>1</v>
      </c>
      <c r="N376" t="str">
        <f t="shared" si="5"/>
        <v>{szContent="平静",bSearch=true,[14]={},tCountdown={{nClass=14,nIcon=17135,nFrame=3,szName="训马·心情·平静",nTime=60,key="训马·心情",},{nClass=14,nIcon=4519,nFrame=6,szName="神采飞扬·交互·训练",nTime=20,key="训马·交互·神采飞扬",},{nClass=14,nIcon=4521,nFrame=5,szName="无忧无虑·交互·安抚",nTime=20,key="训马·交互·无忧无虑",},},},</v>
      </c>
      <c r="O376" t="s">
        <v>5664</v>
      </c>
      <c r="P376" t="s">
        <v>5654</v>
      </c>
      <c r="Q376" t="s">
        <v>5655</v>
      </c>
    </row>
    <row r="377" spans="1:17" x14ac:dyDescent="0.15">
      <c r="C377" t="s">
        <v>5665</v>
      </c>
      <c r="D377" t="s">
        <v>5666</v>
      </c>
      <c r="E377" t="s">
        <v>5667</v>
      </c>
      <c r="H377">
        <v>1</v>
      </c>
      <c r="L377">
        <v>1</v>
      </c>
      <c r="N377" t="str">
        <f t="shared" si="5"/>
        <v>{szContent="^赤兔马已到达(.*)附近，有志于征服赤兔的侠士可速速赶去！",szTarget="小赤",szNote="赤兔·{$1}",bReg=true,[14]={bCenterAlarm=true,},tCountdown={{nClass=14,nIcon=5991,nFrame=4,szName="赤兔·{$1}",nTime=240,key="赤兔",},},},</v>
      </c>
      <c r="O377" t="s">
        <v>5668</v>
      </c>
    </row>
    <row r="378" spans="1:17" x14ac:dyDescent="0.15">
      <c r="C378" t="s">
        <v>5665</v>
      </c>
      <c r="D378" t="s">
        <v>5669</v>
      </c>
      <c r="E378" t="s">
        <v>5670</v>
      </c>
      <c r="K378">
        <v>1</v>
      </c>
      <c r="L378">
        <v>1</v>
      </c>
      <c r="N378" t="str">
        <f t="shared" si="5"/>
        <v>{szContent="的卢已正式出山！浩气盟和恶人谷的侠士可以前去试图抓捕！",szTarget="小赤",szNote="阴山大草原·的卢",[14]={bWhisperChannel=true,bCenterAlarm=true,},tCountdown={{nClass=14,nIcon=21034,nFrame=3,szName="阴山大草原·的卢·已出山",nTime=30,key="的卢",},},},</v>
      </c>
      <c r="O378" t="s">
        <v>5671</v>
      </c>
    </row>
    <row r="379" spans="1:17" x14ac:dyDescent="0.15">
      <c r="C379" t="s">
        <v>5665</v>
      </c>
      <c r="D379" t="s">
        <v>5672</v>
      </c>
      <c r="N379" t="str">
        <f t="shared" si="5"/>
        <v>{szContent="良驹已出山，各位有志之士请做好准备！",szTarget="小赤",[14]={},tCountdown={{nClass=14,nIcon=1899,nFrame=6,szName="阴山大草原·良驹出山",nTime=20,key="良驹·出山",},},},</v>
      </c>
      <c r="O379" t="s">
        <v>5673</v>
      </c>
    </row>
    <row r="380" spans="1:17" x14ac:dyDescent="0.15">
      <c r="A380" t="s">
        <v>257</v>
      </c>
      <c r="B380">
        <v>217</v>
      </c>
      <c r="N380" t="str">
        <f t="shared" si="5"/>
        <v>},[217]={</v>
      </c>
    </row>
    <row r="381" spans="1:17" x14ac:dyDescent="0.15">
      <c r="D381" t="s">
        <v>492</v>
      </c>
      <c r="G381">
        <v>1</v>
      </c>
      <c r="N381" t="str">
        <f t="shared" si="5"/>
        <v>{szContent="无忧无虑",bSearch=true,[14]={},tCountdown={{nClass=14,nIcon=17135,nFrame=5,szName="无忧无虑·加速成长·lv/20min",nTime=20,nRefresh=600,key="训马·心情",},{nClass=14,nIcon=4519,nFrame=6,szName="训马·交互·神采飞扬",nTime=0,key="训马·交互·神采飞扬",},{nClass=14,nIcon=4521,nFrame=5,szName="训马·交互·无忧无虑",nTime=0,key="训马·交互·无忧无虑",},},},</v>
      </c>
      <c r="O381" t="s">
        <v>5647</v>
      </c>
      <c r="P381" t="s">
        <v>5648</v>
      </c>
      <c r="Q381" t="s">
        <v>5649</v>
      </c>
    </row>
    <row r="382" spans="1:17" x14ac:dyDescent="0.15">
      <c r="D382" t="s">
        <v>493</v>
      </c>
      <c r="G382">
        <v>1</v>
      </c>
      <c r="N382" t="str">
        <f t="shared" si="5"/>
        <v>{szContent="神采飞扬",bSearch=true,[14]={},tCountdown={{nClass=14,nIcon=17135,nFrame=6,szName="神采飞扬·邮寄礼物·马草饲料",nTime=20,nRefresh=600,key="训马·心情",},{nClass=14,nIcon=4519,nFrame=6,szName="训马·交互·神采飞扬",nTime=0,key="训马·交互·神采飞扬",},{nClass=14,nIcon=4521,nFrame=5,szName="训马·交互·无忧无虑",nTime=0,key="训马·交互·无忧无虑",},},},</v>
      </c>
      <c r="O382" t="s">
        <v>5650</v>
      </c>
      <c r="P382" t="s">
        <v>5648</v>
      </c>
      <c r="Q382" t="s">
        <v>5649</v>
      </c>
    </row>
    <row r="383" spans="1:17" x14ac:dyDescent="0.15">
      <c r="D383" t="s">
        <v>482</v>
      </c>
      <c r="G383">
        <v>1</v>
      </c>
      <c r="N383" t="str">
        <f t="shared" si="5"/>
        <v>{szContent="狂躁不安",bSearch=true,[14]={},tCountdown={{nClass=14,nIcon=17135,nFrame=3,szName="训马·心情·狂躁不安",nTime=60,key="训马·心情",},{nClass=14,nIcon=4519,nFrame=6,szName="训马·交互·神采飞扬",nTime=0,key="训马·交互·神采飞扬",},{nClass=14,nIcon=4521,nFrame=5,szName="训马·交互·无忧无虑",nTime=0,key="训马·交互·无忧无虑",},},},</v>
      </c>
      <c r="O383" t="s">
        <v>5651</v>
      </c>
      <c r="P383" t="s">
        <v>5648</v>
      </c>
      <c r="Q383" t="s">
        <v>5649</v>
      </c>
    </row>
    <row r="384" spans="1:17" x14ac:dyDescent="0.15">
      <c r="D384" t="s">
        <v>491</v>
      </c>
      <c r="G384">
        <v>1</v>
      </c>
      <c r="N384" t="str">
        <f t="shared" si="5"/>
        <v>{szContent="畏缩不前",bSearch=true,[14]={},tCountdown={{nClass=14,nIcon=17135,nFrame=3,szName="训马·心情·畏缩不前",nTime=60,key="训马·心情",},{nClass=14,nIcon=4519,nFrame=6,szName="训马·交互·神采飞扬",nTime=0,key="训马·交互·神采飞扬",},{nClass=14,nIcon=4521,nFrame=5,szName="训马·交互·无忧无虑",nTime=0,key="训马·交互·无忧无虑",},},},</v>
      </c>
      <c r="O384" t="s">
        <v>5652</v>
      </c>
      <c r="P384" t="s">
        <v>5648</v>
      </c>
      <c r="Q384" t="s">
        <v>5649</v>
      </c>
    </row>
    <row r="385" spans="1:17" x14ac:dyDescent="0.15">
      <c r="D385" t="s">
        <v>379</v>
      </c>
      <c r="G385">
        <v>1</v>
      </c>
      <c r="N385" t="str">
        <f t="shared" si="5"/>
        <v>{szContent="兴奋",bSearch=true,[14]={},tCountdown={{nClass=14,nIcon=17135,nFrame=3,szName="训马·心情·兴奋",nTime=60,key="训马·心情",},{nClass=14,nIcon=4519,nFrame=6,szName="神采飞扬·交互·训练",nTime=20,key="训马·交互·神采飞扬",},{nClass=14,nIcon=4521,nFrame=5,szName="无忧无虑·交互·安抚",nTime=20,key="训马·交互·无忧无虑",},},},</v>
      </c>
      <c r="O385" t="s">
        <v>5653</v>
      </c>
      <c r="P385" t="s">
        <v>5654</v>
      </c>
      <c r="Q385" t="s">
        <v>5655</v>
      </c>
    </row>
    <row r="386" spans="1:17" x14ac:dyDescent="0.15">
      <c r="D386" t="s">
        <v>5656</v>
      </c>
      <c r="G386">
        <v>1</v>
      </c>
      <c r="N386" t="str">
        <f t="shared" ref="N386:N449" si="6">IF(ISBLANK(B386)=FALSE,IF(ISBLANK(B385),"},["&amp;B386&amp;"]={","["&amp;B386&amp;"]={"),IF(AND(ISBLANK(B386),ISBLANK(D386),ISBLANK(G386),ISBLANK(H386),OR(ISBLANK(B385)=FALSE,ISBLANK(D385)=FALSE,ISBLANK(G385)=FALSE,ISBLANK(H385)=FALSE)),"},},}",IF(ISBLANK(D386),"","{szContent="""&amp;D386&amp;""","&amp;IF(C386&lt;&gt;"","szTarget="""&amp;C386&amp;""",","")&amp;IF(E386&lt;&gt;"","szNote="""&amp;E386&amp;""",","")&amp;IF(F386&lt;&gt;"","col={"&amp;F386&amp;"},","")&amp;IF(G386&gt;0,"bSearch=true,","")&amp;IF(H386&gt;0,"bReg=true,","")&amp;"[14]={"&amp;IF(I386&gt;0,"szVoice="""&amp;I386&amp;""",","")&amp;IF(J386&gt;0,"bTeamChannel=true,","")&amp;IF(K386&gt;0,"bWhisperChannel=true,","")&amp;IF(L386&gt;0,"bCenterAlarm=true,","")&amp;IF(M386&gt;0,"bScreenHead=true,","")&amp;"},"&amp;IF(O386&lt;&gt;"","tCountdown={"&amp;_xlfn.TEXTJOIN("",TRUE,O386:ZZ386)&amp;"},","")&amp;"},")))</f>
        <v>{szContent="悠闲",bSearch=true,[14]={},tCountdown={{nClass=14,nIcon=17135,nFrame=3,szName="训马·心情·悠闲",nTime=60,key="训马·心情",},{nClass=14,nIcon=4519,nFrame=6,szName="神采飞扬·交互·训练",nTime=20,key="训马·交互·神采飞扬",},{nClass=14,nIcon=4521,nFrame=5,szName="无忧无虑·交互·安抚",nTime=20,key="训马·交互·无忧无虑",},},},</v>
      </c>
      <c r="O386" t="s">
        <v>5657</v>
      </c>
      <c r="P386" t="s">
        <v>5654</v>
      </c>
      <c r="Q386" t="s">
        <v>5655</v>
      </c>
    </row>
    <row r="387" spans="1:17" x14ac:dyDescent="0.15">
      <c r="D387" t="s">
        <v>603</v>
      </c>
      <c r="G387">
        <v>1</v>
      </c>
      <c r="N387" t="str">
        <f t="shared" si="6"/>
        <v>{szContent="急躁",bSearch=true,[14]={},tCountdown={{nClass=14,nIcon=17135,nFrame=3,szName="训马·心情·急躁",nTime=60,key="训马·心情",},{nClass=14,nIcon=4519,nFrame=6,szName="神采飞扬·交互·清洁",nTime=20,key="训马·交互·神采飞扬",},{nClass=14,nIcon=4521,nFrame=5,szName="无忧无虑·交互·放养",nTime=20,key="训马·交互·无忧无虑",},},},</v>
      </c>
      <c r="O387" t="s">
        <v>5658</v>
      </c>
      <c r="P387" t="s">
        <v>5659</v>
      </c>
      <c r="Q387" t="s">
        <v>5660</v>
      </c>
    </row>
    <row r="388" spans="1:17" x14ac:dyDescent="0.15">
      <c r="D388" t="s">
        <v>5661</v>
      </c>
      <c r="G388">
        <v>1</v>
      </c>
      <c r="N388" t="str">
        <f t="shared" si="6"/>
        <v>{szContent="胆小",bSearch=true,[14]={},tCountdown={{nClass=14,nIcon=17135,nFrame=3,szName="训马·心情·胆小",nTime=60,key="训马·心情",},{nClass=14,nIcon=4519,nFrame=6,szName="神采飞扬·交互·安抚",nTime=20,key="训马·交互·神采飞扬",},{nClass=14,nIcon=4521,nFrame=5,szName="无忧无虑·交互·安抚",nTime=20,key="训马·交互·无忧无虑",},},},</v>
      </c>
      <c r="O388" t="s">
        <v>5662</v>
      </c>
      <c r="P388" t="s">
        <v>5663</v>
      </c>
      <c r="Q388" t="s">
        <v>5655</v>
      </c>
    </row>
    <row r="389" spans="1:17" x14ac:dyDescent="0.15">
      <c r="D389" t="s">
        <v>281</v>
      </c>
      <c r="G389">
        <v>1</v>
      </c>
      <c r="N389" t="str">
        <f t="shared" si="6"/>
        <v>{szContent="平静",bSearch=true,[14]={},tCountdown={{nClass=14,nIcon=17135,nFrame=3,szName="训马·心情·平静",nTime=60,key="训马·心情",},{nClass=14,nIcon=4519,nFrame=6,szName="神采飞扬·交互·训练",nTime=20,key="训马·交互·神采飞扬",},{nClass=14,nIcon=4521,nFrame=5,szName="无忧无虑·交互·安抚",nTime=20,key="训马·交互·无忧无虑",},},},</v>
      </c>
      <c r="O389" t="s">
        <v>5664</v>
      </c>
      <c r="P389" t="s">
        <v>5654</v>
      </c>
      <c r="Q389" t="s">
        <v>5655</v>
      </c>
    </row>
    <row r="390" spans="1:17" x14ac:dyDescent="0.15">
      <c r="C390" t="s">
        <v>5674</v>
      </c>
      <c r="D390" t="s">
        <v>5666</v>
      </c>
      <c r="E390" t="s">
        <v>5667</v>
      </c>
      <c r="H390">
        <v>1</v>
      </c>
      <c r="L390">
        <v>1</v>
      </c>
      <c r="N390" t="str">
        <f t="shared" si="6"/>
        <v>{szContent="^赤兔马已到达(.*)附近，有志于征服赤兔的侠士可速速赶去！",szTarget="杨新",szNote="赤兔·{$1}",bReg=true,[14]={bCenterAlarm=true,},tCountdown={{nClass=14,nIcon=5991,nFrame=4,szName="赤兔·{$1}",nTime=240,key="赤兔",},},},</v>
      </c>
      <c r="O390" t="s">
        <v>5668</v>
      </c>
    </row>
    <row r="391" spans="1:17" x14ac:dyDescent="0.15">
      <c r="C391" t="s">
        <v>5674</v>
      </c>
      <c r="D391" t="s">
        <v>5669</v>
      </c>
      <c r="E391" t="s">
        <v>5675</v>
      </c>
      <c r="K391">
        <v>1</v>
      </c>
      <c r="L391">
        <v>1</v>
      </c>
      <c r="N391" t="str">
        <f t="shared" si="6"/>
        <v>{szContent="的卢已正式出山！浩气盟和恶人谷的侠士可以前去试图抓捕！",szTarget="杨新",szNote="黑戈壁·的卢",[14]={bWhisperChannel=true,bCenterAlarm=true,},tCountdown={{nClass=14,nIcon=21034,nFrame=3,szName="黑戈壁·的卢·已出山",nTime=30,key="的卢",},},},</v>
      </c>
      <c r="O391" t="s">
        <v>5676</v>
      </c>
    </row>
    <row r="392" spans="1:17" x14ac:dyDescent="0.15">
      <c r="C392" t="s">
        <v>5674</v>
      </c>
      <c r="D392" t="s">
        <v>5672</v>
      </c>
      <c r="N392" t="str">
        <f t="shared" si="6"/>
        <v>{szContent="良驹已出山，各位有志之士请做好准备！",szTarget="杨新",[14]={},tCountdown={{nClass=14,nIcon=1899,nFrame=6,szName="黑戈壁·良驹出山",nTime=20,key="良驹·出山",},},},</v>
      </c>
      <c r="O392" t="s">
        <v>5677</v>
      </c>
    </row>
    <row r="393" spans="1:17" x14ac:dyDescent="0.15">
      <c r="A393" t="s">
        <v>258</v>
      </c>
      <c r="B393">
        <v>239</v>
      </c>
      <c r="N393" t="str">
        <f t="shared" si="6"/>
        <v>},[239]={</v>
      </c>
    </row>
    <row r="394" spans="1:17" x14ac:dyDescent="0.15">
      <c r="D394" t="s">
        <v>5678</v>
      </c>
      <c r="N394" t="str">
        <f t="shared" si="6"/>
        <v>{szContent="【城下阵地·进攻】事件已经结束，由于你没有贡献，没有获得奖励。",[14]={},},</v>
      </c>
    </row>
    <row r="395" spans="1:17" x14ac:dyDescent="0.15">
      <c r="D395" t="s">
        <v>5679</v>
      </c>
      <c r="N395" t="str">
        <f t="shared" si="6"/>
        <v>{szContent="【宫城城门·压制】事件已经结束，由于你没有贡献，没有获得奖励。",[14]={},tCountdown={{nClass=14,nIcon=13,nFrame=6,szName="宫城城门·压制·清除城墙弓兵",nTime=10,key="公共事件1",},},},</v>
      </c>
      <c r="O395" t="s">
        <v>5680</v>
      </c>
    </row>
    <row r="396" spans="1:17" x14ac:dyDescent="0.15">
      <c r="D396" t="s">
        <v>5681</v>
      </c>
      <c r="N396" t="str">
        <f t="shared" si="6"/>
        <v>{szContent="【城下阵地·守备】事件已经结束，由于你没有贡献，没有获得奖励。",[14]={},tCountdown={{nClass=14,nIcon=13,nFrame=6,szName="城下阵地·守备·清除城下盾兵",nTime=10,key="公共事件1",},},},</v>
      </c>
      <c r="O396" t="s">
        <v>5682</v>
      </c>
    </row>
    <row r="397" spans="1:17" x14ac:dyDescent="0.15">
      <c r="D397" t="s">
        <v>5683</v>
      </c>
      <c r="N397" t="str">
        <f t="shared" si="6"/>
        <v>{szContent="【潜袭宫城·筹备】事件已经结束，由于你没有贡献，没有获得奖励。",[14]={},tCountdown={{nClass=14,nIcon=13,nFrame=6,szName="潜袭宫城·开启",nTime=5,key="公共事件2",},},},</v>
      </c>
      <c r="O397" t="s">
        <v>5684</v>
      </c>
    </row>
    <row r="398" spans="1:17" x14ac:dyDescent="0.15">
      <c r="D398" t="s">
        <v>5685</v>
      </c>
      <c r="N398" t="str">
        <f t="shared" si="6"/>
        <v>{szContent="【潜袭宫城】事件已经结束，由于你没有贡献，没有获得奖励。",[14]={},tCountdown={{nClass=14,nIcon=13,nFrame=1,szName="潜袭宫城·筹备·开启",nTime=10,key="公共事件2",},},},</v>
      </c>
      <c r="O398" t="s">
        <v>5686</v>
      </c>
    </row>
    <row r="399" spans="1:17" x14ac:dyDescent="0.15">
      <c r="D399" t="s">
        <v>5687</v>
      </c>
      <c r="N399" t="str">
        <f t="shared" si="6"/>
        <v>{szContent="【宫城投石车阵地·压制】事件已经结束，由于你没有贡献，没有获得奖励。",[14]={},tCountdown={{nClass=14,nIcon=13,nFrame=1,szName="潜袭宫城·筹备·开启",nTime=10,key="公共事件2",},},},</v>
      </c>
      <c r="O399" t="s">
        <v>5686</v>
      </c>
    </row>
    <row r="400" spans="1:17" x14ac:dyDescent="0.15">
      <c r="D400" t="s">
        <v>5688</v>
      </c>
      <c r="N400" t="str">
        <f t="shared" si="6"/>
        <v>{szContent="你获得了事件【城下阵地·进攻】的奖励。",[14]={},tCountdown={{nClass=14,nIcon=13,nFrame=6,szName="",nTime="5,宫城城门·压制·开启;15,宫城城门·压制·城墙上弓兵",nRefresh=0,key="公共事件1",},},},</v>
      </c>
      <c r="O400" t="s">
        <v>5689</v>
      </c>
    </row>
    <row r="401" spans="1:15" x14ac:dyDescent="0.15">
      <c r="D401" t="s">
        <v>5690</v>
      </c>
      <c r="N401" t="str">
        <f t="shared" si="6"/>
        <v>{szContent="你获得了事件【宫城城门·压制】的奖励。",[14]={},tCountdown={{nClass=14,nIcon=13,nFrame=6,szName="公共事件1",nTime="5,城下阵地·守备·开启;15,城下阵地·守备·清除城下盾兵",nRefresh=0,key="公共事件1",},},},</v>
      </c>
      <c r="O401" t="s">
        <v>5691</v>
      </c>
    </row>
    <row r="402" spans="1:15" x14ac:dyDescent="0.15">
      <c r="D402" t="s">
        <v>5692</v>
      </c>
      <c r="N402" t="str">
        <f t="shared" si="6"/>
        <v>{szContent="你获得了事件【城下阵地·守备】的奖励。",[14]={},tCountdown={{nClass=14,nIcon=13,nFrame=6,szName="公共事件1",nTime="5,宫城城门·压制·开启;15,宫城城门·压制·清除城墙弓兵",nRefresh=0,key="公共事件1",},},},</v>
      </c>
      <c r="O402" t="s">
        <v>5693</v>
      </c>
    </row>
    <row r="403" spans="1:15" x14ac:dyDescent="0.15">
      <c r="D403" t="s">
        <v>5694</v>
      </c>
      <c r="N403" t="str">
        <f t="shared" si="6"/>
        <v>{szContent="你获得了事件【潜袭宫城·筹备】的奖励。",[14]={},tCountdown={{nClass=14,nIcon=13,nFrame=4,szName="公共事件2",nTime="5,潜袭宫城·开启;602,潜袭宫城·筹备·刷新剩余;610,潜袭宫城·筹备·已刷新",nRefresh=0,key="公共事件2",},},},</v>
      </c>
      <c r="O403" t="s">
        <v>5695</v>
      </c>
    </row>
    <row r="404" spans="1:15" x14ac:dyDescent="0.15">
      <c r="D404" t="s">
        <v>5696</v>
      </c>
      <c r="N404" t="str">
        <f t="shared" si="6"/>
        <v>{szContent="你获得了事件【潜袭宫城】的奖励。",[14]={},tCountdown={{nClass=14,nIcon=13,nFrame=1,szName="潜袭宫城·筹备·开启",nTime=10,key="公共事件2",},},},</v>
      </c>
      <c r="O404" t="s">
        <v>5686</v>
      </c>
    </row>
    <row r="405" spans="1:15" x14ac:dyDescent="0.15">
      <c r="D405" t="s">
        <v>5697</v>
      </c>
      <c r="N405" t="str">
        <f t="shared" si="6"/>
        <v>{szContent="你获得了事件【宫城投石车阵地·压制】的奖励。",[14]={},tCountdown={{nClass=14,nIcon=13,nFrame=1,szName="潜袭宫城·筹备·开启",nTime=10,key="公共事件2",},},},</v>
      </c>
      <c r="O405" t="s">
        <v>5686</v>
      </c>
    </row>
    <row r="406" spans="1:15" x14ac:dyDescent="0.15">
      <c r="C406" t="s">
        <v>5698</v>
      </c>
      <c r="D406" t="s">
        <v>5699</v>
      </c>
      <c r="F406" t="s">
        <v>2529</v>
      </c>
      <c r="N406" t="str">
        <f t="shared" si="6"/>
        <v>{szContent="我方辎重车开始装车！大家快前往守护，谷主重重有赏！",szTarget="古镇狱",col={255,100,100,},[14]={},tCountdown={{nClass=14,nIcon=15380,nFrame=3,szName="恶人·保护辎重车",nTime=300,key="押送物资",},},},</v>
      </c>
      <c r="O406" t="s">
        <v>5700</v>
      </c>
    </row>
    <row r="407" spans="1:15" x14ac:dyDescent="0.15">
      <c r="C407" t="s">
        <v>5698</v>
      </c>
      <c r="D407" t="s">
        <v>5701</v>
      </c>
      <c r="F407" t="s">
        <v>2529</v>
      </c>
      <c r="N407" t="str">
        <f t="shared" si="6"/>
        <v>{szContent="辎重车装车完毕，出发！接下来交给其他兄弟，大家辛苦了！",szTarget="古镇狱",col={255,100,100,},[14]={},tCountdown={{nClass=14,nIcon=2398,nFrame=3,szName="恶人·领取奖赏",nTime=40,key="押送物资",},},},</v>
      </c>
      <c r="O407" t="s">
        <v>5702</v>
      </c>
    </row>
    <row r="408" spans="1:15" x14ac:dyDescent="0.15">
      <c r="C408" t="s">
        <v>5698</v>
      </c>
      <c r="D408" t="s">
        <v>5703</v>
      </c>
      <c r="F408" t="s">
        <v>2529</v>
      </c>
      <c r="G408">
        <v>1</v>
      </c>
      <c r="N408" t="str">
        <f t="shared" si="6"/>
        <v>{szContent="辎重车已被破坏，好容易收集来的物资丢失了！",szTarget="古镇狱",col={255,100,100,},bSearch=true,[14]={},tCountdown={{nClass=14,nIcon=2397,nFrame=7,szName="浩气·劫车奖励",nTime=40,key="押送物资",},},},</v>
      </c>
      <c r="O408" t="s">
        <v>5704</v>
      </c>
    </row>
    <row r="409" spans="1:15" x14ac:dyDescent="0.15">
      <c r="C409" t="s">
        <v>5705</v>
      </c>
      <c r="D409" t="s">
        <v>5706</v>
      </c>
      <c r="F409" t="s">
        <v>2524</v>
      </c>
      <c r="N409" t="str">
        <f t="shared" si="6"/>
        <v>{szContent="我方辎重车开始装车！大家快前往守护，盟主重重有赏！",szTarget="方一云",col={100,100,255,},[14]={},tCountdown={{nClass=14,nIcon=15384,nFrame=7,szName="浩气·保护辎重车",nTime=300,key="押送物资",},},},</v>
      </c>
      <c r="O409" t="s">
        <v>5707</v>
      </c>
    </row>
    <row r="410" spans="1:15" x14ac:dyDescent="0.15">
      <c r="C410" t="s">
        <v>5705</v>
      </c>
      <c r="D410" t="s">
        <v>5701</v>
      </c>
      <c r="F410" t="s">
        <v>2524</v>
      </c>
      <c r="N410" t="str">
        <f t="shared" si="6"/>
        <v>{szContent="辎重车装车完毕，出发！接下来交给其他兄弟，大家辛苦了！",szTarget="方一云",col={100,100,255,},[14]={},tCountdown={{nClass=14,nIcon=2397,nFrame=7,szName="浩气·领取奖赏",nTime=40,key="押送物资",},},},</v>
      </c>
      <c r="O410" t="s">
        <v>5708</v>
      </c>
    </row>
    <row r="411" spans="1:15" x14ac:dyDescent="0.15">
      <c r="C411" t="s">
        <v>5705</v>
      </c>
      <c r="D411" t="s">
        <v>5703</v>
      </c>
      <c r="F411" t="s">
        <v>2524</v>
      </c>
      <c r="N411" t="str">
        <f t="shared" si="6"/>
        <v>{szContent="辎重车已被破坏，好容易收集来的物资丢失了！",szTarget="方一云",col={100,100,255,},[14]={},tCountdown={{nClass=14,nIcon=2398,nFrame=3,szName="恶人·劫车奖励",nTime=40,key="押送物资",},},},</v>
      </c>
      <c r="O411" t="s">
        <v>5709</v>
      </c>
    </row>
    <row r="412" spans="1:15" x14ac:dyDescent="0.15">
      <c r="A412" t="s">
        <v>259</v>
      </c>
      <c r="B412">
        <v>243</v>
      </c>
      <c r="N412" t="str">
        <f t="shared" si="6"/>
        <v>},[243]={</v>
      </c>
    </row>
    <row r="413" spans="1:15" x14ac:dyDescent="0.15">
      <c r="C413" t="s">
        <v>5710</v>
      </c>
      <c r="D413" t="s">
        <v>5711</v>
      </c>
      <c r="N413" t="str">
        <f t="shared" si="6"/>
        <v>{szContent="霜林出现了厉害的吊睛白虎，正在狩猎的侠士们可以找到这猛兽一试身手！",szTarget="柳辰苇",[14]={},tCountdown={{nClass=14,nIcon=17135,nFrame=3,szName="门派事件·{$N55356}·出现",nTime=20,key="门派事件·{$N55356}",},},},</v>
      </c>
      <c r="O413" t="s">
        <v>5712</v>
      </c>
    </row>
    <row r="414" spans="1:15" x14ac:dyDescent="0.15">
      <c r="D414" t="s">
        <v>5713</v>
      </c>
      <c r="N414" t="str">
        <f t="shared" si="6"/>
        <v>{szContent="你获得了事件【霸刀·杀意四伏】的奖励。",[14]={},tCountdown={{nClass=14,nIcon=17135,nFrame=3,szName="门派事件1·杀意四伏·结束",nTime=5,key="门派事件1",},},},</v>
      </c>
      <c r="O414" t="s">
        <v>5714</v>
      </c>
    </row>
    <row r="415" spans="1:15" x14ac:dyDescent="0.15">
      <c r="C415" t="s">
        <v>5715</v>
      </c>
      <c r="D415" t="s">
        <v>5716</v>
      </c>
      <c r="N415" t="str">
        <f t="shared" si="6"/>
        <v>{szContent="可惜尔等管了这不该管的闲事，我便留不得你们了！",szTarget="唐花",[14]={},tCountdown={{nClass=14,nIcon=17135,nFrame=3,szName="门派事件2·机关重重·唐花",nTime=10,key="门派事件2",},},},</v>
      </c>
      <c r="O415" t="s">
        <v>5717</v>
      </c>
    </row>
    <row r="416" spans="1:15" x14ac:dyDescent="0.15">
      <c r="C416" t="s">
        <v>5715</v>
      </c>
      <c r="D416" t="s">
        <v>5718</v>
      </c>
      <c r="N416" t="str">
        <f t="shared" si="6"/>
        <v>{szContent="咳咳……",szTarget="唐花",[14]={},tCountdown={{nClass=14,nIcon=17135,nFrame=3,szName="门派事件2·机关重重·结束",nTime=5,key="门派事件2",},},},</v>
      </c>
      <c r="O416" t="s">
        <v>5719</v>
      </c>
    </row>
    <row r="417" spans="1:16" x14ac:dyDescent="0.15">
      <c r="C417" t="s">
        <v>5720</v>
      </c>
      <c r="D417" t="s">
        <v>5721</v>
      </c>
      <c r="N417" t="str">
        <f t="shared" si="6"/>
        <v>{szContent="说甚么胡话！唐家妹子，你且先去！速速将此处情形告知蛇仙！咱尚能抵得一时！",szTarget="重楼子",[14]={},tCountdown={{nClass=14,nIcon=17135,nFrame=3,szName="门派事件3·星暗长林·重楼子",nTime=10,key="门派事件3",},},},</v>
      </c>
      <c r="O417" t="s">
        <v>5722</v>
      </c>
    </row>
    <row r="418" spans="1:16" x14ac:dyDescent="0.15">
      <c r="C418" t="s">
        <v>5720</v>
      </c>
      <c r="D418" t="s">
        <v>5718</v>
      </c>
      <c r="N418" t="str">
        <f t="shared" si="6"/>
        <v>{szContent="咳咳……",szTarget="重楼子",[14]={},tCountdown={{nClass=14,nIcon=17135,nFrame=3,szName="门派事件3·星暗长林·结束",nTime=5,key="门派事件2",},},},</v>
      </c>
      <c r="O418" t="s">
        <v>5723</v>
      </c>
    </row>
    <row r="419" spans="1:16" x14ac:dyDescent="0.15">
      <c r="C419" t="s">
        <v>5724</v>
      </c>
      <c r="D419" t="s">
        <v>5725</v>
      </c>
      <c r="N419" t="str">
        <f t="shared" si="6"/>
        <v>{szContent="哎呀哎呀，将军不要那么凶嘛。",szTarget="蛇仙女",[14]={},tCountdown={{nClass=14,nIcon=17135,nFrame=3,szName="门派事件1·蛇魅狼影·蛇仙女",nTime=10,key="门派事件1",},},},</v>
      </c>
      <c r="O419" t="s">
        <v>5726</v>
      </c>
    </row>
    <row r="420" spans="1:16" x14ac:dyDescent="0.15">
      <c r="C420" t="s">
        <v>5724</v>
      </c>
      <c r="D420" t="s">
        <v>5727</v>
      </c>
      <c r="N420" t="str">
        <f t="shared" si="6"/>
        <v>{szContent="哎呀哎呀，原来是夫人来了。",szTarget="蛇仙女",[14]={},tCountdown={{nClass=14,nIcon=17135,nFrame=3,szName="门派事件1·蛇魅狼影·结束",nTime=5,key="门派事件1",},},},</v>
      </c>
      <c r="O420" t="s">
        <v>5728</v>
      </c>
    </row>
    <row r="421" spans="1:16" x14ac:dyDescent="0.15">
      <c r="A421" t="s">
        <v>5729</v>
      </c>
      <c r="B421">
        <v>283</v>
      </c>
      <c r="N421" t="str">
        <f t="shared" si="6"/>
        <v>},[283]={</v>
      </c>
    </row>
    <row r="422" spans="1:16" x14ac:dyDescent="0.15">
      <c r="C422" t="s">
        <v>5730</v>
      </c>
      <c r="D422" t="s">
        <v>5731</v>
      </c>
      <c r="N422" t="str">
        <f t="shared" si="6"/>
        <v>{szContent="哈哈哈哈！",szTarget="也漠河",[14]={},tCountdown={{nClass=14,nIcon=17135,nFrame=5,szName="剧情·也漠河",nTime=37,key="剧情",},},},</v>
      </c>
      <c r="O422" t="s">
        <v>5732</v>
      </c>
    </row>
    <row r="423" spans="1:16" x14ac:dyDescent="0.15">
      <c r="A423" t="s">
        <v>903</v>
      </c>
      <c r="B423">
        <v>286</v>
      </c>
      <c r="N423" t="str">
        <f t="shared" si="6"/>
        <v>},[286]={</v>
      </c>
    </row>
    <row r="424" spans="1:16" x14ac:dyDescent="0.15">
      <c r="C424" t="s">
        <v>5730</v>
      </c>
      <c r="D424" t="s">
        <v>5731</v>
      </c>
      <c r="N424" t="str">
        <f t="shared" si="6"/>
        <v>{szContent="哈哈哈哈！",szTarget="也漠河",[14]={},tCountdown={{nClass=14,nIcon=17135,nFrame=5,szName="剧情·也漠河",nTime=37,key="剧情",},},},</v>
      </c>
      <c r="O424" t="s">
        <v>5732</v>
      </c>
    </row>
    <row r="425" spans="1:16" x14ac:dyDescent="0.15">
      <c r="A425" t="s">
        <v>260</v>
      </c>
      <c r="B425">
        <v>302</v>
      </c>
      <c r="N425" t="str">
        <f t="shared" si="6"/>
        <v>},[302]={</v>
      </c>
    </row>
    <row r="426" spans="1:16" x14ac:dyDescent="0.15">
      <c r="C426" t="s">
        <v>4887</v>
      </c>
      <c r="D426" t="s">
        <v>5733</v>
      </c>
      <c r="N426" t="str">
        <f t="shared" si="6"/>
        <v>{szContent="这里能看见山下的村庄呢。",szTarget="雪雪",[14]={},tCountdown={{nClass=14,nIcon=293,nFrame=5,szName="可以去周围商铺看看",nTime=20,key="雪雪·旅行介绍1",},{nClass=14,nIcon=293,nFrame=5,szName="可以去祈梦台大树下许愿",nTime=20,key="雪雪·旅行介绍2",},},},</v>
      </c>
      <c r="O426" t="s">
        <v>5734</v>
      </c>
      <c r="P426" t="s">
        <v>5735</v>
      </c>
    </row>
    <row r="427" spans="1:16" x14ac:dyDescent="0.15">
      <c r="C427" t="s">
        <v>4887</v>
      </c>
      <c r="D427" t="s">
        <v>5736</v>
      </c>
      <c r="N427" t="str">
        <f t="shared" si="6"/>
        <v>{szContent="啊，雪雪的发簪不见了，可能是玩耍的时候弄丢了，雪雪要回去找找。大姐姐若是要找我的话，我就在停云居门口。",szTarget="雪雪",[14]={},tCountdown={{nClass=14,nIcon=17135,nFrame=3,szName="雪雪·剧情阶段3·停云居门口河边",nTime=10,key="雪雪·剧情",},},},</v>
      </c>
      <c r="O427" t="s">
        <v>5737</v>
      </c>
    </row>
    <row r="428" spans="1:16" x14ac:dyDescent="0.15">
      <c r="C428" t="s">
        <v>4887</v>
      </c>
      <c r="D428" t="s">
        <v>5738</v>
      </c>
      <c r="N428" t="str">
        <f t="shared" si="6"/>
        <v>{szContent="啊，雪雪突然想起来还有件要紧的事情要做。大姐姐若是要找我的话，我就在停云居门口的河边。",szTarget="雪雪",[14]={},tCountdown={{nClass=14,nIcon=17135,nFrame=3,szName="雪雪·剧情阶段2·停云居门口河边",nTime=10,key="雪雪·剧情",},},},</v>
      </c>
      <c r="O428" t="s">
        <v>5739</v>
      </c>
    </row>
    <row r="429" spans="1:16" x14ac:dyDescent="0.15">
      <c r="C429" t="s">
        <v>4887</v>
      </c>
      <c r="D429" t="s">
        <v>5740</v>
      </c>
      <c r="N429" t="str">
        <f t="shared" si="6"/>
        <v>{szContent="原来冬瓜烧肉是这样做的啊，我好像学到了一点呢。",szTarget="雪雪",[14]={},tCountdown={{nClass=14,nIcon=7622,nFrame=6,szName="冬瓜烧肉·根骨·熟练度+1",nTime=10.1,nRefresh=9,key="做菜提示·冬瓜烧肉",},},},</v>
      </c>
      <c r="O429" t="s">
        <v>5741</v>
      </c>
    </row>
    <row r="430" spans="1:16" x14ac:dyDescent="0.15">
      <c r="C430" t="s">
        <v>4887</v>
      </c>
      <c r="D430" t="s">
        <v>5742</v>
      </c>
      <c r="N430" t="str">
        <f t="shared" si="6"/>
        <v>{szContent="这冬瓜烧肉我终于学会啦！",szTarget="雪雪",[14]={},tCountdown={{nClass=14,nIcon=7622,nFrame=0,szName="雪雪·学会·冬瓜烧肉·根骨",nTime=10.1,key="做菜提示·冬瓜烧肉",},},},</v>
      </c>
      <c r="O430" t="s">
        <v>5743</v>
      </c>
    </row>
    <row r="431" spans="1:16" x14ac:dyDescent="0.15">
      <c r="C431" t="s">
        <v>4887</v>
      </c>
      <c r="D431" t="s">
        <v>5744</v>
      </c>
      <c r="N431" t="str">
        <f t="shared" si="6"/>
        <v>{szContent="原来黄瓜烧肉是这样做的啊，我好像学到了一点呢。",szTarget="雪雪",[14]={},tCountdown={{nClass=14,nIcon=7533,nFrame=6,szName="黄瓜烧肉·力道·熟练度+1",nTime=10.1,key="做菜提示·黄瓜烧肉",},},},</v>
      </c>
      <c r="O431" t="s">
        <v>5745</v>
      </c>
    </row>
    <row r="432" spans="1:16" x14ac:dyDescent="0.15">
      <c r="C432" t="s">
        <v>4887</v>
      </c>
      <c r="D432" t="s">
        <v>5746</v>
      </c>
      <c r="N432" t="str">
        <f t="shared" si="6"/>
        <v>{szContent="这黄瓜烧肉我终于学会啦！",szTarget="雪雪",[14]={},tCountdown={{nClass=14,nIcon=7533,nFrame=0,szName="雪雪·学会·黄瓜烧肉·力道",nTime=10.1,key="做菜提示·黄瓜烧肉",},},},</v>
      </c>
      <c r="O432" t="s">
        <v>5747</v>
      </c>
    </row>
    <row r="433" spans="3:15" x14ac:dyDescent="0.15">
      <c r="C433" t="s">
        <v>4887</v>
      </c>
      <c r="D433" t="s">
        <v>5748</v>
      </c>
      <c r="N433" t="str">
        <f t="shared" si="6"/>
        <v>{szContent="原来肉粥是这样做的啊，我好像学到了一点呢。",szTarget="雪雪",[14]={},tCountdown={{nClass=14,nIcon=7659,nFrame=6,szName="肉 　粥 ·元气·熟练度+1",nTime=10.1,key="做菜提示·肉粥",},},},</v>
      </c>
      <c r="O433" t="s">
        <v>5749</v>
      </c>
    </row>
    <row r="434" spans="3:15" x14ac:dyDescent="0.15">
      <c r="C434" t="s">
        <v>4887</v>
      </c>
      <c r="D434" t="s">
        <v>5750</v>
      </c>
      <c r="N434" t="str">
        <f t="shared" si="6"/>
        <v>{szContent="这肉粥我终于学会啦！",szTarget="雪雪",[14]={},tCountdown={{nClass=14,nIcon=7659,nFrame=0,szName="雪雪·学会·肉粥·元气",nTime=10.1,key="做菜提示·肉粥",},},},</v>
      </c>
      <c r="O434" t="s">
        <v>5751</v>
      </c>
    </row>
    <row r="435" spans="3:15" x14ac:dyDescent="0.15">
      <c r="C435" t="s">
        <v>4887</v>
      </c>
      <c r="D435" t="s">
        <v>5752</v>
      </c>
      <c r="N435" t="str">
        <f t="shared" si="6"/>
        <v>{szContent="原来蘑菇炖肉是这样做的啊，我好像学到了一点呢。",szTarget="雪雪",[14]={},tCountdown={{nClass=14,nIcon=7613,nFrame=6,szName="蘑菇炖肉·身法·熟练度+1",nTime=10.1,key="做菜提示·蘑菇炖肉",},},},</v>
      </c>
      <c r="O435" t="s">
        <v>5753</v>
      </c>
    </row>
    <row r="436" spans="3:15" x14ac:dyDescent="0.15">
      <c r="C436" t="s">
        <v>4887</v>
      </c>
      <c r="D436" t="s">
        <v>5754</v>
      </c>
      <c r="N436" t="str">
        <f t="shared" si="6"/>
        <v>{szContent="这蘑菇炖肉我终于学会啦！",szTarget="雪雪",[14]={},tCountdown={{nClass=14,nIcon=7613,nFrame=0,szName="雪雪·学会·蘑菇炖肉·身法",nTime=10.1,key="做菜提示·蘑菇炖肉",},},},</v>
      </c>
      <c r="O436" t="s">
        <v>5755</v>
      </c>
    </row>
    <row r="437" spans="3:15" x14ac:dyDescent="0.15">
      <c r="C437" t="s">
        <v>4887</v>
      </c>
      <c r="D437" t="s">
        <v>5756</v>
      </c>
      <c r="N437" t="str">
        <f t="shared" si="6"/>
        <v>{szContent="原来馄饨是这样做的啊，我好像学到了一点呢。",szTarget="雪雪",[14]={},tCountdown={{nClass=14,nIcon=545,nFrame=6,szName="混沌·精力·熟练度+1",nTime=10.1,key="做菜提示·混沌",},},},</v>
      </c>
      <c r="O437" t="s">
        <v>5757</v>
      </c>
    </row>
    <row r="438" spans="3:15" x14ac:dyDescent="0.15">
      <c r="C438" t="s">
        <v>4887</v>
      </c>
      <c r="D438" t="s">
        <v>5758</v>
      </c>
      <c r="N438" t="str">
        <f t="shared" si="6"/>
        <v>{szContent="这馄饨我终于学会啦！",szTarget="雪雪",[14]={},tCountdown={{nClass=14,nIcon=545,nFrame=0,szName="雪雪·学会·混沌·精力",nTime=10.1,key="做菜提示·混沌",},},},</v>
      </c>
      <c r="O438" t="s">
        <v>5759</v>
      </c>
    </row>
    <row r="439" spans="3:15" x14ac:dyDescent="0.15">
      <c r="C439" t="s">
        <v>4887</v>
      </c>
      <c r="D439" t="s">
        <v>5760</v>
      </c>
      <c r="N439" t="str">
        <f t="shared" si="6"/>
        <v>{szContent="原来肉馅团子是这样做的啊，我好像学到了一点呢。",szTarget="雪雪",[14]={},tCountdown={{nClass=14,nIcon=7635,nFrame=0,szName="肉馅团子·体质·熟练度+1",nTime=10.1,key="做菜提示·肉馅团子",},},},</v>
      </c>
      <c r="O439" t="s">
        <v>5761</v>
      </c>
    </row>
    <row r="440" spans="3:15" x14ac:dyDescent="0.15">
      <c r="C440" t="s">
        <v>4887</v>
      </c>
      <c r="D440" t="s">
        <v>5762</v>
      </c>
      <c r="N440" t="str">
        <f t="shared" si="6"/>
        <v>{szContent="这肉馅团子我终于学会啦！",szTarget="雪雪",[14]={},tCountdown={{nClass=14,nIcon=7635,nFrame=0,szName="雪雪·学会·肉馅团子·体质",nTime=10.1,key="做菜提示·肉馅团子",},},},</v>
      </c>
      <c r="O440" t="s">
        <v>5763</v>
      </c>
    </row>
    <row r="441" spans="3:15" x14ac:dyDescent="0.15">
      <c r="C441" t="s">
        <v>4887</v>
      </c>
      <c r="D441" t="s">
        <v>5764</v>
      </c>
      <c r="N441" t="str">
        <f t="shared" si="6"/>
        <v>{szContent="原来鲜肉包子是这样做的啊，我好像学到了一点呢。",szTarget="雪雪",[14]={},tCountdown={{nClass=14,nIcon=259,nFrame=0,szName="鲜肉包子·内力·熟练度+1",nTime=10.1,key="做菜提示·鲜肉包子",},},},</v>
      </c>
      <c r="O441" t="s">
        <v>5765</v>
      </c>
    </row>
    <row r="442" spans="3:15" x14ac:dyDescent="0.15">
      <c r="C442" t="s">
        <v>4887</v>
      </c>
      <c r="D442" t="s">
        <v>5766</v>
      </c>
      <c r="N442" t="str">
        <f t="shared" si="6"/>
        <v>{szContent="这鲜肉包子我终于学会啦！",szTarget="雪雪",[14]={},tCountdown={{nClass=14,nIcon=259,nFrame=0,szName="雪雪·学会·鲜肉包子·内力",nTime=10.1,key="做菜提示·鲜肉包子",},},},</v>
      </c>
      <c r="O442" t="s">
        <v>5767</v>
      </c>
    </row>
    <row r="443" spans="3:15" x14ac:dyDescent="0.15">
      <c r="C443" t="s">
        <v>4887</v>
      </c>
      <c r="D443" t="s">
        <v>5768</v>
      </c>
      <c r="N443" t="str">
        <f t="shared" si="6"/>
        <v>{szContent="这稻香饼我终于学会啦！",szTarget="雪雪",[14]={},tCountdown={{nClass=14,nIcon=259,nFrame=0,szName="雪雪·学会·稻香饼·气血",nTime=10.1,key="做菜提示·稻香饼",},},},</v>
      </c>
      <c r="O443" t="s">
        <v>5769</v>
      </c>
    </row>
    <row r="444" spans="3:15" x14ac:dyDescent="0.15">
      <c r="C444" t="s">
        <v>4887</v>
      </c>
      <c r="D444" t="s">
        <v>5770</v>
      </c>
      <c r="N444" t="str">
        <f t="shared" si="6"/>
        <v>{szContent="稻香饼好好吃呀！",szTarget="雪雪",[14]={},tCountdown={{nClass=14,nIcon=100,nFrame=5,szName="雪雪·已学会·稻香饼·气血",nTime=10.1,key="做菜提示·稻香饼",},},},</v>
      </c>
      <c r="O444" t="s">
        <v>5771</v>
      </c>
    </row>
    <row r="445" spans="3:15" x14ac:dyDescent="0.15">
      <c r="C445" t="s">
        <v>4887</v>
      </c>
      <c r="D445" t="s">
        <v>5772</v>
      </c>
      <c r="N445" t="str">
        <f t="shared" si="6"/>
        <v>{szContent="馄饨好好吃呀！",szTarget="雪雪",[14]={},tCountdown={{nClass=14,nIcon=545,nFrame=0,szName="雪雪·已学会·混沌·精力",nTime=10.1,key="做菜提示·混沌",},},},</v>
      </c>
      <c r="O445" t="s">
        <v>5773</v>
      </c>
    </row>
    <row r="446" spans="3:15" x14ac:dyDescent="0.15">
      <c r="C446" t="s">
        <v>4887</v>
      </c>
      <c r="D446" t="s">
        <v>5774</v>
      </c>
      <c r="N446" t="str">
        <f t="shared" si="6"/>
        <v>{szContent="肉馅团子好好吃呀！",szTarget="雪雪",[14]={},tCountdown={{nClass=14,nIcon=7635,nFrame=0,szName="雪雪·已学会·肉馅团子·体质",nTime=10.1,key="做菜提示·肉馅团子",},},},</v>
      </c>
      <c r="O446" t="s">
        <v>5775</v>
      </c>
    </row>
    <row r="447" spans="3:15" x14ac:dyDescent="0.15">
      <c r="C447" t="s">
        <v>4887</v>
      </c>
      <c r="D447" t="s">
        <v>5776</v>
      </c>
      <c r="N447" t="str">
        <f t="shared" si="6"/>
        <v>{szContent="冬瓜烧肉好好吃呀！",szTarget="雪雪",[14]={},tCountdown={{nClass=14,nIcon=7622,nFrame=0,szName="雪雪·已学会·冬瓜烧肉·根骨",nTime=10.1,key="做菜提示·冬瓜烧肉",},},},</v>
      </c>
      <c r="O447" t="s">
        <v>5777</v>
      </c>
    </row>
    <row r="448" spans="3:15" x14ac:dyDescent="0.15">
      <c r="C448" t="s">
        <v>4887</v>
      </c>
      <c r="D448" t="s">
        <v>5778</v>
      </c>
      <c r="N448" t="str">
        <f t="shared" si="6"/>
        <v>{szContent="黄瓜烧肉好好吃呀！",szTarget="雪雪",[14]={},tCountdown={{nClass=14,nIcon=7533,nFrame=0,szName="雪雪·已学会·黄瓜烧肉·力道",nTime=10.1,key="做菜提示·黄瓜烧肉",},},},</v>
      </c>
      <c r="O448" t="s">
        <v>5779</v>
      </c>
    </row>
    <row r="449" spans="1:23" x14ac:dyDescent="0.15">
      <c r="C449" t="s">
        <v>4887</v>
      </c>
      <c r="D449" t="s">
        <v>5780</v>
      </c>
      <c r="N449" t="str">
        <f t="shared" si="6"/>
        <v>{szContent="肉粥好好吃呀！",szTarget="雪雪",[14]={},tCountdown={{nClass=14,nIcon=7659,nFrame=0,szName="雪雪·已学会·肉粥·元气",nTime=10.1,key="做菜提示·肉粥",},},},</v>
      </c>
      <c r="O449" t="s">
        <v>5781</v>
      </c>
    </row>
    <row r="450" spans="1:23" x14ac:dyDescent="0.15">
      <c r="C450" t="s">
        <v>4887</v>
      </c>
      <c r="D450" t="s">
        <v>5782</v>
      </c>
      <c r="N450" t="str">
        <f t="shared" ref="N450:N513" si="7">IF(ISBLANK(B450)=FALSE,IF(ISBLANK(B449),"},["&amp;B450&amp;"]={","["&amp;B450&amp;"]={"),IF(AND(ISBLANK(B450),ISBLANK(D450),ISBLANK(G450),ISBLANK(H450),OR(ISBLANK(B449)=FALSE,ISBLANK(D449)=FALSE,ISBLANK(G449)=FALSE,ISBLANK(H449)=FALSE)),"},},}",IF(ISBLANK(D450),"","{szContent="""&amp;D450&amp;""","&amp;IF(C450&lt;&gt;"","szTarget="""&amp;C450&amp;""",","")&amp;IF(E450&lt;&gt;"","szNote="""&amp;E450&amp;""",","")&amp;IF(F450&lt;&gt;"","col={"&amp;F450&amp;"},","")&amp;IF(G450&gt;0,"bSearch=true,","")&amp;IF(H450&gt;0,"bReg=true,","")&amp;"[14]={"&amp;IF(I450&gt;0,"szVoice="""&amp;I450&amp;""",","")&amp;IF(J450&gt;0,"bTeamChannel=true,","")&amp;IF(K450&gt;0,"bWhisperChannel=true,","")&amp;IF(L450&gt;0,"bCenterAlarm=true,","")&amp;IF(M450&gt;0,"bScreenHead=true,","")&amp;"},"&amp;IF(O450&lt;&gt;"","tCountdown={"&amp;_xlfn.TEXTJOIN("",TRUE,O450:ZZ450)&amp;"},","")&amp;"},")))</f>
        <v>{szContent="蘑菇炖肉好好吃呀！",szTarget="雪雪",[14]={},tCountdown={{nClass=14,nIcon=7613,nFrame=0,szName="雪雪·已学会·蘑菇炖肉·身法",nTime=10.1,key="做菜提示·蘑菇炖肉",},},},</v>
      </c>
      <c r="O450" t="s">
        <v>5783</v>
      </c>
    </row>
    <row r="451" spans="1:23" x14ac:dyDescent="0.15">
      <c r="C451" t="s">
        <v>4887</v>
      </c>
      <c r="D451" t="s">
        <v>5784</v>
      </c>
      <c r="N451" t="str">
        <f t="shared" si="7"/>
        <v>{szContent="鲜肉包子好好吃呀！",szTarget="雪雪",[14]={},tCountdown={{nClass=14,nIcon=259,nFrame=0,szName="雪雪·已学会·鲜肉包子·内力",nTime=10.1,key="做菜提示·鲜肉包子",},},},</v>
      </c>
      <c r="O451" t="s">
        <v>5785</v>
      </c>
    </row>
    <row r="452" spans="1:23" x14ac:dyDescent="0.15">
      <c r="D452" t="s">
        <v>5786</v>
      </c>
      <c r="N452" t="str">
        <f t="shared" si="7"/>
        <v>{szContent="需要离灶台近一些。",[14]={},tCountdown={{nClass=14,nIcon=1259,nFrame=5,szName="雪雪学会后逢年过节会送",nTime=10,nRefresh=9,key="做菜提示",},{nClass=14,nIcon=100,nFrame=5,szName="稻 香 饼 ·恢复气血2点",nTime=10,nRefresh=9,key="做菜提示·稻香饼",},{nClass=14,nIcon=259,nFrame=5,szName="鲜肉包子·恢复内力2点",nTime=10,nRefresh=9,key="做菜提示·鲜肉包子",},{nClass=14,nIcon=545,nFrame=5,szName=" 混 　沌 ·恢复精力5点",nTime=10,nRefresh=9,key="做菜提示·混沌",},{nClass=14,nIcon=7635,nFrame=5,szName="肉馅团子·体质",nTime=10,nRefresh=9,key="做菜提示·肉馅团子",},{nClass=14,nIcon=7622,nFrame=5,szName="冬瓜烧肉·根骨",nTime=10,nRefresh=9,key="做菜提示·冬瓜烧肉",},{nClass=14,nIcon=7533,nFrame=5,szName="黄瓜烧肉·力道",nTime=10,nRefresh=9,key="做菜提示·黄瓜烧肉",},{nClass=14,nIcon=7659,nFrame=5,szName=" 肉 　粥 ·元气",nTime=10,nRefresh=9,key="做菜提示·肉粥",},{nClass=14,nIcon=7613,nFrame=5,szName="蘑菇炖肉·身法",nTime=10,nRefresh=9,key="做菜提示·蘑菇炖肉",},},},</v>
      </c>
      <c r="O452" t="s">
        <v>5787</v>
      </c>
      <c r="P452" t="s">
        <v>5788</v>
      </c>
      <c r="Q452" t="s">
        <v>5789</v>
      </c>
      <c r="R452" t="s">
        <v>5790</v>
      </c>
      <c r="S452" t="s">
        <v>5791</v>
      </c>
      <c r="T452" t="s">
        <v>5792</v>
      </c>
      <c r="U452" t="s">
        <v>5793</v>
      </c>
      <c r="V452" t="s">
        <v>5794</v>
      </c>
      <c r="W452" t="s">
        <v>5795</v>
      </c>
    </row>
    <row r="453" spans="1:23" x14ac:dyDescent="0.15">
      <c r="D453" t="s">
        <v>5796</v>
      </c>
      <c r="N453" t="str">
        <f t="shared" si="7"/>
        <v>{szContent="好感度等级已满。",[14]={},},</v>
      </c>
    </row>
    <row r="454" spans="1:23" x14ac:dyDescent="0.15">
      <c r="D454" t="s">
        <v>5797</v>
      </c>
      <c r="N454" t="str">
        <f t="shared" si="7"/>
        <v>{szContent="此任务完成后，雪雪的命途不可再改变。",[14]={},tCountdown={{nClass=14,nIcon=17135,nFrame=7,szName="任务完成则命途不可再改变",nTime=10.1,key="雪雪·命途1",},{nClass=14,nIcon=17135,nFrame=7,szName="可放弃任务继续游玩修改命途",nTime=10.1,key="雪雪·命途2",},},},</v>
      </c>
      <c r="O454" t="s">
        <v>5798</v>
      </c>
      <c r="P454" t="s">
        <v>5799</v>
      </c>
    </row>
    <row r="455" spans="1:23" x14ac:dyDescent="0.15">
      <c r="C455" t="s">
        <v>4887</v>
      </c>
      <c r="D455" t="s">
        <v>5800</v>
      </c>
      <c r="N455" t="str">
        <f t="shared" si="7"/>
        <v>{szContent="那……山高路远，后会有期啦。",szTarget="雪雪",[14]={},tCountdown={{nClass=14,nIcon=17135,nFrame=7,szName="雪雪养成·结束",nTime=10.1,key="雪雪·命途1",},{nClass=14,nIcon=17135,nFrame=7,szName="在任意水中乘坐停云雪霁有概率相遇",nTime=10.1,key="雪雪·命途2",},},},</v>
      </c>
      <c r="O455" t="s">
        <v>5801</v>
      </c>
      <c r="P455" t="s">
        <v>5802</v>
      </c>
    </row>
    <row r="456" spans="1:23" x14ac:dyDescent="0.15">
      <c r="A456" t="s">
        <v>261</v>
      </c>
      <c r="B456">
        <v>330</v>
      </c>
      <c r="N456" t="str">
        <f t="shared" si="7"/>
        <v>},[330]={</v>
      </c>
    </row>
    <row r="457" spans="1:23" x14ac:dyDescent="0.15">
      <c r="C457" t="s">
        <v>5803</v>
      </c>
      <c r="D457" t="s">
        <v>5804</v>
      </c>
      <c r="N457" t="str">
        <f t="shared" si="7"/>
        <v>{szContent="汪！汪！汪！",szTarget="货运雪橇",[14]={},tCountdown={{nClass=14,nIcon=17135,nFrame=3,szName="雪国冬猎·木柴6分·需17个",nTime=20,key="公共事件1·提示1",},{nClass=14,nIcon=17135,nFrame=3,szName="雪国冬猎·雪原鹿10分",nTime=20,key="公共事件1·提示2",},{nClass=14,nIcon=17135,nFrame=3,szName="雪国冬猎·雪原兔6分",nTime=20,key="公共事件1·提示3",},{nClass=14,nIcon=17135,nFrame=3,szName="雪国冬猎·野人参20分",nTime=20,key="公共事件1·提示4",},{nClass=14,nIcon=17135,nFrame=6,szName="采集木柴·贺沛福上交更近",nTime=20,key="公共事件1·提示5",},},},</v>
      </c>
      <c r="O457" t="s">
        <v>5805</v>
      </c>
      <c r="P457" t="s">
        <v>5806</v>
      </c>
      <c r="Q457" t="s">
        <v>5807</v>
      </c>
      <c r="R457" t="s">
        <v>5808</v>
      </c>
      <c r="S457" t="s">
        <v>5809</v>
      </c>
    </row>
    <row r="458" spans="1:23" x14ac:dyDescent="0.15">
      <c r="C458" t="s">
        <v>5810</v>
      </c>
      <c r="D458" t="s">
        <v>5811</v>
      </c>
      <c r="N458" t="str">
        <f t="shared" si="7"/>
        <v>{szContent="贺氏商会广收各类物资，还请各位侠士前来相助！",szTarget="贺沛福",[14]={},tCountdown={{nClass=14,nIcon=17135,nFrame=3,szName="公共事件1·雪国冬猎·开启",nTime=10,key="公共事件1",},},},</v>
      </c>
      <c r="O458" t="s">
        <v>5812</v>
      </c>
    </row>
    <row r="459" spans="1:23" x14ac:dyDescent="0.15">
      <c r="C459" t="s">
        <v>5810</v>
      </c>
      <c r="D459" t="s">
        <v>5813</v>
      </c>
      <c r="N459" t="str">
        <f t="shared" si="7"/>
        <v>{szContent="物资已收集了许多，感谢诸位侠士的鼎力相助！",szTarget="贺沛福",[14]={},tCountdown={{nClass=14,nIcon=17135,nFrame=3,szName="公共事件1·雪国冬猎·结束",nTime=5,key="公共事件1",},},},</v>
      </c>
      <c r="O459" t="s">
        <v>5814</v>
      </c>
    </row>
    <row r="460" spans="1:23" x14ac:dyDescent="0.15">
      <c r="A460" t="s">
        <v>940</v>
      </c>
      <c r="B460">
        <v>331</v>
      </c>
      <c r="N460" t="str">
        <f t="shared" si="7"/>
        <v>},[331]={</v>
      </c>
    </row>
    <row r="461" spans="1:23" x14ac:dyDescent="0.15">
      <c r="C461" t="s">
        <v>4887</v>
      </c>
      <c r="D461" t="s">
        <v>4888</v>
      </c>
      <c r="N461" t="str">
        <f t="shared" si="7"/>
        <v>{szContent="一起去哪玩？",szTarget="雪雪",[14]={},tCountdown={{nClass=14,nIcon=293,nFrame=5,szName="可以直走·看小桥",nTime=20,nRefresh=15,key="雪雪·旅行介绍1",},{nClass=14,nIcon=293,nFrame=5,szName="可以去上方·看小亭子",nTime=20,nRefresh=15,key="雪雪·旅行介绍2",},},},</v>
      </c>
      <c r="O461" t="s">
        <v>5815</v>
      </c>
      <c r="P461" t="s">
        <v>5816</v>
      </c>
    </row>
    <row r="462" spans="1:23" x14ac:dyDescent="0.15">
      <c r="A462" t="s">
        <v>941</v>
      </c>
      <c r="B462">
        <v>332</v>
      </c>
      <c r="N462" t="str">
        <f t="shared" si="7"/>
        <v>},[332]={</v>
      </c>
    </row>
    <row r="463" spans="1:23" x14ac:dyDescent="0.15">
      <c r="D463" t="s">
        <v>5817</v>
      </c>
      <c r="N463" t="str">
        <f t="shared" si="7"/>
        <v>{szContent="你获得了事件【雾岛寻丹】的奖励。",[14]={},tCountdown={{nClass=14,nIcon=17135,nFrame=5,szName="雾岛寻丹",nTime=0,key="雾岛寻丹",},},},</v>
      </c>
      <c r="O463" t="s">
        <v>5818</v>
      </c>
    </row>
    <row r="464" spans="1:23" x14ac:dyDescent="0.15">
      <c r="A464" t="s">
        <v>264</v>
      </c>
      <c r="B464">
        <v>411</v>
      </c>
      <c r="N464" t="str">
        <f t="shared" si="7"/>
        <v>},[411]={</v>
      </c>
    </row>
    <row r="465" spans="1:18" x14ac:dyDescent="0.15">
      <c r="D465" t="s">
        <v>5819</v>
      </c>
      <c r="N465" t="str">
        <f t="shared" si="7"/>
        <v>{szContent="你记得易珍集那里有个伙房，不如去试试。",[14]={},tCountdown={{nClass=14,nIcon=17135,nFrame=7,szName="易珍集·蒋大厨·灶台",nTime=20,key="奇遇·滴水恩·提示1",},{nClass=14,nIcon=17135,nFrame=7,szName="不要点太快·避免错选5k金",nTime=20.1,key="奇遇·滴水恩·提示2",},{nClass=14,nIcon=17135,nFrame=7,szName="可直接交互·灶台",nTime=20.1,key="奇遇·滴水恩·提示3",},{nClass=14,nIcon=17135,nFrame=7,szName="烹饪专精|95级以上·六炉金龙丹",nTime=20.1,key="奇遇·滴水恩·提示4",},},},</v>
      </c>
      <c r="O465" t="s">
        <v>5820</v>
      </c>
      <c r="P465" t="s">
        <v>5821</v>
      </c>
      <c r="Q465" t="s">
        <v>5822</v>
      </c>
      <c r="R465" t="s">
        <v>5823</v>
      </c>
    </row>
    <row r="466" spans="1:18" x14ac:dyDescent="0.15">
      <c r="C466" t="s">
        <v>5824</v>
      </c>
      <c r="D466" t="s">
        <v>5666</v>
      </c>
      <c r="E466" t="s">
        <v>5667</v>
      </c>
      <c r="H466">
        <v>1</v>
      </c>
      <c r="L466">
        <v>1</v>
      </c>
      <c r="N466" t="str">
        <f t="shared" si="7"/>
        <v>{szContent="^赤兔马已到达(.*)附近，有志于征服赤兔的侠士可速速赶去！",szTarget="方问",szNote="赤兔·{$1}",bReg=true,[14]={bCenterAlarm=true,},tCountdown={{nClass=14,nIcon=5991,nFrame=4,szName="赤兔·{$1}",nTime=240,key="赤兔",},},},</v>
      </c>
      <c r="O466" t="s">
        <v>5668</v>
      </c>
    </row>
    <row r="467" spans="1:18" x14ac:dyDescent="0.15">
      <c r="D467" t="s">
        <v>492</v>
      </c>
      <c r="G467">
        <v>1</v>
      </c>
      <c r="N467" t="str">
        <f t="shared" si="7"/>
        <v>{szContent="无忧无虑",bSearch=true,[14]={},tCountdown={{nClass=14,nIcon=17135,nFrame=5,szName="无忧无虑·加速成长·lv/20min",nTime=20,nRefresh=600,key="训马·心情",},{nClass=14,nIcon=4519,nFrame=6,szName="训马·交互·神采飞扬",nTime=0,key="训马·交互·神采飞扬",},{nClass=14,nIcon=4521,nFrame=5,szName="训马·交互·无忧无虑",nTime=0,key="训马·交互·无忧无虑",},},},</v>
      </c>
      <c r="O467" t="s">
        <v>5647</v>
      </c>
      <c r="P467" t="s">
        <v>5648</v>
      </c>
      <c r="Q467" t="s">
        <v>5649</v>
      </c>
    </row>
    <row r="468" spans="1:18" x14ac:dyDescent="0.15">
      <c r="D468" t="s">
        <v>493</v>
      </c>
      <c r="G468">
        <v>1</v>
      </c>
      <c r="N468" t="str">
        <f t="shared" si="7"/>
        <v>{szContent="神采飞扬",bSearch=true,[14]={},tCountdown={{nClass=14,nIcon=17135,nFrame=6,szName="神采飞扬·邮寄礼物·马草饲料",nTime=20,nRefresh=600,key="训马·心情",},{nClass=14,nIcon=4519,nFrame=6,szName="训马·交互·神采飞扬",nTime=0,key="训马·交互·神采飞扬",},{nClass=14,nIcon=4521,nFrame=5,szName="训马·交互·无忧无虑",nTime=0,key="训马·交互·无忧无虑",},},},</v>
      </c>
      <c r="O468" t="s">
        <v>5650</v>
      </c>
      <c r="P468" t="s">
        <v>5648</v>
      </c>
      <c r="Q468" t="s">
        <v>5649</v>
      </c>
    </row>
    <row r="469" spans="1:18" x14ac:dyDescent="0.15">
      <c r="D469" t="s">
        <v>482</v>
      </c>
      <c r="G469">
        <v>1</v>
      </c>
      <c r="N469" t="str">
        <f t="shared" si="7"/>
        <v>{szContent="狂躁不安",bSearch=true,[14]={},tCountdown={{nClass=14,nIcon=17135,nFrame=3,szName="训马·心情·狂躁不安",nTime=60,key="训马·心情",},{nClass=14,nIcon=4519,nFrame=6,szName="训马·交互·神采飞扬",nTime=0,key="训马·交互·神采飞扬",},{nClass=14,nIcon=4521,nFrame=5,szName="训马·交互·无忧无虑",nTime=0,key="训马·交互·无忧无虑",},},},</v>
      </c>
      <c r="O469" t="s">
        <v>5651</v>
      </c>
      <c r="P469" t="s">
        <v>5648</v>
      </c>
      <c r="Q469" t="s">
        <v>5649</v>
      </c>
    </row>
    <row r="470" spans="1:18" x14ac:dyDescent="0.15">
      <c r="D470" t="s">
        <v>491</v>
      </c>
      <c r="G470">
        <v>1</v>
      </c>
      <c r="N470" t="str">
        <f t="shared" si="7"/>
        <v>{szContent="畏缩不前",bSearch=true,[14]={},tCountdown={{nClass=14,nIcon=17135,nFrame=3,szName="训马·心情·畏缩不前",nTime=60,key="训马·心情",},{nClass=14,nIcon=4519,nFrame=6,szName="训马·交互·神采飞扬",nTime=0,key="训马·交互·神采飞扬",},{nClass=14,nIcon=4521,nFrame=5,szName="训马·交互·无忧无虑",nTime=0,key="训马·交互·无忧无虑",},},},</v>
      </c>
      <c r="O470" t="s">
        <v>5652</v>
      </c>
      <c r="P470" t="s">
        <v>5648</v>
      </c>
      <c r="Q470" t="s">
        <v>5649</v>
      </c>
    </row>
    <row r="471" spans="1:18" x14ac:dyDescent="0.15">
      <c r="D471" t="s">
        <v>379</v>
      </c>
      <c r="G471">
        <v>1</v>
      </c>
      <c r="N471" t="str">
        <f t="shared" si="7"/>
        <v>{szContent="兴奋",bSearch=true,[14]={},tCountdown={{nClass=14,nIcon=17135,nFrame=3,szName="训马·心情·兴奋",nTime=60,key="训马·心情",},{nClass=14,nIcon=4519,nFrame=6,szName="神采飞扬·交互·训练",nTime=20,key="训马·交互·神采飞扬",},{nClass=14,nIcon=4521,nFrame=5,szName="无忧无虑·交互·安抚",nTime=20,key="训马·交互·无忧无虑",},},},</v>
      </c>
      <c r="O471" t="s">
        <v>5653</v>
      </c>
      <c r="P471" t="s">
        <v>5654</v>
      </c>
      <c r="Q471" t="s">
        <v>5655</v>
      </c>
    </row>
    <row r="472" spans="1:18" x14ac:dyDescent="0.15">
      <c r="D472" t="s">
        <v>5656</v>
      </c>
      <c r="G472">
        <v>1</v>
      </c>
      <c r="N472" t="str">
        <f t="shared" si="7"/>
        <v>{szContent="悠闲",bSearch=true,[14]={},tCountdown={{nClass=14,nIcon=17135,nFrame=3,szName="训马·心情·悠闲",nTime=60,key="训马·心情",},{nClass=14,nIcon=4519,nFrame=6,szName="神采飞扬·交互·训练",nTime=20,key="训马·交互·神采飞扬",},{nClass=14,nIcon=4521,nFrame=5,szName="无忧无虑·交互·安抚",nTime=20,key="训马·交互·无忧无虑",},},},</v>
      </c>
      <c r="O472" t="s">
        <v>5657</v>
      </c>
      <c r="P472" t="s">
        <v>5654</v>
      </c>
      <c r="Q472" t="s">
        <v>5655</v>
      </c>
    </row>
    <row r="473" spans="1:18" x14ac:dyDescent="0.15">
      <c r="D473" t="s">
        <v>603</v>
      </c>
      <c r="G473">
        <v>1</v>
      </c>
      <c r="N473" t="str">
        <f t="shared" si="7"/>
        <v>{szContent="急躁",bSearch=true,[14]={},tCountdown={{nClass=14,nIcon=17135,nFrame=3,szName="训马·心情·急躁",nTime=60,key="训马·心情",},{nClass=14,nIcon=4519,nFrame=6,szName="神采飞扬·交互·清洁",nTime=20,key="训马·交互·神采飞扬",},{nClass=14,nIcon=4521,nFrame=5,szName="无忧无虑·交互·放养",nTime=20,key="训马·交互·无忧无虑",},},},</v>
      </c>
      <c r="O473" t="s">
        <v>5658</v>
      </c>
      <c r="P473" t="s">
        <v>5659</v>
      </c>
      <c r="Q473" t="s">
        <v>5660</v>
      </c>
    </row>
    <row r="474" spans="1:18" x14ac:dyDescent="0.15">
      <c r="D474" t="s">
        <v>5661</v>
      </c>
      <c r="G474">
        <v>1</v>
      </c>
      <c r="N474" t="str">
        <f t="shared" si="7"/>
        <v>{szContent="胆小",bSearch=true,[14]={},tCountdown={{nClass=14,nIcon=17135,nFrame=3,szName="训马·心情·胆小",nTime=60,key="训马·心情",},{nClass=14,nIcon=4519,nFrame=6,szName="神采飞扬·交互·安抚",nTime=20,key="训马·交互·神采飞扬",},{nClass=14,nIcon=4521,nFrame=5,szName="无忧无虑·交互·安抚",nTime=20,key="训马·交互·无忧无虑",},},},</v>
      </c>
      <c r="O474" t="s">
        <v>5662</v>
      </c>
      <c r="P474" t="s">
        <v>5663</v>
      </c>
      <c r="Q474" t="s">
        <v>5655</v>
      </c>
    </row>
    <row r="475" spans="1:18" x14ac:dyDescent="0.15">
      <c r="D475" t="s">
        <v>281</v>
      </c>
      <c r="G475">
        <v>1</v>
      </c>
      <c r="N475" t="str">
        <f t="shared" si="7"/>
        <v>{szContent="平静",bSearch=true,[14]={},tCountdown={{nClass=14,nIcon=17135,nFrame=3,szName="训马·心情·平静",nTime=60,key="训马·心情",},{nClass=14,nIcon=4519,nFrame=6,szName="神采飞扬·交互·训练",nTime=20,key="训马·交互·神采飞扬",},{nClass=14,nIcon=4521,nFrame=5,szName="无忧无虑·交互·安抚",nTime=20,key="训马·交互·无忧无虑",},},},</v>
      </c>
      <c r="O475" t="s">
        <v>5664</v>
      </c>
      <c r="P475" t="s">
        <v>5654</v>
      </c>
      <c r="Q475" t="s">
        <v>5655</v>
      </c>
    </row>
    <row r="476" spans="1:18" x14ac:dyDescent="0.15">
      <c r="C476" t="s">
        <v>5824</v>
      </c>
      <c r="D476" t="s">
        <v>5669</v>
      </c>
      <c r="E476" t="s">
        <v>5825</v>
      </c>
      <c r="K476">
        <v>1</v>
      </c>
      <c r="L476">
        <v>1</v>
      </c>
      <c r="N476" t="str">
        <f t="shared" si="7"/>
        <v>{szContent="的卢已正式出山！浩气盟和恶人谷的侠士可以前去试图抓捕！",szTarget="方问",szNote="鲲鹏岛·的卢",[14]={bWhisperChannel=true,bCenterAlarm=true,},tCountdown={{nClass=14,nIcon=21034,nFrame=3,szName="鲲鹏岛·的卢·已出山",nTime=30,key="的卢",},},},</v>
      </c>
      <c r="O476" t="s">
        <v>5826</v>
      </c>
    </row>
    <row r="477" spans="1:18" x14ac:dyDescent="0.15">
      <c r="C477" t="s">
        <v>5824</v>
      </c>
      <c r="D477" t="s">
        <v>5672</v>
      </c>
      <c r="N477" t="str">
        <f t="shared" si="7"/>
        <v>{szContent="良驹已出山，各位有志之士请做好准备！",szTarget="方问",[14]={},tCountdown={{nClass=14,nIcon=1899,nFrame=6,szName="鲲鹏岛·良驹出山",nTime=20,key="良驹·出山",},},},</v>
      </c>
      <c r="O477" t="s">
        <v>5827</v>
      </c>
    </row>
    <row r="478" spans="1:18" x14ac:dyDescent="0.15">
      <c r="A478" t="s">
        <v>1111</v>
      </c>
      <c r="B478">
        <v>567</v>
      </c>
      <c r="N478" t="str">
        <f t="shared" si="7"/>
        <v>},[567]={</v>
      </c>
    </row>
    <row r="479" spans="1:18" x14ac:dyDescent="0.15">
      <c r="D479" t="s">
        <v>5828</v>
      </c>
      <c r="N479" t="str">
        <f t="shared" si="7"/>
        <v>{szContent="队长开始了游戏，三十秒后游戏开始，请做好准备",[14]={},tCountdown={{nClass=14,nIcon=17135,nFrame=5,szName="游戏已开启·请准备",nTime=30,key="原野奇踪",},},},</v>
      </c>
      <c r="O479" t="s">
        <v>5829</v>
      </c>
    </row>
    <row r="480" spans="1:18" x14ac:dyDescent="0.15">
      <c r="D480" t="s">
        <v>5830</v>
      </c>
      <c r="N480" t="str">
        <f t="shared" si="7"/>
        <v>{szContent="已完成本波守护，下一波将提前开始",[14]={},tCountdown={{nClass=14,nIcon=17135,nFrame=5,szName="提前开始",nTime=5,key="原野奇踪",},},},</v>
      </c>
      <c r="O480" t="s">
        <v>5831</v>
      </c>
    </row>
    <row r="481" spans="1:19" x14ac:dyDescent="0.15">
      <c r="D481" t="s">
        <v>5832</v>
      </c>
      <c r="N481" t="str">
        <f t="shared" si="7"/>
        <v>{szContent="满员守护宝物，获得最高档奖励！",[14]={},tCountdown={{nClass=14,nIcon=17135,nFrame=2,szName="获得最高档奖励",nTime=10,key="原野奇踪",},{nClass=14,nIcon=17135,nFrame=2,szName="记得领取奖励！！",nTime=10.1,key="原野奇踪2",},{nClass=14,nIcon=17135,nFrame=2,szName="记得领取奖励！！",nTime=10.1,key="原野奇踪3",},},},</v>
      </c>
      <c r="O481" t="s">
        <v>5833</v>
      </c>
      <c r="P481" t="s">
        <v>5834</v>
      </c>
      <c r="Q481" t="s">
        <v>5835</v>
      </c>
    </row>
    <row r="482" spans="1:19" x14ac:dyDescent="0.15">
      <c r="D482" t="s">
        <v>5836</v>
      </c>
      <c r="N482" t="str">
        <f t="shared" si="7"/>
        <v>{szContent="不满员守护宝物，获得普通奖励！",[14]={},tCountdown={{nClass=14,nIcon=17135,nFrame=2,szName="记得领取奖励！！",nTime=10.1,key="原野奇踪2",},{nClass=14,nIcon=17135,nFrame=2,szName="记得领取奖励！！",nTime=10.1,key="原野奇踪3",},},},</v>
      </c>
      <c r="O482" t="s">
        <v>5834</v>
      </c>
      <c r="P482" t="s">
        <v>5835</v>
      </c>
    </row>
    <row r="483" spans="1:19" x14ac:dyDescent="0.15">
      <c r="D483" t="s">
        <v>5837</v>
      </c>
      <c r="N483" t="str">
        <f t="shared" si="7"/>
        <v>{szContent="领取的奖励已经放入少侠背包，请注意查看！",[14]={},tCountdown={{nClass=14,nIcon=17135,nFrame=2,szName="奖励已经放入背包",nTime=2,key="原野奇踪2",},{nClass=14,nIcon=17135,nFrame=2,szName="奖励已经放入背包",nTime=2,key="原野奇踪3",},},},</v>
      </c>
      <c r="O483" t="s">
        <v>5838</v>
      </c>
      <c r="P483" t="s">
        <v>5839</v>
      </c>
    </row>
    <row r="484" spans="1:19" x14ac:dyDescent="0.15">
      <c r="A484" t="s">
        <v>1118</v>
      </c>
      <c r="B484">
        <v>574</v>
      </c>
      <c r="N484" t="str">
        <f t="shared" si="7"/>
        <v>},[574]={</v>
      </c>
    </row>
    <row r="485" spans="1:19" x14ac:dyDescent="0.15">
      <c r="C485" t="s">
        <v>4812</v>
      </c>
      <c r="D485" t="s">
        <v>5840</v>
      </c>
      <c r="N485" t="str">
        <f t="shared" si="7"/>
        <v>{szContent="在呢。",szTarget="燕子娘",[14]={},tCountdown={{nClass=14,nIcon=340,nFrame=5,szName="{$sender}",nTime=10,},},},</v>
      </c>
      <c r="O485" t="s">
        <v>5841</v>
      </c>
    </row>
    <row r="486" spans="1:19" x14ac:dyDescent="0.15">
      <c r="C486" t="s">
        <v>4826</v>
      </c>
      <c r="D486" t="s">
        <v>5842</v>
      </c>
      <c r="N486" t="str">
        <f t="shared" si="7"/>
        <v>{szContent="神拳帮费大劲为尊客效劳。",szTarget="费大劲",[14]={},tCountdown={{nClass=14,nIcon=340,nFrame=5,szName="{$sender}",nTime=10,},},},</v>
      </c>
      <c r="O486" t="s">
        <v>5841</v>
      </c>
    </row>
    <row r="487" spans="1:19" x14ac:dyDescent="0.15">
      <c r="A487" t="s">
        <v>1123</v>
      </c>
      <c r="B487">
        <v>579</v>
      </c>
      <c r="N487" t="str">
        <f t="shared" si="7"/>
        <v>},[579]={</v>
      </c>
    </row>
    <row r="488" spans="1:19" x14ac:dyDescent="0.15">
      <c r="C488" t="s">
        <v>5843</v>
      </c>
      <c r="D488" t="s">
        <v>5844</v>
      </c>
      <c r="N488" t="str">
        <f t="shared" si="7"/>
        <v>{szContent="咳咳……咳……你们！",szTarget="老书生",[14]={},tCountdown={{nClass=14,nIcon=17135,nFrame=0,szName="奇遇提示0",nTime="5,恭喜触发·寓天涯·莓莓;15,奇遇不封印·约10分钟完成;30,1.对话·附近·老书生;90,2.前往·流木村·阿玉;150,3.前往·白水村·对话·老书生;210,4.礼礼附近黄圈·寻找海螺壳;240,5.返回白水村·交互莓莓;300,6.进入老书生家里等待剧情;330,7.杂货商卢芦取药返回老书生;360,8.附近靠近阿玉等待剧情;420,9.返回老书生家里等待剧情;440,完成奇遇·寓天涯·莓莓",nRefresh=0,key="奇遇提示0",},{nClass=14,nIcon=17135,nFrame=7,szName="对话·老书生·流木村·阿玉",nTime=600,key="奇遇提示1",},{nClass=14,nIcon=17135,nFrame=7,szName="前往·白水村·对话·老书生",nTime=600,key="奇遇提示2",},{nClass=14,nIcon=17135,nFrame=7,szName="寻找·海螺壳·礼礼附近黄圈",nTime=600,key="奇遇提示3",},{nClass=14,nIcon=17135,nFrame=7,szName="返回·白水村·交互·莓莓",nTime=600,key="奇遇提示4",},},},</v>
      </c>
      <c r="O488" t="s">
        <v>5845</v>
      </c>
      <c r="P488" t="s">
        <v>5846</v>
      </c>
      <c r="Q488" t="s">
        <v>5847</v>
      </c>
      <c r="R488" t="s">
        <v>5848</v>
      </c>
      <c r="S488" t="s">
        <v>5849</v>
      </c>
    </row>
    <row r="489" spans="1:19" x14ac:dyDescent="0.15">
      <c r="C489" t="s">
        <v>5850</v>
      </c>
      <c r="D489" t="s">
        <v>5851</v>
      </c>
      <c r="N489" t="str">
        <f t="shared" si="7"/>
        <v>{szContent="王老先生，我方才在船上干活，没看好阿玉。没承想这孩子居然又闯下祸事，是我疏忽了，平日没将他教好。在这儿给您赔罪了。",szTarget="阿香",[14]={},tCountdown={{nClass=14,nIcon=17135,nFrame=0,szName="奇遇提示0",nTime="60,6.进入老书生家里等待剧情;90,7.杂货商卢芦取药返回老书生;120,8.附近靠近阿玉等待剧情;180,9.返回老书生家里等待剧情;200,完成奇遇·寓天涯·莓莓",nRefresh=0,key="奇遇提示0",},{nClass=14,nIcon=17135,nFrame=7,szName="进入·老书生家里·等待剧情",nTime=600,key="奇遇提示1",},{nClass=14,nIcon=17135,nFrame=7,szName="附近·卢芦·取药·老书生",nTime=600,key="奇遇提示2",},{nClass=14,nIcon=17135,nFrame=7,szName="附近·阿玉·返回·老书生",nTime=600,key="奇遇提示3",},{nClass=14,nIcon=17135,nFrame=7,szName="等待·剧情·完成·寓天涯",nTime=600,key="奇遇提示4",},},},</v>
      </c>
      <c r="O489" t="s">
        <v>5852</v>
      </c>
      <c r="P489" t="s">
        <v>5853</v>
      </c>
      <c r="Q489" t="s">
        <v>5854</v>
      </c>
      <c r="R489" t="s">
        <v>5855</v>
      </c>
      <c r="S489" t="s">
        <v>5856</v>
      </c>
    </row>
    <row r="490" spans="1:19" x14ac:dyDescent="0.15">
      <c r="C490" t="s">
        <v>5857</v>
      </c>
      <c r="D490" t="s">
        <v>5858</v>
      </c>
      <c r="N490" t="str">
        <f t="shared" si="7"/>
        <v>{szContent="只会告状，有本事你便和我打一架！",szTarget="阿玉",[14]={},tCountdown={{nClass=14,nIcon=17135,nFrame=0,szName="奇遇提示0",nTime="30,7.杂货商卢芦取药返回老书生;90,8.附近靠近阿玉等待剧情;120,9.返回老书生家里等待剧情;140,完成奇遇·寓天涯·莓莓",nRefresh=0,key="奇遇提示0",},{nClass=14,nIcon=17135,nFrame=7,szName="附近·卢芦·取药·老书生",nTime=600,key="奇遇提示1",},{nClass=14,nIcon=17135,nFrame=7,szName="附近·阿玉·返回·老书生",nTime=600,key="奇遇提示2",},{nClass=14,nIcon=17135,nFrame=7,szName="等待·剧情·完成·寓天涯",nTime=600,key="奇遇提示3",},{nClass=14,nIcon=17135,nFrame=7,szName="奇遇提示4",nTime=0,key="奇遇提示4",},},},</v>
      </c>
      <c r="O490" t="s">
        <v>5859</v>
      </c>
      <c r="P490" t="s">
        <v>5860</v>
      </c>
      <c r="Q490" t="s">
        <v>5861</v>
      </c>
      <c r="R490" t="s">
        <v>5862</v>
      </c>
      <c r="S490" t="s">
        <v>5036</v>
      </c>
    </row>
    <row r="491" spans="1:19" x14ac:dyDescent="0.15">
      <c r="C491" t="s">
        <v>5863</v>
      </c>
      <c r="D491" t="s">
        <v>5864</v>
      </c>
      <c r="N491" t="str">
        <f t="shared" si="7"/>
        <v>{szContent="消消气儿消消气儿，您可千万别发火，（扯上同伴）咱们这就走，这就走。",szTarget="黄崎帮帮众",[14]={},tCountdown={{nClass=14,nIcon=17135,nFrame=0,szName="奇遇提示0",nTime="90,9.返回老书生家里等待剧情;110,完成奇遇·寓天涯·莓莓",nRefresh=0,key="奇遇提示0",},{nClass=14,nIcon=17135,nFrame=7,szName="返回·老书生·等待·剧情",nTime=120,key="奇遇提示1",},{nClass=14,nIcon=17135,nFrame=7,szName="奇遇提示2",nTime=0,key="奇遇提示2",},{nClass=14,nIcon=17135,nFrame=7,szName="奇遇提示3",nTime=0,key="奇遇提示3",},},},</v>
      </c>
      <c r="O491" t="s">
        <v>5865</v>
      </c>
      <c r="P491" t="s">
        <v>5866</v>
      </c>
      <c r="Q491" t="s">
        <v>4787</v>
      </c>
      <c r="R491" t="s">
        <v>4788</v>
      </c>
    </row>
    <row r="492" spans="1:19" x14ac:dyDescent="0.15">
      <c r="C492" t="s">
        <v>5843</v>
      </c>
      <c r="D492" t="s">
        <v>5867</v>
      </c>
      <c r="N492" t="str">
        <f t="shared" si="7"/>
        <v>{szContent="有意气才可行江湖，待变成我这般枯槁老头子便来不及了……我时日不多，莓莓便托付给你照顾了。你云游四方，便带着它一同见识天涯海角盛景吧，它见了，便等同于我也见了……",szTarget="老书生",[14]={},tCountdown={{nClass=14,nIcon=17135,nFrame=0,szName="奇遇提示0",nTime=0,key="奇遇提示0",},{nClass=14,nIcon=17135,nFrame=7,szName="完成奇遇·寓天涯·莓莓",nTime=20,key="奇遇提示1",},{nClass=14,nIcon=17135,nFrame=7,szName="奇遇提示2",nTime=0,key="奇遇提示2",},{nClass=14,nIcon=17135,nFrame=7,szName="奇遇提示3",nTime=0,key="奇遇提示3",},},},</v>
      </c>
      <c r="O492" t="s">
        <v>5035</v>
      </c>
      <c r="P492" t="s">
        <v>5868</v>
      </c>
      <c r="Q492" t="s">
        <v>4787</v>
      </c>
      <c r="R492" t="s">
        <v>4788</v>
      </c>
    </row>
    <row r="493" spans="1:19" x14ac:dyDescent="0.15">
      <c r="D493" t="s">
        <v>5869</v>
      </c>
      <c r="N493" t="str">
        <f t="shared" si="7"/>
        <v>{szContent="你突然感觉后颈一痛",[14]={},tCountdown={{nClass=14,nIcon=17135,nFrame=0,szName="奇遇提示0",nTime="5,恭喜触发·乱红鸾;15,奇遇不封印·全程5-10分钟;60,1.等待2次QTE",nRefresh=0,key="奇遇提示0",},{nClass=14,nIcon=17135,nFrame=7,szName="1.两次QTE",nTime=60,key="奇遇提示1",},{nClass=14,nIcon=17135,nFrame=7,szName="2.传送·婚宴·QTE",nTime=60,key="奇遇提示2",},{nClass=14,nIcon=17135,nFrame=7,szName="3.交互·小牛·前往·摸宠点附近",nTime=60,key="奇遇提示3",},{nClass=14,nIcon=17135,nFrame=7,szName="4.摸宠点后方·盆盆船附近·光圈",nTime=60,key="奇遇提示4",},},},</v>
      </c>
      <c r="O493" t="s">
        <v>5870</v>
      </c>
      <c r="P493" t="s">
        <v>5871</v>
      </c>
      <c r="Q493" t="s">
        <v>5872</v>
      </c>
      <c r="R493" t="s">
        <v>5873</v>
      </c>
      <c r="S493" t="s">
        <v>5874</v>
      </c>
    </row>
    <row r="494" spans="1:19" x14ac:dyDescent="0.15">
      <c r="D494" t="s">
        <v>5875</v>
      </c>
      <c r="N494" t="str">
        <f t="shared" si="7"/>
        <v>{szContent="不如先运气吐纳，试试能否冲破经络限制。",[14]={},tCountdown={{nClass=14,nIcon=17135,nFrame=0,szName="奇遇提示0",nTime=0,key="奇遇提示0",},{nClass=14,nIcon=17135,nFrame=7,szName="奇遇提示1",nTime=0,key="奇遇提示1",},{nClass=14,nIcon=17135,nFrame=7,szName="奇遇提示2",nTime=0,key="奇遇提示2",},{nClass=14,nIcon=17135,nFrame=7,szName="奇遇提示3",nTime=0,key="奇遇提示3",},{nClass=14,nIcon=17135,nFrame=7,szName="奇遇提示4",nTime=0,key="奇遇提示4",},},},</v>
      </c>
      <c r="O494" t="s">
        <v>5035</v>
      </c>
      <c r="P494" t="s">
        <v>4786</v>
      </c>
      <c r="Q494" t="s">
        <v>4787</v>
      </c>
      <c r="R494" t="s">
        <v>4788</v>
      </c>
      <c r="S494" t="s">
        <v>5036</v>
      </c>
    </row>
    <row r="495" spans="1:19" x14ac:dyDescent="0.15">
      <c r="D495" t="s">
        <v>5876</v>
      </c>
      <c r="N495" t="str">
        <f t="shared" si="7"/>
        <v>{szContent="恭喜侠士，成功冲破经络限制！",[14]={},tCountdown={{nClass=14,nIcon=17135,nFrame=7,szName="等待下一次QTE",nTime=10,key="奇遇提示1",},},},</v>
      </c>
      <c r="O495" t="s">
        <v>5877</v>
      </c>
    </row>
    <row r="496" spans="1:19" x14ac:dyDescent="0.15">
      <c r="D496" t="s">
        <v>5878</v>
      </c>
      <c r="N496" t="str">
        <f t="shared" si="7"/>
        <v>{szContent="恭喜侠士，成功冲破内府限制！",[14]={},tCountdown={{nClass=14,nIcon=17135,nFrame=7,szName="等待·剧情·约3分钟",nTime=10,key="奇遇提示1",},},},</v>
      </c>
      <c r="O496" t="s">
        <v>5879</v>
      </c>
    </row>
    <row r="497" spans="1:18" x14ac:dyDescent="0.15">
      <c r="D497" t="s">
        <v>5880</v>
      </c>
      <c r="N497" t="str">
        <f t="shared" si="7"/>
        <v>{szContent="你冲破了无名毒药的束缚！趁此机会快去右边带着小牛前往白水村乘盆盆船逃跑吧！",[14]={},tCountdown={{nClass=14,nIcon=17135,nFrame=0,szName="奇遇提示0",nTime="15,互动·小牛;30,等待进度·归去来;60,前往摸宠点附近·盆盆船;90,盆盆船附近·交互·光圈;120,等待剧情·结束",nRefresh=0,key="奇遇提示0",},{nClass=14,nIcon=17135,nFrame=7,szName="互动·小牛",nTime=60,key="奇遇提示1",},{nClass=14,nIcon=17135,nFrame=7,szName="等待进度·归去来·前往摸宠点",nTime=60,key="奇遇提示2",},},},</v>
      </c>
      <c r="O497" t="s">
        <v>5881</v>
      </c>
      <c r="P497" t="s">
        <v>5882</v>
      </c>
      <c r="Q497" t="s">
        <v>5883</v>
      </c>
    </row>
    <row r="498" spans="1:18" x14ac:dyDescent="0.15">
      <c r="C498" t="s">
        <v>5884</v>
      </c>
      <c r="D498" t="s">
        <v>5885</v>
      </c>
      <c r="N498" t="str">
        <f t="shared" si="7"/>
        <v>{szContent="嘁，燕燕，走了。",szTarget="孙千琳",[14]={},tCountdown={{nClass=14,nIcon=17135,nFrame=0,szName="奇遇提示0",nTime=0,key="奇遇提示0",},{nClass=14,nIcon=17135,nFrame=7,szName="宠物奇遇·乱红鸾·结束",nTime=10,key="奇遇提示1",},{nClass=14,nIcon=17135,nFrame=7,szName="奇遇提示2",nTime=0,key="奇遇提示2",},},},</v>
      </c>
      <c r="O498" t="s">
        <v>5035</v>
      </c>
      <c r="P498" t="s">
        <v>5886</v>
      </c>
      <c r="Q498" t="s">
        <v>4787</v>
      </c>
    </row>
    <row r="499" spans="1:18" x14ac:dyDescent="0.15">
      <c r="A499" t="s">
        <v>1125</v>
      </c>
      <c r="B499">
        <v>581</v>
      </c>
      <c r="N499" t="str">
        <f t="shared" si="7"/>
        <v>},[581]={</v>
      </c>
    </row>
    <row r="500" spans="1:18" x14ac:dyDescent="0.15">
      <c r="C500" t="s">
        <v>5887</v>
      </c>
      <c r="D500" t="s">
        <v>5888</v>
      </c>
      <c r="N500" t="str">
        <f t="shared" si="7"/>
        <v>{szContent="我回忆了一下，似乎……确实有可怕的声音，会不会是闹鬼呀！我们一起去找晚霖姐姐吧。",szTarget="逗逗",[14]={},tCountdown={{nClass=14,nIcon=17135,nFrame=0,szName="奇遇提示0",nTime="5,恭喜触发夜哀鸣;15,奇遇不封印·约15分钟完成;30,1.西南方·寻找·晚霖;60,2.树下光圈蹲点·交互·猴子;120,3.对话·晚霖·找段方北;150,4.采摘·止血草并使用;180,5.武狱黑牢山顶·寻找·和光;240,6.武狱黑牢东北·采摘·甜果;300,7.返回山顶·领狐猴·使用甜果;360,8.对话·和光·交互·领狐猴;390,9.对话·和光;400,夜哀鸣·结束",nRefresh=0,key="奇遇提示0",},{nClass=14,nIcon=17135,nFrame=7,szName="1.西南方·寻找·晚霖",nTime=60,key="奇遇提示1",},{nClass=14,nIcon=17135,nFrame=7,szName="2.树下光圈蹲点·交互·猴子",nTime=60,key="奇遇提示2",},},},</v>
      </c>
      <c r="O500" t="s">
        <v>5889</v>
      </c>
      <c r="P500" t="s">
        <v>5890</v>
      </c>
      <c r="Q500" t="s">
        <v>5891</v>
      </c>
    </row>
    <row r="501" spans="1:18" x14ac:dyDescent="0.15">
      <c r="D501" t="s">
        <v>5892</v>
      </c>
      <c r="N501" t="str">
        <f t="shared" si="7"/>
        <v>{szContent="你捉住了这只小家伙，带给晚霖看看吧",[14]={},tCountdown={{nClass=14,nIcon=17135,nFrame=7,szName="3.对话·晚霖·找段方北",nTime=60,key="奇遇提示1",},{nClass=14,nIcon=17135,nFrame=7,szName="4.找止血草并使用·再找和光",nTime=60,key="奇遇提示2",},},},</v>
      </c>
      <c r="O501" t="s">
        <v>5893</v>
      </c>
      <c r="P501" t="s">
        <v>5894</v>
      </c>
    </row>
    <row r="502" spans="1:18" x14ac:dyDescent="0.15">
      <c r="D502" t="s">
        <v>5895</v>
      </c>
      <c r="N502" t="str">
        <f t="shared" si="7"/>
        <v>{szContent="段方北建议你带着猴儿去找和光。",[14]={},tCountdown={{nClass=14,nIcon=17135,nFrame=7,szName="5.武狱黑牢山顶·寻找·和光",nTime=60,key="奇遇提示1",},{nClass=14,nIcon=17135,nFrame=7,szName="6.武狱黑牢东北·采摘·甜果",nTime=60,key="奇遇提示2",},},},</v>
      </c>
      <c r="O502" t="s">
        <v>5896</v>
      </c>
      <c r="P502" t="s">
        <v>5897</v>
      </c>
    </row>
    <row r="503" spans="1:18" x14ac:dyDescent="0.15">
      <c r="C503" t="s">
        <v>5898</v>
      </c>
      <c r="D503" t="s">
        <v>5899</v>
      </c>
      <c r="N503" t="str">
        <f t="shared" si="7"/>
        <v>{szContent="但修习如何医治动物，又何须血脉？",szTarget="和光",[14]={},tCountdown={{nClass=14,nIcon=17135,nFrame=7,szName="6.武狱黑牢东北·采摘·甜果",nTime=60,key="奇遇提示1",},{nClass=14,nIcon=17135,nFrame=7,szName="7.返回山顶·领狐猴·使用甜果",nTime=60,key="奇遇提示2",},},},</v>
      </c>
      <c r="O503" t="s">
        <v>5900</v>
      </c>
      <c r="P503" t="s">
        <v>5901</v>
      </c>
    </row>
    <row r="504" spans="1:18" x14ac:dyDescent="0.15">
      <c r="D504" t="s">
        <v>5902</v>
      </c>
      <c r="N504" t="str">
        <f t="shared" si="7"/>
        <v>{szContent="小猴果然被甜果吸引",[14]={},tCountdown={{nClass=14,nIcon=17135,nFrame=7,szName="8.对话·和光·交互·领狐猴",nTime=60,key="奇遇提示1",},{nClass=14,nIcon=17135,nFrame=7,szName="9.对话·和光·结束",nTime=60,key="奇遇提示2",},},},</v>
      </c>
      <c r="O504" t="s">
        <v>5903</v>
      </c>
      <c r="P504" t="s">
        <v>5904</v>
      </c>
    </row>
    <row r="505" spans="1:18" x14ac:dyDescent="0.15">
      <c r="D505" t="s">
        <v>5034</v>
      </c>
      <c r="N505" t="str">
        <f t="shared" si="7"/>
        <v>{szContent="宠物已成功添加。",[14]={},tCountdown={{nClass=14,nIcon=17135,nFrame=0,szName="奇遇提示0",nTime=0,key="奇遇提示0",},{nClass=14,nIcon=17135,nFrame=7,szName="奇遇提示1",nTime=0,key="奇遇提示1",},{nClass=14,nIcon=17135,nFrame=7,szName="奇遇提示2",nTime=0,key="奇遇提示2",},},},</v>
      </c>
      <c r="O505" t="s">
        <v>5035</v>
      </c>
      <c r="P505" t="s">
        <v>4786</v>
      </c>
      <c r="Q505" t="s">
        <v>4787</v>
      </c>
    </row>
    <row r="506" spans="1:18" x14ac:dyDescent="0.15">
      <c r="A506" t="s">
        <v>267</v>
      </c>
      <c r="B506">
        <v>582</v>
      </c>
      <c r="N506" t="str">
        <f t="shared" si="7"/>
        <v>},[582]={</v>
      </c>
    </row>
    <row r="507" spans="1:18" x14ac:dyDescent="0.15">
      <c r="C507" t="s">
        <v>5905</v>
      </c>
      <c r="D507" t="s">
        <v>5906</v>
      </c>
      <c r="N507" t="str">
        <f t="shared" si="7"/>
        <v>{szContent="此后我也到了差不多能收个徒弟的年纪，虽然没有名气响亮的门派，我自己也没有厉害的称号，但我运气可好了，收到了一大堆不嫌弃我的徒弟。",szTarget="纪小橙",[14]={},tCountdown={{nClass=14,nIcon=17135,nFrame=0,szName="奇遇提示0",nTime="5,恭喜触发·侠者成歌;15,奇遇不封印·约10分钟完成;30,1.对话封演·前往晟江茶馆;120,2.对话纪小橙·前往兴威寨;150,3.靠近司空淮·攻击喽啰;160,4.对话司空淮·前往白菰里;210,5.名望区域信使旁·寻找苏舒;240,6.进入光圈·对话苏舒;420,7.对话苏舒·等待剧情;450,8.返回黄槲镇·对话封演;470,完成奇遇·侠者成歌",nRefresh=0,key="奇遇提示0",},{nClass=14,nIcon=17135,nFrame=7,szName="对话·纪小橙·前往·兴威寨",nTime=600,key="奇遇提示1",},{nClass=14,nIcon=17135,nFrame=7,szName="靠近·司空淮·攻击·喽啰",nTime=600,key="奇遇提示2",},{nClass=14,nIcon=17135,nFrame=7,szName="对话·司空淮·前往·白菰里",nTime=600,key="奇遇提示3",},},},</v>
      </c>
      <c r="O507" t="s">
        <v>5907</v>
      </c>
      <c r="P507" t="s">
        <v>5908</v>
      </c>
      <c r="Q507" t="s">
        <v>5909</v>
      </c>
      <c r="R507" t="s">
        <v>5910</v>
      </c>
    </row>
    <row r="508" spans="1:18" x14ac:dyDescent="0.15">
      <c r="C508" t="s">
        <v>5911</v>
      </c>
      <c r="D508" t="s">
        <v>5912</v>
      </c>
      <c r="N508" t="str">
        <f t="shared" si="7"/>
        <v>{szContent="打不过！快跑！",szTarget="喽啰",[14]={},tCountdown={{nClass=14,nIcon=17135,nFrame=0,szName="奇遇提示0",nTime="10,4.对话司空淮·前往白菰里;60,5.名望区域信使旁·寻找苏舒;90,6.进入光圈·对话苏舒;270,7.对话苏舒·等待剧情;300,8.返回黄槲镇·对话封演;320,完成奇遇·侠者成歌",nRefresh=0,key="奇遇提示0",},{nClass=14,nIcon=17135,nFrame=7,szName="对话·司空淮·前往·白菰里",nTime=600,key="奇遇提示1",},{nClass=14,nIcon=17135,nFrame=7,szName="寻找·苏舒·名望区域信使旁",nTime=600,key="奇遇提示2",},{nClass=14,nIcon=17135,nFrame=7,szName="进入·光圈·对话·苏舒",nTime=600,key="奇遇提示3",},},},</v>
      </c>
      <c r="O508" t="s">
        <v>5913</v>
      </c>
      <c r="P508" t="s">
        <v>5914</v>
      </c>
      <c r="Q508" t="s">
        <v>5915</v>
      </c>
      <c r="R508" t="s">
        <v>5916</v>
      </c>
    </row>
    <row r="509" spans="1:18" x14ac:dyDescent="0.15">
      <c r="C509" t="s">
        <v>5917</v>
      </c>
      <c r="D509" t="s">
        <v>5918</v>
      </c>
      <c r="N509" t="str">
        <f t="shared" si="7"/>
        <v>{szContent="哎……别提了……",szTarget="苏舒",[14]={},tCountdown={{nClass=14,nIcon=17135,nFrame=0,szName="奇遇提示0",nTime="30,6.进入光圈·对话苏舒;210,7.对话苏舒·等待剧情;240,8.返回黄槲镇·对话封演;260,完成奇遇·侠者成歌",nRefresh=0,key="奇遇提示0",},{nClass=14,nIcon=17135,nFrame=7,szName="对话·苏舒·等待剧情",nTime=600,key="奇遇提示1",},{nClass=14,nIcon=17135,nFrame=7,szName="返回·黄槲镇·封演",nTime=600,key="奇遇提示2",},{nClass=14,nIcon=17135,nFrame=7,szName="完成·奇遇·侠者成歌",nTime=600,key="奇遇提示3",},},},</v>
      </c>
      <c r="O509" t="s">
        <v>5919</v>
      </c>
      <c r="P509" t="s">
        <v>5920</v>
      </c>
      <c r="Q509" t="s">
        <v>5921</v>
      </c>
      <c r="R509" t="s">
        <v>5922</v>
      </c>
    </row>
    <row r="510" spans="1:18" x14ac:dyDescent="0.15">
      <c r="D510" t="s">
        <v>5923</v>
      </c>
      <c r="N510" t="str">
        <f t="shared" si="7"/>
        <v>{szContent="将收集到的三个故事交给封演。",[14]={},tCountdown={{nClass=14,nIcon=17135,nFrame=0,szName="奇遇提示0",nTime="30,8.返回黄槲镇·对话封演;50,完成奇遇·侠者成歌",nRefresh=0,key="奇遇提示0",},{nClass=14,nIcon=17135,nFrame=7,szName="返回·黄槲镇·封演",nTime=60,key="奇遇提示1",},{nClass=14,nIcon=17135,nFrame=7,szName="完成·奇遇·侠者成歌",nTime=60,key="奇遇提示2",},{nClass=14,nIcon=17135,nFrame=7,szName="奇遇提示3",nTime=0,key="奇遇提示3",},},},</v>
      </c>
      <c r="O510" t="s">
        <v>5924</v>
      </c>
      <c r="P510" t="s">
        <v>5925</v>
      </c>
      <c r="Q510" t="s">
        <v>5926</v>
      </c>
      <c r="R510" t="s">
        <v>4788</v>
      </c>
    </row>
    <row r="511" spans="1:18" x14ac:dyDescent="0.15">
      <c r="C511" t="s">
        <v>5927</v>
      </c>
      <c r="D511" t="s">
        <v>5928</v>
      </c>
      <c r="N511" t="str">
        <f t="shared" si="7"/>
        <v>{szContent="大侠，岁岁不见了！",szTarget="槲生",[14]={},tCountdown={{nClass=14,nIcon=17135,nFrame=0,szName="奇遇提示0",nTime="5,恭喜触发·故岁辞·岁岁;15,奇遇不封印·约10分钟完成;30,1.对话槲生·寻找散落的羽毛;60,2.羽毛在东南方屋子下;90,3.返回对话槲生;180,4.对话赵永·潘春·何实;210,5.对话槲生·前往光圈;240,6.光圈在散落的羽毛附近;300,7.对话龙俊华·等待剧情;330,8.对话龙俊华·前往车夫北面溪水;360,9.交互光圈·交互鸟笼;390,10.对话龙俊华·对话槲生;410,完成奇遇·故岁辞·岁岁",nRefresh=0,key="奇遇提示0",},{nClass=14,nIcon=17135,nFrame=7,szName="对话·槲生·寻找·散落的羽毛",nTime=600,key="奇遇提示1",},{nClass=14,nIcon=17135,nFrame=7,szName="对话·槲生·对话·赵永",nTime=600,key="奇遇提示2",},{nClass=14,nIcon=17135,nFrame=7,szName="对话·潘春·对话·何实",nTime=600,key="奇遇提示3",},},},</v>
      </c>
      <c r="O511" t="s">
        <v>5929</v>
      </c>
      <c r="P511" t="s">
        <v>5930</v>
      </c>
      <c r="Q511" t="s">
        <v>5931</v>
      </c>
      <c r="R511" t="s">
        <v>5932</v>
      </c>
    </row>
    <row r="512" spans="1:18" x14ac:dyDescent="0.15">
      <c r="D512" t="s">
        <v>5933</v>
      </c>
      <c r="N512" t="str">
        <f t="shared" si="7"/>
        <v>{szContent="去问问镇长吧。",[14]={},tCountdown={{nClass=14,nIcon=17135,nFrame=0,szName="奇遇提示0",nTime="30,4.对话·何实;60,5.对话槲生·前往光圈;120,6.光圈在散落的羽毛附近;150,7.对话龙俊华·等待剧情;210,8.对话龙俊华·前往车夫北面溪水;240,9.交互光圈·交互鸟笼;270,10.对话龙俊华·对话槲生;290,完成奇遇·故岁辞·岁岁",nRefresh=0,key="奇遇提示0",},{nClass=14,nIcon=17135,nFrame=7,szName="对话·何实·对话·槲生",nTime=600,key="奇遇提示1",},{nClass=14,nIcon=17135,nFrame=7,szName="交互·光圈·等待·剧情",nTime=600,key="奇遇提示2",},{nClass=14,nIcon=17135,nFrame=7,szName="光圈·散落的羽毛·附近",nTime=600,key="奇遇提示3",},},},</v>
      </c>
      <c r="O512" t="s">
        <v>5934</v>
      </c>
      <c r="P512" t="s">
        <v>5935</v>
      </c>
      <c r="Q512" t="s">
        <v>5936</v>
      </c>
      <c r="R512" t="s">
        <v>5937</v>
      </c>
    </row>
    <row r="513" spans="1:22" x14ac:dyDescent="0.15">
      <c r="C513" t="s">
        <v>5938</v>
      </c>
      <c r="D513" t="s">
        <v>5939</v>
      </c>
      <c r="N513" t="str">
        <f t="shared" si="7"/>
        <v>{szContent="何人在此鬼鬼祟祟！",szTarget="龙俊华",[14]={},tCountdown={{nClass=14,nIcon=17135,nFrame=0,szName="奇遇提示0",nTime="30,7.对话龙俊华·等待剧情;90,8.对话龙俊华·前往车夫北面溪水;120,9.交互光圈·交互鸟笼;150,10.对话龙俊华·对话槲生;170,完成奇遇·故岁辞·岁岁",nRefresh=0,key="奇遇提示0",},{nClass=14,nIcon=17135,nFrame=7,szName="对话·龙俊华·等待·剧情",nTime=600,key="奇遇提示1",},{nClass=14,nIcon=17135,nFrame=7,szName="出门·龙俊华·交互·光圈",nTime=600,key="奇遇提示2",},{nClass=14,nIcon=17135,nFrame=7,szName="光圈·车夫北面溪水·附近",nTime=600,key="奇遇提示3",},},},</v>
      </c>
      <c r="O513" t="s">
        <v>5940</v>
      </c>
      <c r="P513" t="s">
        <v>5941</v>
      </c>
      <c r="Q513" t="s">
        <v>5942</v>
      </c>
      <c r="R513" t="s">
        <v>5943</v>
      </c>
    </row>
    <row r="514" spans="1:22" x14ac:dyDescent="0.15">
      <c r="C514" t="s">
        <v>5938</v>
      </c>
      <c r="D514" t="s">
        <v>5944</v>
      </c>
      <c r="N514" t="str">
        <f t="shared" ref="N514:N577" si="8">IF(ISBLANK(B514)=FALSE,IF(ISBLANK(B513),"},["&amp;B514&amp;"]={","["&amp;B514&amp;"]={"),IF(AND(ISBLANK(B514),ISBLANK(D514),ISBLANK(G514),ISBLANK(H514),OR(ISBLANK(B513)=FALSE,ISBLANK(D513)=FALSE,ISBLANK(G513)=FALSE,ISBLANK(H513)=FALSE)),"},},}",IF(ISBLANK(D514),"","{szContent="""&amp;D514&amp;""","&amp;IF(C514&lt;&gt;"","szTarget="""&amp;C514&amp;""",","")&amp;IF(E514&lt;&gt;"","szNote="""&amp;E514&amp;""",","")&amp;IF(F514&lt;&gt;"","col={"&amp;F514&amp;"},","")&amp;IF(G514&gt;0,"bSearch=true,","")&amp;IF(H514&gt;0,"bReg=true,","")&amp;"[14]={"&amp;IF(I514&gt;0,"szVoice="""&amp;I514&amp;""",","")&amp;IF(J514&gt;0,"bTeamChannel=true,","")&amp;IF(K514&gt;0,"bWhisperChannel=true,","")&amp;IF(L514&gt;0,"bCenterAlarm=true,","")&amp;IF(M514&gt;0,"bScreenHead=true,","")&amp;"},"&amp;IF(O514&lt;&gt;"","tCountdown={"&amp;_xlfn.TEXTJOIN("",TRUE,O514:ZZ514)&amp;"},","")&amp;"},")))</f>
        <v>{szContent="爹娘也不会乐意我执着于仇恨的，那太傻了，人还是活的洒脱点好。",szTarget="龙俊华",[14]={},tCountdown={{nClass=14,nIcon=17135,nFrame=0,szName="奇遇提示0",nTime="30,8.对话龙俊华·前往车夫北面溪水;90,9.交互光圈·交互鸟笼;120,10.对话龙俊华·对话槲生;140,完成奇遇·故岁辞·岁岁",nRefresh=0,key="奇遇提示0",},{nClass=14,nIcon=17135,nFrame=7,szName="光圈·车夫北面溪水·附近",nTime=600,key="奇遇提示1",},{nClass=14,nIcon=17135,nFrame=7,szName="交互·鸟笼·对话·龙俊华",nTime=600,key="奇遇提示2",},{nClass=14,nIcon=17135,nFrame=7,szName="对话·槲生·完成·故岁辞",nTime=600,key="奇遇提示3",},},},</v>
      </c>
      <c r="O514" t="s">
        <v>5945</v>
      </c>
      <c r="P514" t="s">
        <v>5946</v>
      </c>
      <c r="Q514" t="s">
        <v>5947</v>
      </c>
      <c r="R514" t="s">
        <v>5948</v>
      </c>
    </row>
    <row r="515" spans="1:22" x14ac:dyDescent="0.15">
      <c r="C515" t="s">
        <v>5938</v>
      </c>
      <c r="D515" t="s">
        <v>5949</v>
      </c>
      <c r="N515" t="str">
        <f t="shared" si="8"/>
        <v>{szContent="这么多东西居然只有这几个人护送，也真够心大的。我不擅长匿形，把他们都打一顿算了，我来牵制看守，你去释放鸟兽？",szTarget="龙俊华",[14]={},tCountdown={{nClass=14,nIcon=17135,nFrame=0,szName="奇遇提示0",nTime=0,key="奇遇提示0",},{nClass=14,nIcon=17135,nFrame=7,szName="交互·鸟笼·对话·龙俊华",nTime=60,key="奇遇提示1",},{nClass=14,nIcon=17135,nFrame=7,szName="对话·槲生·完成·故岁辞",nTime=60,key="奇遇提示2",},{nClass=14,nIcon=17135,nFrame=7,szName="奇遇提示3",nTime=0,key="奇遇提示3",},},},</v>
      </c>
      <c r="O515" t="s">
        <v>5035</v>
      </c>
      <c r="P515" t="s">
        <v>5950</v>
      </c>
      <c r="Q515" t="s">
        <v>5951</v>
      </c>
      <c r="R515" t="s">
        <v>4788</v>
      </c>
    </row>
    <row r="516" spans="1:22" x14ac:dyDescent="0.15">
      <c r="A516" t="s">
        <v>1137</v>
      </c>
      <c r="B516">
        <v>596</v>
      </c>
      <c r="N516" t="str">
        <f t="shared" si="8"/>
        <v>},[596]={</v>
      </c>
    </row>
    <row r="517" spans="1:22" x14ac:dyDescent="0.15">
      <c r="C517" t="s">
        <v>5952</v>
      </c>
      <c r="D517" t="s">
        <v>5953</v>
      </c>
      <c r="N517" t="str">
        <f t="shared" si="8"/>
        <v>{szContent="没想到侠士武功如此高妙！竟然破解了“刃鬼”的招数，恭喜侠士斩获首胜！",szTarget="司仪",[14]={},tCountdown={{nClass=14,nIcon=904,nFrame=5,szName="KEY·左旋右转",nTime=0,key="KEY·左旋右转",},{nClass=14,nIcon=904,nFrame=-1,szName="KEY·左旋右转",nTime=0.01,nRefresh=60,key="KEY·左旋右转",},{nClass=14,nIcon=904,nFrame=5,szName="KEY·左旋右转",nTime=-1,nRefresh=60,key="KEY·左旋右转",},{nClass=14,nIcon=15692,nFrame=5,szName="KEY·飘黄",nTime=0,key="KEY·飘黄",},{nClass=14,nIcon=15692,nFrame=-1,szName="KEY·飘黄",nTime=0.01,nRefresh=80,key="KEY·飘黄",},{nClass=14,nIcon=15692,nFrame=5,szName="KEY·飘黄",nTime=-1,nRefresh=80,key="KEY·飘黄",},{nClass=14,nIcon=2744,nFrame=5,szName="KEY·蛊惑众生",nTime=0,key="KEY·蛊惑众生",},{nClass=14,nIcon=403,nFrame=5,szName="KEY·秋肃",nTime=0,key="KEY·秋肃",},},},</v>
      </c>
      <c r="O517" t="s">
        <v>4856</v>
      </c>
      <c r="P517" t="s">
        <v>5954</v>
      </c>
      <c r="Q517" t="s">
        <v>4858</v>
      </c>
      <c r="R517" t="s">
        <v>4859</v>
      </c>
      <c r="S517" t="s">
        <v>5955</v>
      </c>
      <c r="T517" t="s">
        <v>4861</v>
      </c>
      <c r="U517" t="s">
        <v>4862</v>
      </c>
      <c r="V517" t="s">
        <v>4863</v>
      </c>
    </row>
    <row r="518" spans="1:22" x14ac:dyDescent="0.15">
      <c r="C518" t="s">
        <v>5956</v>
      </c>
      <c r="D518" t="s">
        <v>5957</v>
      </c>
      <c r="N518" t="str">
        <f t="shared" si="8"/>
        <v>{szContent="吃我一锤!",szTarget="吕一平",[14]={},tCountdown={{nClass=14,nIcon=904,nFrame=5,szName="KEY·左旋右转",nTime=0,key="KEY·左旋右转",},{nClass=14,nIcon=904,nFrame=-1,szName="KEY·左旋右转",nTime=0.01,nRefresh=60,key="KEY·左旋右转",},{nClass=14,nIcon=904,nFrame=5,szName="KEY·左旋右转",nTime=-1,nRefresh=60,key="KEY·左旋右转",},{nClass=14,nIcon=15692,nFrame=5,szName="KEY·飘黄",nTime=0,key="KEY·飘黄",},{nClass=14,nIcon=15692,nFrame=-1,szName="KEY·飘黄",nTime=0.01,nRefresh=80,key="KEY·飘黄",},{nClass=14,nIcon=15692,nFrame=5,szName="KEY·飘黄",nTime=-1,nRefresh=80,key="KEY·飘黄",},{nClass=14,nIcon=2744,nFrame=5,szName="KEY·蛊惑众生",nTime=0,key="KEY·蛊惑众生",},{nClass=14,nIcon=403,nFrame=5,szName="KEY·秋肃",nTime=0,key="KEY·秋肃",},},},</v>
      </c>
      <c r="O518" t="s">
        <v>4856</v>
      </c>
      <c r="P518" t="s">
        <v>5954</v>
      </c>
      <c r="Q518" t="s">
        <v>4858</v>
      </c>
      <c r="R518" t="s">
        <v>4859</v>
      </c>
      <c r="S518" t="s">
        <v>5955</v>
      </c>
      <c r="T518" t="s">
        <v>4861</v>
      </c>
      <c r="U518" t="s">
        <v>4862</v>
      </c>
      <c r="V518" t="s">
        <v>4863</v>
      </c>
    </row>
    <row r="519" spans="1:22" x14ac:dyDescent="0.15">
      <c r="C519" t="s">
        <v>5958</v>
      </c>
      <c r="D519" t="s">
        <v>5959</v>
      </c>
      <c r="N519" t="str">
        <f t="shared" si="8"/>
        <v>{szContent="呃......",szTarget="时风",[14]={},tCountdown={{nClass=14,nIcon=904,nFrame=5,szName="KEY·左旋右转",nTime=0,key="KEY·左旋右转",},{nClass=14,nIcon=904,nFrame=-1,szName="KEY·左旋右转",nTime=0.01,nRefresh=60,key="KEY·左旋右转",},{nClass=14,nIcon=904,nFrame=5,szName="KEY·左旋右转",nTime=-1,nRefresh=60,key="KEY·左旋右转",},{nClass=14,nIcon=15692,nFrame=5,szName="KEY·飘黄",nTime=0,key="KEY·飘黄",},{nClass=14,nIcon=15692,nFrame=-1,szName="KEY·飘黄",nTime=0.01,nRefresh=80,key="KEY·飘黄",},{nClass=14,nIcon=15692,nFrame=5,szName="KEY·飘黄",nTime=-1,nRefresh=80,key="KEY·飘黄",},{nClass=14,nIcon=2744,nFrame=5,szName="KEY·蛊惑众生",nTime=0,key="KEY·蛊惑众生",},{nClass=14,nIcon=403,nFrame=5,szName="KEY·秋肃",nTime=0,key="KEY·秋肃",},},},</v>
      </c>
      <c r="O519" t="s">
        <v>4856</v>
      </c>
      <c r="P519" t="s">
        <v>5954</v>
      </c>
      <c r="Q519" t="s">
        <v>4858</v>
      </c>
      <c r="R519" t="s">
        <v>4859</v>
      </c>
      <c r="S519" t="s">
        <v>5955</v>
      </c>
      <c r="T519" t="s">
        <v>4861</v>
      </c>
      <c r="U519" t="s">
        <v>4862</v>
      </c>
      <c r="V519" t="s">
        <v>4863</v>
      </c>
    </row>
    <row r="520" spans="1:22" x14ac:dyDescent="0.15">
      <c r="C520" t="s">
        <v>533</v>
      </c>
      <c r="D520" t="s">
        <v>5960</v>
      </c>
      <c r="N520" t="str">
        <f t="shared" si="8"/>
        <v>{szContent="你们进门后左转，主事吩咐我带你们前往竞技场。",szTarget="守卫",[14]={},tCountdown={{nClass=14,nIcon=13,nFrame=5,szName="剧情·时风",nTime=16,key="剧情",},},},</v>
      </c>
      <c r="O520" t="s">
        <v>5961</v>
      </c>
    </row>
    <row r="521" spans="1:22" x14ac:dyDescent="0.15">
      <c r="C521" t="s">
        <v>5962</v>
      </c>
      <c r="D521" t="s">
        <v>5963</v>
      </c>
      <c r="N521" t="str">
        <f t="shared" si="8"/>
        <v>{szContent="主人！侠士！你们没事就好！我们这就离开沃石院吧。",szTarget="若雪",[14]={},},</v>
      </c>
    </row>
    <row r="522" spans="1:22" x14ac:dyDescent="0.15">
      <c r="C522" t="s">
        <v>5962</v>
      </c>
      <c r="D522" t="s">
        <v>5964</v>
      </c>
      <c r="N522" t="str">
        <f t="shared" si="8"/>
        <v>{szContent="这沃石院地势复杂，我们又是偷偷潜入，据我所知，前面左侧有栅栏，需从右侧的通风管道之上行走，穿过斗技场，再进入另一侧的通风口，方能继续探寻沃石院。侠士一路小心，我会一直在此处接应！",szTarget="若雪",[14]={},tCountdown={{nClass=14,nIcon=13,nFrame=5,szName="若雪·传送·风道出口",nTime=10,key="剧情·提示0",},},},</v>
      </c>
      <c r="O522" t="s">
        <v>5965</v>
      </c>
    </row>
    <row r="523" spans="1:22" x14ac:dyDescent="0.15">
      <c r="A523" t="s">
        <v>1138</v>
      </c>
      <c r="B523">
        <v>597</v>
      </c>
      <c r="N523" t="str">
        <f t="shared" si="8"/>
        <v>},[597]={</v>
      </c>
    </row>
    <row r="524" spans="1:22" x14ac:dyDescent="0.15">
      <c r="C524" t="s">
        <v>5952</v>
      </c>
      <c r="D524" t="s">
        <v>5953</v>
      </c>
      <c r="N524" t="str">
        <f t="shared" si="8"/>
        <v>{szContent="没想到侠士武功如此高妙！竟然破解了“刃鬼”的招数，恭喜侠士斩获首胜！",szTarget="司仪",[14]={},tCountdown={{nClass=14,nIcon=904,nFrame=5,szName="KEY·左旋右转",nTime=0,key="KEY·左旋右转",},{nClass=14,nIcon=904,nFrame=-1,szName="KEY·左旋右转",nTime=0.01,nRefresh=60,key="KEY·左旋右转",},{nClass=14,nIcon=904,nFrame=5,szName="KEY·左旋右转",nTime=-1,nRefresh=60,key="KEY·左旋右转",},{nClass=14,nIcon=15692,nFrame=5,szName="KEY·飘黄",nTime=0,key="KEY·飘黄",},{nClass=14,nIcon=15692,nFrame=-1,szName="KEY·飘黄",nTime=0.01,nRefresh=80,key="KEY·飘黄",},{nClass=14,nIcon=15692,nFrame=5,szName="KEY·飘黄",nTime=-1,nRefresh=80,key="KEY·飘黄",},{nClass=14,nIcon=2744,nFrame=5,szName="KEY·蛊惑众生",nTime=0,key="KEY·蛊惑众生",},{nClass=14,nIcon=403,nFrame=5,szName="KEY·秋肃",nTime=0,key="KEY·秋肃",},},},</v>
      </c>
      <c r="O524" t="s">
        <v>4856</v>
      </c>
      <c r="P524" t="s">
        <v>5954</v>
      </c>
      <c r="Q524" t="s">
        <v>4858</v>
      </c>
      <c r="R524" t="s">
        <v>4859</v>
      </c>
      <c r="S524" t="s">
        <v>5955</v>
      </c>
      <c r="T524" t="s">
        <v>4861</v>
      </c>
      <c r="U524" t="s">
        <v>4862</v>
      </c>
      <c r="V524" t="s">
        <v>4863</v>
      </c>
    </row>
    <row r="525" spans="1:22" x14ac:dyDescent="0.15">
      <c r="C525" t="s">
        <v>5956</v>
      </c>
      <c r="D525" t="s">
        <v>5957</v>
      </c>
      <c r="N525" t="str">
        <f t="shared" si="8"/>
        <v>{szContent="吃我一锤!",szTarget="吕一平",[14]={},tCountdown={{nClass=14,nIcon=904,nFrame=5,szName="KEY·左旋右转",nTime=0,key="KEY·左旋右转",},{nClass=14,nIcon=904,nFrame=-1,szName="KEY·左旋右转",nTime=0.01,nRefresh=60,key="KEY·左旋右转",},{nClass=14,nIcon=904,nFrame=5,szName="KEY·左旋右转",nTime=-1,nRefresh=60,key="KEY·左旋右转",},{nClass=14,nIcon=15692,nFrame=5,szName="KEY·飘黄",nTime=0,key="KEY·飘黄",},{nClass=14,nIcon=15692,nFrame=-1,szName="KEY·飘黄",nTime=0.01,nRefresh=80,key="KEY·飘黄",},{nClass=14,nIcon=15692,nFrame=5,szName="KEY·飘黄",nTime=-1,nRefresh=80,key="KEY·飘黄",},{nClass=14,nIcon=2744,nFrame=5,szName="KEY·蛊惑众生",nTime=0,key="KEY·蛊惑众生",},{nClass=14,nIcon=403,nFrame=5,szName="KEY·秋肃",nTime=0,key="KEY·秋肃",},},},</v>
      </c>
      <c r="O525" t="s">
        <v>4856</v>
      </c>
      <c r="P525" t="s">
        <v>5954</v>
      </c>
      <c r="Q525" t="s">
        <v>4858</v>
      </c>
      <c r="R525" t="s">
        <v>4859</v>
      </c>
      <c r="S525" t="s">
        <v>5955</v>
      </c>
      <c r="T525" t="s">
        <v>4861</v>
      </c>
      <c r="U525" t="s">
        <v>4862</v>
      </c>
      <c r="V525" t="s">
        <v>4863</v>
      </c>
    </row>
    <row r="526" spans="1:22" x14ac:dyDescent="0.15">
      <c r="C526" t="s">
        <v>5958</v>
      </c>
      <c r="D526" t="s">
        <v>5959</v>
      </c>
      <c r="N526" t="str">
        <f t="shared" si="8"/>
        <v>{szContent="呃......",szTarget="时风",[14]={},tCountdown={{nClass=14,nIcon=904,nFrame=5,szName="KEY·左旋右转",nTime=0,key="KEY·左旋右转",},{nClass=14,nIcon=904,nFrame=-1,szName="KEY·左旋右转",nTime=0.01,nRefresh=60,key="KEY·左旋右转",},{nClass=14,nIcon=904,nFrame=5,szName="KEY·左旋右转",nTime=-1,nRefresh=60,key="KEY·左旋右转",},{nClass=14,nIcon=15692,nFrame=5,szName="KEY·飘黄",nTime=0,key="KEY·飘黄",},{nClass=14,nIcon=15692,nFrame=-1,szName="KEY·飘黄",nTime=0.01,nRefresh=80,key="KEY·飘黄",},{nClass=14,nIcon=15692,nFrame=5,szName="KEY·飘黄",nTime=-1,nRefresh=80,key="KEY·飘黄",},{nClass=14,nIcon=2744,nFrame=5,szName="KEY·蛊惑众生",nTime=0,key="KEY·蛊惑众生",},{nClass=14,nIcon=403,nFrame=5,szName="KEY·秋肃",nTime=0,key="KEY·秋肃",},},},</v>
      </c>
      <c r="O526" t="s">
        <v>4856</v>
      </c>
      <c r="P526" t="s">
        <v>5954</v>
      </c>
      <c r="Q526" t="s">
        <v>4858</v>
      </c>
      <c r="R526" t="s">
        <v>4859</v>
      </c>
      <c r="S526" t="s">
        <v>5955</v>
      </c>
      <c r="T526" t="s">
        <v>4861</v>
      </c>
      <c r="U526" t="s">
        <v>4862</v>
      </c>
      <c r="V526" t="s">
        <v>4863</v>
      </c>
    </row>
    <row r="527" spans="1:22" x14ac:dyDescent="0.15">
      <c r="C527" t="s">
        <v>533</v>
      </c>
      <c r="D527" t="s">
        <v>5960</v>
      </c>
      <c r="N527" t="str">
        <f t="shared" si="8"/>
        <v>{szContent="你们进门后左转，主事吩咐我带你们前往竞技场。",szTarget="守卫",[14]={},tCountdown={{nClass=14,nIcon=13,nFrame=5,szName="剧情·时风",nTime=16,key="剧情",},},},</v>
      </c>
      <c r="O527" t="s">
        <v>5961</v>
      </c>
    </row>
    <row r="528" spans="1:22" x14ac:dyDescent="0.15">
      <c r="C528" t="s">
        <v>5962</v>
      </c>
      <c r="D528" t="s">
        <v>5963</v>
      </c>
      <c r="N528" t="str">
        <f t="shared" si="8"/>
        <v>{szContent="主人！侠士！你们没事就好！我们这就离开沃石院吧。",szTarget="若雪",[14]={},},</v>
      </c>
    </row>
    <row r="529" spans="1:23" x14ac:dyDescent="0.15">
      <c r="C529" t="s">
        <v>5962</v>
      </c>
      <c r="D529" t="s">
        <v>5964</v>
      </c>
      <c r="N529" t="str">
        <f t="shared" si="8"/>
        <v>{szContent="这沃石院地势复杂，我们又是偷偷潜入，据我所知，前面左侧有栅栏，需从右侧的通风管道之上行走，穿过斗技场，再进入另一侧的通风口，方能继续探寻沃石院。侠士一路小心，我会一直在此处接应！",szTarget="若雪",[14]={},tCountdown={{nClass=14,nIcon=13,nFrame=5,szName="若雪·传送·风道出口",nTime=10,key="剧情·提示0",},},},</v>
      </c>
      <c r="O529" t="s">
        <v>5965</v>
      </c>
    </row>
    <row r="530" spans="1:23" x14ac:dyDescent="0.15">
      <c r="A530" t="s">
        <v>1139</v>
      </c>
      <c r="B530">
        <v>598</v>
      </c>
      <c r="N530" t="str">
        <f t="shared" si="8"/>
        <v>},[598]={</v>
      </c>
    </row>
    <row r="531" spans="1:23" x14ac:dyDescent="0.15">
      <c r="C531" t="s">
        <v>5966</v>
      </c>
      <c r="D531" t="s">
        <v>5967</v>
      </c>
      <c r="N531" t="str">
        <f t="shared" si="8"/>
        <v>{szContent="我还没有当上守卫长，怎么会……",szTarget="关八天",[14]={},tCountdown={{nClass=14,nIcon=904,nFrame=5,szName="KEY·左旋右转",nTime=0,key="KEY·左旋右转",},{nClass=14,nIcon=904,nFrame=-1,szName="KEY·左旋右转",nTime=0.01,nRefresh=60,key="KEY·左旋右转",},{nClass=14,nIcon=904,nFrame=5,szName="KEY·左旋右转",nTime=-1,nRefresh=60,key="KEY·左旋右转",},{nClass=14,nIcon=15692,nFrame=5,szName="KEY·飘黄",nTime=0,key="KEY·飘黄",},{nClass=14,nIcon=15692,nFrame=-1,szName="KEY·飘黄",nTime=0.01,nRefresh=80,key="KEY·飘黄",},{nClass=14,nIcon=15692,nFrame=5,szName="KEY·飘黄",nTime=-1,nRefresh=80,key="KEY·飘黄",},{nClass=14,nIcon=2744,nFrame=5,szName="KEY·蛊惑众生",nTime=0,key="KEY·蛊惑众生",},{nClass=14,nIcon=403,nFrame=5,szName="KEY·秋肃",nTime=0,key="KEY·秋肃",},},},</v>
      </c>
      <c r="O531" t="s">
        <v>4856</v>
      </c>
      <c r="P531" t="s">
        <v>5954</v>
      </c>
      <c r="Q531" t="s">
        <v>4858</v>
      </c>
      <c r="R531" t="s">
        <v>4859</v>
      </c>
      <c r="S531" t="s">
        <v>5955</v>
      </c>
      <c r="T531" t="s">
        <v>4861</v>
      </c>
      <c r="U531" t="s">
        <v>4862</v>
      </c>
      <c r="V531" t="s">
        <v>4863</v>
      </c>
    </row>
    <row r="532" spans="1:23" x14ac:dyDescent="0.15">
      <c r="C532" t="s">
        <v>5968</v>
      </c>
      <c r="D532" t="s">
        <v>5969</v>
      </c>
      <c r="N532" t="str">
        <f t="shared" si="8"/>
        <v>{szContent="啐，打不过了。大小姐说过，打不过就跑！",szTarget="苍森",[14]={},tCountdown={{nClass=14,nIcon=904,nFrame=5,szName="KEY·左旋右转",nTime=0,key="KEY·左旋右转",},{nClass=14,nIcon=904,nFrame=-1,szName="KEY·左旋右转",nTime=0.01,nRefresh=60,key="KEY·左旋右转",},{nClass=14,nIcon=904,nFrame=5,szName="KEY·左旋右转",nTime=-1,nRefresh=60,key="KEY·左旋右转",},{nClass=14,nIcon=15692,nFrame=5,szName="KEY·飘黄",nTime=0,key="KEY·飘黄",},{nClass=14,nIcon=15692,nFrame=-1,szName="KEY·飘黄",nTime=0.01,nRefresh=80,key="KEY·飘黄",},{nClass=14,nIcon=15692,nFrame=5,szName="KEY·飘黄",nTime=-1,nRefresh=80,key="KEY·飘黄",},{nClass=14,nIcon=2744,nFrame=5,szName="KEY·蛊惑众生",nTime=0,key="KEY·蛊惑众生",},{nClass=14,nIcon=403,nFrame=5,szName="KEY·秋肃",nTime=0,key="KEY·秋肃",},},},</v>
      </c>
      <c r="O532" t="s">
        <v>4856</v>
      </c>
      <c r="P532" t="s">
        <v>5954</v>
      </c>
      <c r="Q532" t="s">
        <v>4858</v>
      </c>
      <c r="R532" t="s">
        <v>4859</v>
      </c>
      <c r="S532" t="s">
        <v>5955</v>
      </c>
      <c r="T532" t="s">
        <v>4861</v>
      </c>
      <c r="U532" t="s">
        <v>4862</v>
      </c>
      <c r="V532" t="s">
        <v>4863</v>
      </c>
    </row>
    <row r="533" spans="1:23" x14ac:dyDescent="0.15">
      <c r="C533" t="s">
        <v>5970</v>
      </c>
      <c r="D533" t="s">
        <v>5971</v>
      </c>
      <c r="N533" t="str">
        <f t="shared" si="8"/>
        <v>{szContent="何罗兽退了，咳……",szTarget="方子游",[14]={},tCountdown={{nClass=14,nIcon=904,nFrame=5,szName="KEY·左旋右转",nTime=0,key="KEY·左旋右转",},{nClass=14,nIcon=904,nFrame=-1,szName="KEY·左旋右转",nTime=0.01,nRefresh=60,key="KEY·左旋右转",},{nClass=14,nIcon=904,nFrame=5,szName="KEY·左旋右转",nTime=-1,nRefresh=60,key="KEY·左旋右转",},{nClass=14,nIcon=15692,nFrame=5,szName="KEY·飘黄",nTime=0,key="KEY·飘黄",},{nClass=14,nIcon=15692,nFrame=-1,szName="KEY·飘黄",nTime=0.01,nRefresh=80,key="KEY·飘黄",},{nClass=14,nIcon=15692,nFrame=5,szName="KEY·飘黄",nTime=-1,nRefresh=80,key="KEY·飘黄",},{nClass=14,nIcon=2744,nFrame=5,szName="KEY·蛊惑众生",nTime=0,key="KEY·蛊惑众生",},{nClass=14,nIcon=403,nFrame=5,szName="KEY·秋肃",nTime=0,key="KEY·秋肃",},},},</v>
      </c>
      <c r="O533" t="s">
        <v>4856</v>
      </c>
      <c r="P533" t="s">
        <v>5954</v>
      </c>
      <c r="Q533" t="s">
        <v>4858</v>
      </c>
      <c r="R533" t="s">
        <v>4859</v>
      </c>
      <c r="S533" t="s">
        <v>5955</v>
      </c>
      <c r="T533" t="s">
        <v>4861</v>
      </c>
      <c r="U533" t="s">
        <v>4862</v>
      </c>
      <c r="V533" t="s">
        <v>4863</v>
      </c>
    </row>
    <row r="534" spans="1:23" x14ac:dyDescent="0.15">
      <c r="A534" t="s">
        <v>1140</v>
      </c>
      <c r="B534">
        <v>599</v>
      </c>
      <c r="N534" t="str">
        <f t="shared" si="8"/>
        <v>},[599]={</v>
      </c>
    </row>
    <row r="535" spans="1:23" x14ac:dyDescent="0.15">
      <c r="C535" t="s">
        <v>5966</v>
      </c>
      <c r="D535" t="s">
        <v>5967</v>
      </c>
      <c r="N535" t="str">
        <f t="shared" si="8"/>
        <v>{szContent="我还没有当上守卫长，怎么会……",szTarget="关八天",[14]={},tCountdown={{nClass=14,nIcon=904,nFrame=5,szName="KEY·左旋右转",nTime=0,key="KEY·左旋右转",},{nClass=14,nIcon=904,nFrame=-1,szName="KEY·左旋右转",nTime=0.01,nRefresh=60,key="KEY·左旋右转",},{nClass=14,nIcon=904,nFrame=5,szName="KEY·左旋右转",nTime=-1,nRefresh=60,key="KEY·左旋右转",},{nClass=14,nIcon=15692,nFrame=5,szName="KEY·飘黄",nTime=0,key="KEY·飘黄",},{nClass=14,nIcon=15692,nFrame=-1,szName="KEY·飘黄",nTime=0.01,nRefresh=80,key="KEY·飘黄",},{nClass=14,nIcon=15692,nFrame=5,szName="KEY·飘黄",nTime=-1,nRefresh=80,key="KEY·飘黄",},{nClass=14,nIcon=2744,nFrame=5,szName="KEY·蛊惑众生",nTime=0,key="KEY·蛊惑众生",},{nClass=14,nIcon=403,nFrame=5,szName="KEY·秋肃",nTime=0,key="KEY·秋肃",},},},</v>
      </c>
      <c r="O535" t="s">
        <v>4856</v>
      </c>
      <c r="P535" t="s">
        <v>5954</v>
      </c>
      <c r="Q535" t="s">
        <v>4858</v>
      </c>
      <c r="R535" t="s">
        <v>4859</v>
      </c>
      <c r="S535" t="s">
        <v>5955</v>
      </c>
      <c r="T535" t="s">
        <v>4861</v>
      </c>
      <c r="U535" t="s">
        <v>4862</v>
      </c>
      <c r="V535" t="s">
        <v>4863</v>
      </c>
    </row>
    <row r="536" spans="1:23" x14ac:dyDescent="0.15">
      <c r="C536" t="s">
        <v>5968</v>
      </c>
      <c r="D536" t="s">
        <v>5969</v>
      </c>
      <c r="N536" t="str">
        <f t="shared" si="8"/>
        <v>{szContent="啐，打不过了。大小姐说过，打不过就跑！",szTarget="苍森",[14]={},tCountdown={{nClass=14,nIcon=904,nFrame=5,szName="KEY·左旋右转",nTime=0,key="KEY·左旋右转",},{nClass=14,nIcon=904,nFrame=-1,szName="KEY·左旋右转",nTime=0.01,nRefresh=60,key="KEY·左旋右转",},{nClass=14,nIcon=904,nFrame=5,szName="KEY·左旋右转",nTime=-1,nRefresh=60,key="KEY·左旋右转",},{nClass=14,nIcon=15692,nFrame=5,szName="KEY·飘黄",nTime=0,key="KEY·飘黄",},{nClass=14,nIcon=15692,nFrame=-1,szName="KEY·飘黄",nTime=0.01,nRefresh=80,key="KEY·飘黄",},{nClass=14,nIcon=15692,nFrame=5,szName="KEY·飘黄",nTime=-1,nRefresh=80,key="KEY·飘黄",},{nClass=14,nIcon=2744,nFrame=5,szName="KEY·蛊惑众生",nTime=0,key="KEY·蛊惑众生",},{nClass=14,nIcon=403,nFrame=5,szName="KEY·秋肃",nTime=0,key="KEY·秋肃",},},},</v>
      </c>
      <c r="O536" t="s">
        <v>4856</v>
      </c>
      <c r="P536" t="s">
        <v>5954</v>
      </c>
      <c r="Q536" t="s">
        <v>4858</v>
      </c>
      <c r="R536" t="s">
        <v>4859</v>
      </c>
      <c r="S536" t="s">
        <v>5955</v>
      </c>
      <c r="T536" t="s">
        <v>4861</v>
      </c>
      <c r="U536" t="s">
        <v>4862</v>
      </c>
      <c r="V536" t="s">
        <v>4863</v>
      </c>
    </row>
    <row r="537" spans="1:23" x14ac:dyDescent="0.15">
      <c r="C537" t="s">
        <v>5970</v>
      </c>
      <c r="D537" t="s">
        <v>5971</v>
      </c>
      <c r="N537" t="str">
        <f t="shared" si="8"/>
        <v>{szContent="何罗兽退了，咳……",szTarget="方子游",[14]={},tCountdown={{nClass=14,nIcon=904,nFrame=5,szName="KEY·左旋右转",nTime=0,key="KEY·左旋右转",},{nClass=14,nIcon=904,nFrame=-1,szName="KEY·左旋右转",nTime=0.01,nRefresh=60,key="KEY·左旋右转",},{nClass=14,nIcon=904,nFrame=5,szName="KEY·左旋右转",nTime=-1,nRefresh=60,key="KEY·左旋右转",},{nClass=14,nIcon=15692,nFrame=5,szName="KEY·飘黄",nTime=0,key="KEY·飘黄",},{nClass=14,nIcon=15692,nFrame=-1,szName="KEY·飘黄",nTime=0.01,nRefresh=80,key="KEY·飘黄",},{nClass=14,nIcon=15692,nFrame=5,szName="KEY·飘黄",nTime=-1,nRefresh=80,key="KEY·飘黄",},{nClass=14,nIcon=2744,nFrame=5,szName="KEY·蛊惑众生",nTime=0,key="KEY·蛊惑众生",},{nClass=14,nIcon=403,nFrame=5,szName="KEY·秋肃",nTime=0,key="KEY·秋肃",},},},</v>
      </c>
      <c r="O537" t="s">
        <v>4856</v>
      </c>
      <c r="P537" t="s">
        <v>5954</v>
      </c>
      <c r="Q537" t="s">
        <v>4858</v>
      </c>
      <c r="R537" t="s">
        <v>4859</v>
      </c>
      <c r="S537" t="s">
        <v>5955</v>
      </c>
      <c r="T537" t="s">
        <v>4861</v>
      </c>
      <c r="U537" t="s">
        <v>4862</v>
      </c>
      <c r="V537" t="s">
        <v>4863</v>
      </c>
    </row>
    <row r="538" spans="1:23" x14ac:dyDescent="0.15">
      <c r="A538" t="s">
        <v>1147</v>
      </c>
      <c r="B538">
        <v>606</v>
      </c>
      <c r="N538" t="str">
        <f t="shared" si="8"/>
        <v>},[606]={</v>
      </c>
    </row>
    <row r="539" spans="1:23" x14ac:dyDescent="0.15">
      <c r="D539" t="s">
        <v>5972</v>
      </c>
      <c r="N539" t="str">
        <f t="shared" si="8"/>
        <v>{szContent="发现取水点，快去收集起来吧！",[14]={},tCountdown={{nClass=14,nIcon=17135,nFrame=6,szName="小橙武·取水点·桥边瀑布",nTime=30,nRefresh=10,key="小橙武·升级",},},},</v>
      </c>
      <c r="O539" t="s">
        <v>5973</v>
      </c>
    </row>
    <row r="540" spans="1:23" x14ac:dyDescent="0.15">
      <c r="C540" t="s">
        <v>5974</v>
      </c>
      <c r="D540" t="s">
        <v>5975</v>
      </c>
      <c r="N540" t="str">
        <f t="shared" si="8"/>
        <v>{szContent="我这一生，终究是与顶峰无缘……",szTarget="吴添明",[14]={},tCountdown={{nClass=14,nIcon=904,nFrame=5,szName="KEY·左旋右转",nTime=0,key="KEY·左旋右转",},{nClass=14,nIcon=904,nFrame=-1,szName="KEY·左旋右转",nTime=0.01,nRefresh=60,key="KEY·左旋右转",},{nClass=14,nIcon=904,nFrame=5,szName="KEY·左旋右转",nTime=-1,nRefresh=60,key="KEY·左旋右转",},{nClass=14,nIcon=15692,nFrame=5,szName="KEY·飘黄",nTime=0,key="KEY·飘黄",},{nClass=14,nIcon=15692,nFrame=-1,szName="KEY·飘黄",nTime=0.01,nRefresh=80,key="KEY·飘黄",},{nClass=14,nIcon=15692,nFrame=5,szName="KEY·飘黄",nTime=-1,nRefresh=80,key="KEY·飘黄",},{nClass=14,nIcon=2744,nFrame=5,szName="KEY·蛊惑众生",nTime=0,key="KEY·蛊惑众生",},{nClass=14,nIcon=403,nFrame=5,szName="KEY·秋肃",nTime=0,key="KEY·秋肃",},},},</v>
      </c>
      <c r="O540" t="s">
        <v>4856</v>
      </c>
      <c r="P540" t="s">
        <v>5954</v>
      </c>
      <c r="Q540" t="s">
        <v>4858</v>
      </c>
      <c r="R540" t="s">
        <v>4859</v>
      </c>
      <c r="S540" t="s">
        <v>5955</v>
      </c>
      <c r="T540" t="s">
        <v>4861</v>
      </c>
      <c r="U540" t="s">
        <v>4862</v>
      </c>
      <c r="V540" t="s">
        <v>4863</v>
      </c>
    </row>
    <row r="541" spans="1:23" x14ac:dyDescent="0.15">
      <c r="C541" t="s">
        <v>5976</v>
      </c>
      <c r="D541" t="s">
        <v>5977</v>
      </c>
      <c r="N541" t="str">
        <f t="shared" si="8"/>
        <v>{szContent="舟大叔……舟大叔被他们带进那个指月楼了，我们得快去救他！",szTarget="甘青阳",[14]={},tCountdown={{nClass=14,nIcon=904,nFrame=5,szName="KEY·左旋右转",nTime=0,key="KEY·左旋右转",},{nClass=14,nIcon=904,nFrame=-1,szName="KEY·左旋右转",nTime=0.01,nRefresh=60,key="KEY·左旋右转",},{nClass=14,nIcon=904,nFrame=5,szName="KEY·左旋右转",nTime=-1,nRefresh=60,key="KEY·左旋右转",},{nClass=14,nIcon=15692,nFrame=5,szName="KEY·飘黄",nTime=0,key="KEY·飘黄",},{nClass=14,nIcon=15692,nFrame=-1,szName="KEY·飘黄",nTime=0.01,nRefresh=80,key="KEY·飘黄",},{nClass=14,nIcon=15692,nFrame=5,szName="KEY·飘黄",nTime=-1,nRefresh=80,key="KEY·飘黄",},{nClass=14,nIcon=2744,nFrame=5,szName="KEY·蛊惑众生",nTime=0,key="KEY·蛊惑众生",},{nClass=14,nIcon=403,nFrame=5,szName="KEY·秋肃",nTime=0,key="KEY·秋肃",},},},</v>
      </c>
      <c r="O541" t="s">
        <v>4856</v>
      </c>
      <c r="P541" t="s">
        <v>5954</v>
      </c>
      <c r="Q541" t="s">
        <v>4858</v>
      </c>
      <c r="R541" t="s">
        <v>4859</v>
      </c>
      <c r="S541" t="s">
        <v>5955</v>
      </c>
      <c r="T541" t="s">
        <v>4861</v>
      </c>
      <c r="U541" t="s">
        <v>4862</v>
      </c>
      <c r="V541" t="s">
        <v>4863</v>
      </c>
    </row>
    <row r="542" spans="1:23" x14ac:dyDescent="0.15">
      <c r="C542" t="s">
        <v>5978</v>
      </c>
      <c r="D542" t="s">
        <v>5979</v>
      </c>
      <c r="N542" t="str">
        <f t="shared" si="8"/>
        <v>{szContent="村正先生，快出手吧",szTarget="藤原广嗣",[14]={},tCountdown={{nClass=14,nIcon=13,nFrame=5,szName="剧情倒计时",nTime=57.5,},{nClass=14,nIcon=904,nFrame=5,szName="KEY·左旋右转",nTime=0,key="KEY·左旋右转",},{nClass=14,nIcon=904,nFrame=-1,szName="KEY·左旋右转",nTime=0.01,nRefresh=60,key="KEY·左旋右转",},{nClass=14,nIcon=904,nFrame=5,szName="KEY·左旋右转",nTime=-1,nRefresh=60,key="KEY·左旋右转",},{nClass=14,nIcon=15692,nFrame=5,szName="KEY·飘黄",nTime=0,key="KEY·飘黄",},{nClass=14,nIcon=15692,nFrame=-1,szName="KEY·飘黄",nTime=0.01,nRefresh=80,key="KEY·飘黄",},{nClass=14,nIcon=15692,nFrame=5,szName="KEY·飘黄",nTime=-1,nRefresh=80,key="KEY·飘黄",},{nClass=14,nIcon=2744,nFrame=5,szName="KEY·蛊惑众生",nTime=0,key="KEY·蛊惑众生",},{nClass=14,nIcon=403,nFrame=5,szName="KEY·秋肃",nTime=0,key="KEY·秋肃",},},},</v>
      </c>
      <c r="O542" t="s">
        <v>5980</v>
      </c>
      <c r="P542" t="s">
        <v>4856</v>
      </c>
      <c r="Q542" t="s">
        <v>5954</v>
      </c>
      <c r="R542" t="s">
        <v>4858</v>
      </c>
      <c r="S542" t="s">
        <v>4859</v>
      </c>
      <c r="T542" t="s">
        <v>5955</v>
      </c>
      <c r="U542" t="s">
        <v>4861</v>
      </c>
      <c r="V542" t="s">
        <v>4862</v>
      </c>
      <c r="W542" t="s">
        <v>4863</v>
      </c>
    </row>
    <row r="543" spans="1:23" x14ac:dyDescent="0.15">
      <c r="A543" t="s">
        <v>1148</v>
      </c>
      <c r="B543">
        <v>607</v>
      </c>
      <c r="N543" t="str">
        <f t="shared" si="8"/>
        <v>},[607]={</v>
      </c>
    </row>
    <row r="544" spans="1:23" x14ac:dyDescent="0.15">
      <c r="D544" t="s">
        <v>5972</v>
      </c>
      <c r="N544" t="str">
        <f t="shared" si="8"/>
        <v>{szContent="发现取水点，快去收集起来吧！",[14]={},tCountdown={{nClass=14,nIcon=17135,nFrame=6,szName="小橙武·取水点·桥边瀑布",nTime=30,nRefresh=10,key="小橙武·升级",},},},</v>
      </c>
      <c r="O544" t="s">
        <v>5973</v>
      </c>
    </row>
    <row r="545" spans="1:23" x14ac:dyDescent="0.15">
      <c r="C545" t="s">
        <v>5974</v>
      </c>
      <c r="D545" t="s">
        <v>5975</v>
      </c>
      <c r="N545" t="str">
        <f t="shared" si="8"/>
        <v>{szContent="我这一生，终究是与顶峰无缘……",szTarget="吴添明",[14]={},tCountdown={{nClass=14,nIcon=904,nFrame=5,szName="KEY·左旋右转",nTime=0,key="KEY·左旋右转",},{nClass=14,nIcon=904,nFrame=-1,szName="KEY·左旋右转",nTime=0.01,nRefresh=60,key="KEY·左旋右转",},{nClass=14,nIcon=904,nFrame=5,szName="KEY·左旋右转",nTime=-1,nRefresh=60,key="KEY·左旋右转",},{nClass=14,nIcon=15692,nFrame=5,szName="KEY·飘黄",nTime=0,key="KEY·飘黄",},{nClass=14,nIcon=15692,nFrame=-1,szName="KEY·飘黄",nTime=0.01,nRefresh=80,key="KEY·飘黄",},{nClass=14,nIcon=15692,nFrame=5,szName="KEY·飘黄",nTime=-1,nRefresh=80,key="KEY·飘黄",},{nClass=14,nIcon=2744,nFrame=5,szName="KEY·蛊惑众生",nTime=0,key="KEY·蛊惑众生",},{nClass=14,nIcon=403,nFrame=5,szName="KEY·秋肃",nTime=0,key="KEY·秋肃",},},},</v>
      </c>
      <c r="O545" t="s">
        <v>4856</v>
      </c>
      <c r="P545" t="s">
        <v>5954</v>
      </c>
      <c r="Q545" t="s">
        <v>4858</v>
      </c>
      <c r="R545" t="s">
        <v>4859</v>
      </c>
      <c r="S545" t="s">
        <v>5955</v>
      </c>
      <c r="T545" t="s">
        <v>4861</v>
      </c>
      <c r="U545" t="s">
        <v>4862</v>
      </c>
      <c r="V545" t="s">
        <v>4863</v>
      </c>
    </row>
    <row r="546" spans="1:23" x14ac:dyDescent="0.15">
      <c r="C546" t="s">
        <v>5976</v>
      </c>
      <c r="D546" t="s">
        <v>5977</v>
      </c>
      <c r="N546" t="str">
        <f t="shared" si="8"/>
        <v>{szContent="舟大叔……舟大叔被他们带进那个指月楼了，我们得快去救他！",szTarget="甘青阳",[14]={},tCountdown={{nClass=14,nIcon=904,nFrame=5,szName="KEY·左旋右转",nTime=0,key="KEY·左旋右转",},{nClass=14,nIcon=904,nFrame=-1,szName="KEY·左旋右转",nTime=0.01,nRefresh=60,key="KEY·左旋右转",},{nClass=14,nIcon=904,nFrame=5,szName="KEY·左旋右转",nTime=-1,nRefresh=60,key="KEY·左旋右转",},{nClass=14,nIcon=15692,nFrame=5,szName="KEY·飘黄",nTime=0,key="KEY·飘黄",},{nClass=14,nIcon=15692,nFrame=-1,szName="KEY·飘黄",nTime=0.01,nRefresh=80,key="KEY·飘黄",},{nClass=14,nIcon=15692,nFrame=5,szName="KEY·飘黄",nTime=-1,nRefresh=80,key="KEY·飘黄",},{nClass=14,nIcon=2744,nFrame=5,szName="KEY·蛊惑众生",nTime=0,key="KEY·蛊惑众生",},{nClass=14,nIcon=403,nFrame=5,szName="KEY·秋肃",nTime=0,key="KEY·秋肃",},},},</v>
      </c>
      <c r="O546" t="s">
        <v>4856</v>
      </c>
      <c r="P546" t="s">
        <v>5954</v>
      </c>
      <c r="Q546" t="s">
        <v>4858</v>
      </c>
      <c r="R546" t="s">
        <v>4859</v>
      </c>
      <c r="S546" t="s">
        <v>5955</v>
      </c>
      <c r="T546" t="s">
        <v>4861</v>
      </c>
      <c r="U546" t="s">
        <v>4862</v>
      </c>
      <c r="V546" t="s">
        <v>4863</v>
      </c>
    </row>
    <row r="547" spans="1:23" x14ac:dyDescent="0.15">
      <c r="C547" t="s">
        <v>5978</v>
      </c>
      <c r="D547" t="s">
        <v>5979</v>
      </c>
      <c r="N547" t="str">
        <f t="shared" si="8"/>
        <v>{szContent="村正先生，快出手吧",szTarget="藤原广嗣",[14]={},tCountdown={{nClass=14,nIcon=13,nFrame=5,szName="剧情倒计时",nTime=57.5,},{nClass=14,nIcon=904,nFrame=5,szName="KEY·左旋右转",nTime=0,key="KEY·左旋右转",},{nClass=14,nIcon=904,nFrame=-1,szName="KEY·左旋右转",nTime=0.01,nRefresh=60,key="KEY·左旋右转",},{nClass=14,nIcon=904,nFrame=5,szName="KEY·左旋右转",nTime=-1,nRefresh=60,key="KEY·左旋右转",},{nClass=14,nIcon=15692,nFrame=5,szName="KEY·飘黄",nTime=0,key="KEY·飘黄",},{nClass=14,nIcon=15692,nFrame=-1,szName="KEY·飘黄",nTime=0.01,nRefresh=80,key="KEY·飘黄",},{nClass=14,nIcon=15692,nFrame=5,szName="KEY·飘黄",nTime=-1,nRefresh=80,key="KEY·飘黄",},{nClass=14,nIcon=2744,nFrame=5,szName="KEY·蛊惑众生",nTime=0,key="KEY·蛊惑众生",},{nClass=14,nIcon=403,nFrame=5,szName="KEY·秋肃",nTime=0,key="KEY·秋肃",},},},</v>
      </c>
      <c r="O547" t="s">
        <v>5980</v>
      </c>
      <c r="P547" t="s">
        <v>4856</v>
      </c>
      <c r="Q547" t="s">
        <v>5954</v>
      </c>
      <c r="R547" t="s">
        <v>4858</v>
      </c>
      <c r="S547" t="s">
        <v>4859</v>
      </c>
      <c r="T547" t="s">
        <v>5955</v>
      </c>
      <c r="U547" t="s">
        <v>4861</v>
      </c>
      <c r="V547" t="s">
        <v>4862</v>
      </c>
      <c r="W547" t="s">
        <v>4863</v>
      </c>
    </row>
    <row r="548" spans="1:23" x14ac:dyDescent="0.15">
      <c r="A548" t="s">
        <v>1162</v>
      </c>
      <c r="B548">
        <v>622</v>
      </c>
      <c r="N548" t="str">
        <f t="shared" si="8"/>
        <v>},[622]={</v>
      </c>
    </row>
    <row r="549" spans="1:23" x14ac:dyDescent="0.15">
      <c r="D549" t="s">
        <v>5972</v>
      </c>
      <c r="N549" t="str">
        <f t="shared" si="8"/>
        <v>{szContent="发现取水点，快去收集起来吧！",[14]={},tCountdown={{nClass=14,nIcon=17135,nFrame=6,szName="小橙武·取水点·雕像水池",nTime=30,nRefresh=10,key="小橙武·升级",},},},</v>
      </c>
      <c r="O549" t="s">
        <v>5981</v>
      </c>
    </row>
    <row r="550" spans="1:23" x14ac:dyDescent="0.15">
      <c r="C550" t="s">
        <v>5982</v>
      </c>
      <c r="D550" t="s">
        <v>5983</v>
      </c>
      <c r="N550" t="str">
        <f t="shared" si="8"/>
        <v>{szContent="好疼……阿娘、阿姊……乐娘打不过他们……",szTarget="笑妆娘",[14]={},tCountdown={{nClass=14,nIcon=904,nFrame=5,szName="KEY·左旋右转",nTime=0,key="KEY·左旋右转",},{nClass=14,nIcon=904,nFrame=-1,szName="KEY·左旋右转",nTime=0.01,nRefresh=60,key="KEY·左旋右转",},{nClass=14,nIcon=904,nFrame=5,szName="KEY·左旋右转",nTime=-1,nRefresh=60,key="KEY·左旋右转",},{nClass=14,nIcon=15692,nFrame=5,szName="KEY·飘黄",nTime=0,key="KEY·飘黄",},{nClass=14,nIcon=15692,nFrame=-1,szName="KEY·飘黄",nTime=0.01,nRefresh=80,key="KEY·飘黄",},{nClass=14,nIcon=15692,nFrame=5,szName="KEY·飘黄",nTime=-1,nRefresh=80,key="KEY·飘黄",},{nClass=14,nIcon=2744,nFrame=5,szName="KEY·蛊惑众生",nTime=0,key="KEY·蛊惑众生",},{nClass=14,nIcon=403,nFrame=5,szName="KEY·秋肃",nTime=0,key="KEY·秋肃",},},},</v>
      </c>
      <c r="O550" t="s">
        <v>4856</v>
      </c>
      <c r="P550" t="s">
        <v>5954</v>
      </c>
      <c r="Q550" t="s">
        <v>4858</v>
      </c>
      <c r="R550" t="s">
        <v>4859</v>
      </c>
      <c r="S550" t="s">
        <v>5955</v>
      </c>
      <c r="T550" t="s">
        <v>4861</v>
      </c>
      <c r="U550" t="s">
        <v>4862</v>
      </c>
      <c r="V550" t="s">
        <v>4863</v>
      </c>
    </row>
    <row r="551" spans="1:23" x14ac:dyDescent="0.15">
      <c r="C551" t="s">
        <v>5984</v>
      </c>
      <c r="D551" t="s">
        <v>5985</v>
      </c>
      <c r="N551" t="str">
        <f t="shared" si="8"/>
        <v>{szContent="十年一梦……我、不甘……",szTarget="白兆霆",[14]={},tCountdown={{nClass=14,nIcon=904,nFrame=5,szName="KEY·左旋右转",nTime=0,key="KEY·左旋右转",},{nClass=14,nIcon=904,nFrame=-1,szName="KEY·左旋右转",nTime=0.01,nRefresh=60,key="KEY·左旋右转",},{nClass=14,nIcon=904,nFrame=5,szName="KEY·左旋右转",nTime=-1,nRefresh=60,key="KEY·左旋右转",},{nClass=14,nIcon=15692,nFrame=5,szName="KEY·飘黄",nTime=0,key="KEY·飘黄",},{nClass=14,nIcon=15692,nFrame=-1,szName="KEY·飘黄",nTime=0.01,nRefresh=80,key="KEY·飘黄",},{nClass=14,nIcon=15692,nFrame=5,szName="KEY·飘黄",nTime=-1,nRefresh=80,key="KEY·飘黄",},{nClass=14,nIcon=2744,nFrame=5,szName="KEY·蛊惑众生",nTime=0,key="KEY·蛊惑众生",},{nClass=14,nIcon=403,nFrame=5,szName="KEY·秋肃",nTime=0,key="KEY·秋肃",},},},</v>
      </c>
      <c r="O551" t="s">
        <v>4856</v>
      </c>
      <c r="P551" t="s">
        <v>5954</v>
      </c>
      <c r="Q551" t="s">
        <v>4858</v>
      </c>
      <c r="R551" t="s">
        <v>4859</v>
      </c>
      <c r="S551" t="s">
        <v>5955</v>
      </c>
      <c r="T551" t="s">
        <v>4861</v>
      </c>
      <c r="U551" t="s">
        <v>4862</v>
      </c>
      <c r="V551" t="s">
        <v>4863</v>
      </c>
    </row>
    <row r="552" spans="1:23" x14ac:dyDescent="0.15">
      <c r="C552" t="s">
        <v>5986</v>
      </c>
      <c r="D552" t="s">
        <v>5987</v>
      </c>
      <c r="N552" t="str">
        <f t="shared" si="8"/>
        <v>{szContent="就陪你们玩到这里吧！",szTarget="邙赫达",[14]={},tCountdown={{nClass=14,nIcon=904,nFrame=5,szName="KEY·左旋右转",nTime=0,key="KEY·左旋右转",},{nClass=14,nIcon=904,nFrame=-1,szName="KEY·左旋右转",nTime=0.01,nRefresh=60,key="KEY·左旋右转",},{nClass=14,nIcon=904,nFrame=5,szName="KEY·左旋右转",nTime=-1,nRefresh=60,key="KEY·左旋右转",},{nClass=14,nIcon=15692,nFrame=5,szName="KEY·飘黄",nTime=0,key="KEY·飘黄",},{nClass=14,nIcon=15692,nFrame=-1,szName="KEY·飘黄",nTime=0.01,nRefresh=80,key="KEY·飘黄",},{nClass=14,nIcon=15692,nFrame=5,szName="KEY·飘黄",nTime=-1,nRefresh=80,key="KEY·飘黄",},{nClass=14,nIcon=2744,nFrame=5,szName="KEY·蛊惑众生",nTime=0,key="KEY·蛊惑众生",},{nClass=14,nIcon=403,nFrame=5,szName="KEY·秋肃",nTime=0,key="KEY·秋肃",},},},</v>
      </c>
      <c r="O552" t="s">
        <v>4856</v>
      </c>
      <c r="P552" t="s">
        <v>5954</v>
      </c>
      <c r="Q552" t="s">
        <v>4858</v>
      </c>
      <c r="R552" t="s">
        <v>4859</v>
      </c>
      <c r="S552" t="s">
        <v>5955</v>
      </c>
      <c r="T552" t="s">
        <v>4861</v>
      </c>
      <c r="U552" t="s">
        <v>4862</v>
      </c>
      <c r="V552" t="s">
        <v>4863</v>
      </c>
    </row>
    <row r="553" spans="1:23" x14ac:dyDescent="0.15">
      <c r="A553" t="s">
        <v>1163</v>
      </c>
      <c r="B553">
        <v>623</v>
      </c>
      <c r="N553" t="str">
        <f t="shared" si="8"/>
        <v>},[623]={</v>
      </c>
    </row>
    <row r="554" spans="1:23" x14ac:dyDescent="0.15">
      <c r="D554" t="s">
        <v>5972</v>
      </c>
      <c r="N554" t="str">
        <f t="shared" si="8"/>
        <v>{szContent="发现取水点，快去收集起来吧！",[14]={},tCountdown={{nClass=14,nIcon=17135,nFrame=6,szName="小橙武·取水点·雕像水池",nTime=30,nRefresh=10,key="小橙武·升级",},},},</v>
      </c>
      <c r="O554" t="s">
        <v>5981</v>
      </c>
    </row>
    <row r="555" spans="1:23" x14ac:dyDescent="0.15">
      <c r="C555" t="s">
        <v>5982</v>
      </c>
      <c r="D555" t="s">
        <v>5983</v>
      </c>
      <c r="N555" t="str">
        <f t="shared" si="8"/>
        <v>{szContent="好疼……阿娘、阿姊……乐娘打不过他们……",szTarget="笑妆娘",[14]={},tCountdown={{nClass=14,nIcon=904,nFrame=5,szName="KEY·左旋右转",nTime=0,key="KEY·左旋右转",},{nClass=14,nIcon=904,nFrame=-1,szName="KEY·左旋右转",nTime=0.01,nRefresh=60,key="KEY·左旋右转",},{nClass=14,nIcon=904,nFrame=5,szName="KEY·左旋右转",nTime=-1,nRefresh=60,key="KEY·左旋右转",},{nClass=14,nIcon=15692,nFrame=5,szName="KEY·飘黄",nTime=0,key="KEY·飘黄",},{nClass=14,nIcon=15692,nFrame=-1,szName="KEY·飘黄",nTime=0.01,nRefresh=80,key="KEY·飘黄",},{nClass=14,nIcon=15692,nFrame=5,szName="KEY·飘黄",nTime=-1,nRefresh=80,key="KEY·飘黄",},{nClass=14,nIcon=2744,nFrame=5,szName="KEY·蛊惑众生",nTime=0,key="KEY·蛊惑众生",},{nClass=14,nIcon=403,nFrame=5,szName="KEY·秋肃",nTime=0,key="KEY·秋肃",},},},</v>
      </c>
      <c r="O555" t="s">
        <v>4856</v>
      </c>
      <c r="P555" t="s">
        <v>5954</v>
      </c>
      <c r="Q555" t="s">
        <v>4858</v>
      </c>
      <c r="R555" t="s">
        <v>4859</v>
      </c>
      <c r="S555" t="s">
        <v>5955</v>
      </c>
      <c r="T555" t="s">
        <v>4861</v>
      </c>
      <c r="U555" t="s">
        <v>4862</v>
      </c>
      <c r="V555" t="s">
        <v>4863</v>
      </c>
    </row>
    <row r="556" spans="1:23" x14ac:dyDescent="0.15">
      <c r="C556" t="s">
        <v>5984</v>
      </c>
      <c r="D556" t="s">
        <v>5985</v>
      </c>
      <c r="N556" t="str">
        <f t="shared" si="8"/>
        <v>{szContent="十年一梦……我、不甘……",szTarget="白兆霆",[14]={},tCountdown={{nClass=14,nIcon=904,nFrame=5,szName="KEY·左旋右转",nTime=0,key="KEY·左旋右转",},{nClass=14,nIcon=904,nFrame=-1,szName="KEY·左旋右转",nTime=0.01,nRefresh=60,key="KEY·左旋右转",},{nClass=14,nIcon=904,nFrame=5,szName="KEY·左旋右转",nTime=-1,nRefresh=60,key="KEY·左旋右转",},{nClass=14,nIcon=15692,nFrame=5,szName="KEY·飘黄",nTime=0,key="KEY·飘黄",},{nClass=14,nIcon=15692,nFrame=-1,szName="KEY·飘黄",nTime=0.01,nRefresh=80,key="KEY·飘黄",},{nClass=14,nIcon=15692,nFrame=5,szName="KEY·飘黄",nTime=-1,nRefresh=80,key="KEY·飘黄",},{nClass=14,nIcon=2744,nFrame=5,szName="KEY·蛊惑众生",nTime=0,key="KEY·蛊惑众生",},{nClass=14,nIcon=403,nFrame=5,szName="KEY·秋肃",nTime=0,key="KEY·秋肃",},},},</v>
      </c>
      <c r="O556" t="s">
        <v>4856</v>
      </c>
      <c r="P556" t="s">
        <v>5954</v>
      </c>
      <c r="Q556" t="s">
        <v>4858</v>
      </c>
      <c r="R556" t="s">
        <v>4859</v>
      </c>
      <c r="S556" t="s">
        <v>5955</v>
      </c>
      <c r="T556" t="s">
        <v>4861</v>
      </c>
      <c r="U556" t="s">
        <v>4862</v>
      </c>
      <c r="V556" t="s">
        <v>4863</v>
      </c>
    </row>
    <row r="557" spans="1:23" x14ac:dyDescent="0.15">
      <c r="C557" t="s">
        <v>5986</v>
      </c>
      <c r="D557" t="s">
        <v>5987</v>
      </c>
      <c r="N557" t="str">
        <f t="shared" si="8"/>
        <v>{szContent="就陪你们玩到这里吧！",szTarget="邙赫达",[14]={},tCountdown={{nClass=14,nIcon=904,nFrame=5,szName="KEY·左旋右转",nTime=0,key="KEY·左旋右转",},{nClass=14,nIcon=904,nFrame=-1,szName="KEY·左旋右转",nTime=0.01,nRefresh=60,key="KEY·左旋右转",},{nClass=14,nIcon=904,nFrame=5,szName="KEY·左旋右转",nTime=-1,nRefresh=60,key="KEY·左旋右转",},{nClass=14,nIcon=15692,nFrame=5,szName="KEY·飘黄",nTime=0,key="KEY·飘黄",},{nClass=14,nIcon=15692,nFrame=-1,szName="KEY·飘黄",nTime=0.01,nRefresh=80,key="KEY·飘黄",},{nClass=14,nIcon=15692,nFrame=5,szName="KEY·飘黄",nTime=-1,nRefresh=80,key="KEY·飘黄",},{nClass=14,nIcon=2744,nFrame=5,szName="KEY·蛊惑众生",nTime=0,key="KEY·蛊惑众生",},{nClass=14,nIcon=403,nFrame=5,szName="KEY·秋肃",nTime=0,key="KEY·秋肃",},},},</v>
      </c>
      <c r="O557" t="s">
        <v>4856</v>
      </c>
      <c r="P557" t="s">
        <v>5954</v>
      </c>
      <c r="Q557" t="s">
        <v>4858</v>
      </c>
      <c r="R557" t="s">
        <v>4859</v>
      </c>
      <c r="S557" t="s">
        <v>5955</v>
      </c>
      <c r="T557" t="s">
        <v>4861</v>
      </c>
      <c r="U557" t="s">
        <v>4862</v>
      </c>
      <c r="V557" t="s">
        <v>4863</v>
      </c>
    </row>
    <row r="558" spans="1:23" x14ac:dyDescent="0.15">
      <c r="A558" t="s">
        <v>1167</v>
      </c>
      <c r="B558">
        <v>627</v>
      </c>
      <c r="N558" t="str">
        <f t="shared" si="8"/>
        <v>},[627]={</v>
      </c>
    </row>
    <row r="559" spans="1:23" x14ac:dyDescent="0.15">
      <c r="C559" t="s">
        <v>5988</v>
      </c>
      <c r="D559" t="s">
        <v>5989</v>
      </c>
      <c r="E559" t="s">
        <v>5990</v>
      </c>
      <c r="F559" t="s">
        <v>2529</v>
      </c>
      <c r="N559" t="str">
        <f t="shared" si="8"/>
        <v>{szContent="老伙计们！这一车可得小心点，这路上可有不少浩气盟的探子，有劲的一会使出来！",szTarget="纪平",szNote="恶人·出车",col={255,100,100,},[14]={},tCountdown={{nClass=14,nIcon=15380,nFrame=3,szName="恶人·押送物资",nTime=347,key="押送物资",},},},</v>
      </c>
      <c r="O559" t="s">
        <v>5991</v>
      </c>
    </row>
    <row r="560" spans="1:23" x14ac:dyDescent="0.15">
      <c r="C560" t="s">
        <v>5992</v>
      </c>
      <c r="D560" t="s">
        <v>5993</v>
      </c>
      <c r="E560" t="s">
        <v>5994</v>
      </c>
      <c r="F560" t="s">
        <v>2524</v>
      </c>
      <c r="N560" t="str">
        <f t="shared" si="8"/>
        <v>{szContent="诸位兄弟们，瓷器可换银钱，壮大我方势力，请与我一道运送回浩气盟！",szTarget="周也",szNote="浩气·出车",col={100,100,255,},[14]={},tCountdown={{nClass=14,nIcon=15384,nFrame=7,szName="浩气·押送物资",nTime=347,key="押送物资",},},},</v>
      </c>
      <c r="O560" t="s">
        <v>5995</v>
      </c>
    </row>
    <row r="561" spans="1:22" x14ac:dyDescent="0.15">
      <c r="C561" t="s">
        <v>5988</v>
      </c>
      <c r="D561" t="s">
        <v>5996</v>
      </c>
      <c r="E561" t="s">
        <v>5997</v>
      </c>
      <c r="F561" t="s">
        <v>2529</v>
      </c>
      <c r="N561" t="str">
        <f t="shared" si="8"/>
        <v>{szContent="恶人谷的老伙计们！一路上可算没有出啥岔子。这是洒家给伙计们的报酬，且拿好。",szTarget="纪平",szNote="恶人·跟车奖励",col={255,100,100,},[14]={},tCountdown={{nClass=14,nIcon=2398,nFrame=3,szName="恶人·跟车奖励",nTime=90,nRefresh=5,key="恶人事件",},{nClass=14,nIcon=15380,nFrame=3,szName="烂柯争锋拒鬼楼·押送物资",nTime=0,key="押送物资",},},},</v>
      </c>
      <c r="O561" t="s">
        <v>5998</v>
      </c>
      <c r="P561" t="s">
        <v>5999</v>
      </c>
    </row>
    <row r="562" spans="1:22" x14ac:dyDescent="0.15">
      <c r="C562" t="s">
        <v>5992</v>
      </c>
      <c r="D562" t="s">
        <v>6000</v>
      </c>
      <c r="E562" t="s">
        <v>6001</v>
      </c>
      <c r="F562" t="s">
        <v>2524</v>
      </c>
      <c r="N562" t="str">
        <f t="shared" si="8"/>
        <v>{szContent="浩气盟的众兄弟们，辛苦了！这是盟里给众兄弟们的奖赏，请各位收下。",szTarget="周也",szNote="浩气·跟车奖励",col={100,100,255,},[14]={},tCountdown={{nClass=14,nIcon=2397,nFrame=7,szName="浩气·跟车奖励",nTime=90,nRefresh=5,key="浩气事件",},{nClass=14,nIcon=15384,nFrame=5,szName="烂柯争锋拒鬼楼·押送物资",nTime=0,key="押送物资",},},},</v>
      </c>
      <c r="O562" t="s">
        <v>6002</v>
      </c>
      <c r="P562" t="s">
        <v>6003</v>
      </c>
    </row>
    <row r="563" spans="1:22" x14ac:dyDescent="0.15">
      <c r="D563" t="s">
        <v>6004</v>
      </c>
      <c r="F563" t="s">
        <v>2529</v>
      </c>
      <c r="N563" t="str">
        <f t="shared" si="8"/>
        <v>{szContent="【恶人·运送物资】事件已经结束，由于你没有贡献，没有获得奖励。",col={255,100,100,},[14]={},tCountdown={{nClass=14,nIcon=2397,nFrame=7,szName="浩气·劫车奖励",nTime=58,key="恶人事件",},{nClass=14,nIcon=15380,nFrame=5,szName="烂柯争锋拒鬼楼·押送物资",nTime=0,key="押送物资",},},},</v>
      </c>
      <c r="O563" t="s">
        <v>6005</v>
      </c>
      <c r="P563" t="s">
        <v>6006</v>
      </c>
    </row>
    <row r="564" spans="1:22" x14ac:dyDescent="0.15">
      <c r="D564" t="s">
        <v>6007</v>
      </c>
      <c r="F564" t="s">
        <v>2524</v>
      </c>
      <c r="N564" t="str">
        <f t="shared" si="8"/>
        <v>{szContent="【浩气·运送物资】事件已经结束，由于你没有贡献，没有获得奖励。",col={100,100,255,},[14]={},tCountdown={{nClass=14,nIcon=2398,nFrame=3,szName="恶人·劫车奖励",nTime=58,key="浩气事件",},{nClass=14,nIcon=15384,nFrame=5,szName="烂柯争锋拒鬼楼·押送物资",nTime=0,key="押送物资",},},},</v>
      </c>
      <c r="O564" t="s">
        <v>6008</v>
      </c>
      <c r="P564" t="s">
        <v>6003</v>
      </c>
    </row>
    <row r="565" spans="1:22" x14ac:dyDescent="0.15">
      <c r="C565" t="s">
        <v>6009</v>
      </c>
      <c r="D565" t="s">
        <v>6010</v>
      </c>
      <c r="F565" t="s">
        <v>2524</v>
      </c>
      <c r="N565" t="str">
        <f t="shared" si="8"/>
        <v>{szContent="我浩气儿郎，必会拿回此关！",szTarget="谢烟客",col={100,100,255,},[14]={},tCountdown={{nClass=14,nIcon=10450,nFrame=3,szName="恶人·拾取·隐樵关·宝堆",nTime=180,key="关隘宝箱",},{nClass=14,nIcon=1465,nFrame=-1,szName="　",nTime=0.001,nRefresh=1,key="关隘·拾取·恶人谷",},{nClass=14,nIcon=1465,nFrame=-1,szName="关隘·拾取·恶人谷",nTime=-1,key="关隘·拾取·恶人谷",},},},</v>
      </c>
      <c r="O565" t="s">
        <v>6011</v>
      </c>
      <c r="P565" t="s">
        <v>6012</v>
      </c>
      <c r="Q565" t="s">
        <v>6013</v>
      </c>
    </row>
    <row r="566" spans="1:22" x14ac:dyDescent="0.15">
      <c r="C566" t="s">
        <v>6014</v>
      </c>
      <c r="D566" t="s">
        <v>6015</v>
      </c>
      <c r="F566" t="s">
        <v>2524</v>
      </c>
      <c r="N566" t="str">
        <f t="shared" si="8"/>
        <v>{szContent="来日落雁城再会会你！",szTarget="司空仲平",col={100,100,255,},[14]={},tCountdown={{nClass=14,nIcon=10450,nFrame=3,szName="恶人·拾取·天生关·宝堆",nTime=180,key="关隘宝箱",},{nClass=14,nIcon=1465,nFrame=-1,szName="　",nTime=0.001,nRefresh=1,key="关隘·拾取·恶人谷",},{nClass=14,nIcon=1465,nFrame=-1,szName="关隘·拾取·恶人谷",nTime=-1,key="关隘·拾取·恶人谷",},},},</v>
      </c>
      <c r="O566" t="s">
        <v>6016</v>
      </c>
      <c r="P566" t="s">
        <v>6012</v>
      </c>
      <c r="Q566" t="s">
        <v>6013</v>
      </c>
    </row>
    <row r="567" spans="1:22" x14ac:dyDescent="0.15">
      <c r="C567" t="s">
        <v>6017</v>
      </c>
      <c r="D567" t="s">
        <v>6018</v>
      </c>
      <c r="F567" t="s">
        <v>2524</v>
      </c>
      <c r="N567" t="str">
        <f t="shared" si="8"/>
        <v>{szContent="阁下好武艺。",szTarget="穆玄英",col={100,100,255,},[14]={},tCountdown={{nClass=14,nIcon=10450,nFrame=3,szName="恶人·拾取·赤岩关·宝堆",nTime=180,key="关隘宝箱",},{nClass=14,nIcon=1465,nFrame=-1,szName="　",nTime=0.001,nRefresh=1,key="关隘·拾取·恶人谷",},{nClass=14,nIcon=1465,nFrame=-1,szName="关隘·拾取·恶人谷",nTime=-1,key="关隘·拾取·恶人谷",},},},</v>
      </c>
      <c r="O567" t="s">
        <v>6019</v>
      </c>
      <c r="P567" t="s">
        <v>6012</v>
      </c>
      <c r="Q567" t="s">
        <v>6013</v>
      </c>
    </row>
    <row r="568" spans="1:22" x14ac:dyDescent="0.15">
      <c r="C568" t="s">
        <v>3976</v>
      </c>
      <c r="D568" t="s">
        <v>6020</v>
      </c>
      <c r="F568" t="s">
        <v>2529</v>
      </c>
      <c r="N568" t="str">
        <f t="shared" si="8"/>
        <v>{szContent="待我唤我平安客栈众兄弟们前来支援，哼，暂且后退！",szTarget="顾延恶",col={255,100,100,},[14]={},tCountdown={{nClass=14,nIcon=10449,nFrame=7,szName="浩气·拾取·隐樵关·宝堆",nTime=180,key="关隘宝箱",},{nClass=14,nIcon=1465,nFrame=-1,szName="　",nTime=0.001,nRefresh=1,key="关隘·拾取·浩气盟",},{nClass=14,nIcon=1465,nFrame=-1,szName="关隘·拾取·浩气盟",nTime=-1,key="关隘·拾取·浩气盟",},},},</v>
      </c>
      <c r="O568" t="s">
        <v>6021</v>
      </c>
      <c r="P568" t="s">
        <v>6022</v>
      </c>
      <c r="Q568" t="s">
        <v>6023</v>
      </c>
    </row>
    <row r="569" spans="1:22" x14ac:dyDescent="0.15">
      <c r="C569" t="s">
        <v>6024</v>
      </c>
      <c r="D569" t="s">
        <v>6025</v>
      </c>
      <c r="F569" t="s">
        <v>2529</v>
      </c>
      <c r="N569" t="str">
        <f t="shared" si="8"/>
        <v>{szContent="终究是我小觑了天下英豪。",szTarget="陶寒亭",col={255,100,100,},[14]={},tCountdown={{nClass=14,nIcon=10449,nFrame=7,szName="浩气·拾取·天生关·宝堆",nTime=180,key="关隘宝箱",},{nClass=14,nIcon=1465,nFrame=-1,szName="　",nTime=0.001,nRefresh=1,key="关隘·拾取·浩气盟",},{nClass=14,nIcon=1465,nFrame=-1,szName="关隘·拾取·浩气盟",nTime=-1,key="关隘·拾取·浩气盟",},},},</v>
      </c>
      <c r="O569" t="s">
        <v>6026</v>
      </c>
      <c r="P569" t="s">
        <v>6022</v>
      </c>
      <c r="Q569" t="s">
        <v>6023</v>
      </c>
    </row>
    <row r="570" spans="1:22" x14ac:dyDescent="0.15">
      <c r="C570" t="s">
        <v>6027</v>
      </c>
      <c r="D570" t="s">
        <v>6028</v>
      </c>
      <c r="F570" t="s">
        <v>2529</v>
      </c>
      <c r="N570" t="str">
        <f t="shared" si="8"/>
        <v>{szContent="待我谷中兄弟前来支援。",szTarget="白某",col={255,100,100,},[14]={},tCountdown={{nClass=14,nIcon=10449,nFrame=7,szName="浩气·拾取·赤岩关·宝堆",nTime=180,key="关隘宝箱",},{nClass=14,nIcon=1465,nFrame=-1,szName="　",nTime=0.001,nRefresh=1,key="关隘·拾取·浩气盟",},{nClass=14,nIcon=1465,nFrame=-1,szName="关隘·拾取·浩气盟",nTime=-1,key="关隘·拾取·浩气盟",},},},</v>
      </c>
      <c r="O570" t="s">
        <v>6029</v>
      </c>
      <c r="P570" t="s">
        <v>6022</v>
      </c>
      <c r="Q570" t="s">
        <v>6023</v>
      </c>
    </row>
    <row r="571" spans="1:22" x14ac:dyDescent="0.15">
      <c r="D571" t="s">
        <v>6030</v>
      </c>
      <c r="F571" t="s">
        <v>2718</v>
      </c>
      <c r="N571" t="str">
        <f t="shared" si="8"/>
        <v>{szContent="侠士所在阵营无法拾取此物。",col={255,255,100,},[14]={},tCountdown={{nClass=14,nIcon=15380,nFrame=3,szName="烂柯争锋拒鬼楼·浩气事件",nTime=0,key="浩气事件",},{nClass=14,nIcon=15384,nFrame=7,szName="烂柯争锋拒鬼楼·恶人事件",nTime=0,key="恶人事件",},},},</v>
      </c>
      <c r="O571" t="s">
        <v>6031</v>
      </c>
      <c r="P571" t="s">
        <v>6032</v>
      </c>
    </row>
    <row r="572" spans="1:22" x14ac:dyDescent="0.15">
      <c r="A572" t="s">
        <v>1178</v>
      </c>
      <c r="B572">
        <v>639</v>
      </c>
      <c r="N572" t="str">
        <f t="shared" si="8"/>
        <v>},[639]={</v>
      </c>
    </row>
    <row r="573" spans="1:22" x14ac:dyDescent="0.15">
      <c r="C573" t="s">
        <v>6033</v>
      </c>
      <c r="D573" t="s">
        <v>6034</v>
      </c>
      <c r="N573" t="str">
        <f t="shared" si="8"/>
        <v>{szContent="嘁，算你命大。",szTarget="骨面天君",[14]={},tCountdown={{nClass=14,nIcon=904,nFrame=5,szName="KEY·左旋右转",nTime=0,key="KEY·左旋右转",},{nClass=14,nIcon=904,nFrame=-1,szName="KEY·左旋右转",nTime=0.01,nRefresh=60,key="KEY·左旋右转",},{nClass=14,nIcon=904,nFrame=5,szName="KEY·左旋右转",nTime=-1,nRefresh=60,key="KEY·左旋右转",},{nClass=14,nIcon=15692,nFrame=5,szName="KEY·飘黄",nTime=0,key="KEY·飘黄",},{nClass=14,nIcon=15692,nFrame=-1,szName="KEY·飘黄",nTime=0.01,nRefresh=80,key="KEY·飘黄",},{nClass=14,nIcon=15692,nFrame=5,szName="KEY·飘黄",nTime=-1,nRefresh=80,key="KEY·飘黄",},{nClass=14,nIcon=2744,nFrame=5,szName="KEY·蛊惑众生",nTime=0,key="KEY·蛊惑众生",},{nClass=14,nIcon=403,nFrame=5,szName="KEY·秋肃",nTime=0,key="KEY·秋肃",},},},</v>
      </c>
      <c r="O573" t="s">
        <v>4856</v>
      </c>
      <c r="P573" t="s">
        <v>5954</v>
      </c>
      <c r="Q573" t="s">
        <v>4858</v>
      </c>
      <c r="R573" t="s">
        <v>4859</v>
      </c>
      <c r="S573" t="s">
        <v>5955</v>
      </c>
      <c r="T573" t="s">
        <v>4861</v>
      </c>
      <c r="U573" t="s">
        <v>4862</v>
      </c>
      <c r="V573" t="s">
        <v>4863</v>
      </c>
    </row>
    <row r="574" spans="1:22" x14ac:dyDescent="0.15">
      <c r="C574" t="s">
        <v>6035</v>
      </c>
      <c r="D574" t="s">
        <v>6036</v>
      </c>
      <c r="N574" t="str">
        <f t="shared" si="8"/>
        <v>{szContent="休走！时间差不多了，去击鼓传讯，围剿入侵者！",szTarget="曹毅",[14]={},tCountdown={{nClass=14,nIcon=904,nFrame=5,szName="KEY·左旋右转",nTime=0,key="KEY·左旋右转",},{nClass=14,nIcon=904,nFrame=-1,szName="KEY·左旋右转",nTime=0.01,nRefresh=60,key="KEY·左旋右转",},{nClass=14,nIcon=904,nFrame=5,szName="KEY·左旋右转",nTime=-1,nRefresh=60,key="KEY·左旋右转",},{nClass=14,nIcon=15692,nFrame=5,szName="KEY·飘黄",nTime=0,key="KEY·飘黄",},{nClass=14,nIcon=15692,nFrame=-1,szName="KEY·飘黄",nTime=0.01,nRefresh=80,key="KEY·飘黄",},{nClass=14,nIcon=15692,nFrame=5,szName="KEY·飘黄",nTime=-1,nRefresh=80,key="KEY·飘黄",},{nClass=14,nIcon=2744,nFrame=5,szName="KEY·蛊惑众生",nTime=0,key="KEY·蛊惑众生",},{nClass=14,nIcon=403,nFrame=5,szName="KEY·秋肃",nTime=0,key="KEY·秋肃",},},},</v>
      </c>
      <c r="O574" t="s">
        <v>4856</v>
      </c>
      <c r="P574" t="s">
        <v>5954</v>
      </c>
      <c r="Q574" t="s">
        <v>4858</v>
      </c>
      <c r="R574" t="s">
        <v>4859</v>
      </c>
      <c r="S574" t="s">
        <v>5955</v>
      </c>
      <c r="T574" t="s">
        <v>4861</v>
      </c>
      <c r="U574" t="s">
        <v>4862</v>
      </c>
      <c r="V574" t="s">
        <v>4863</v>
      </c>
    </row>
    <row r="575" spans="1:22" x14ac:dyDescent="0.15">
      <c r="C575" t="s">
        <v>6037</v>
      </c>
      <c r="D575" t="s">
        <v>6038</v>
      </c>
      <c r="N575" t="str">
        <f t="shared" si="8"/>
        <v>{szContent="成了！趁现在立刻离开，往前走，别回头！",szTarget="凌玄",[14]={},tCountdown={{nClass=14,nIcon=904,nFrame=5,szName="KEY·左旋右转",nTime=0,key="KEY·左旋右转",},{nClass=14,nIcon=904,nFrame=-1,szName="KEY·左旋右转",nTime=0.01,nRefresh=60,key="KEY·左旋右转",},{nClass=14,nIcon=904,nFrame=5,szName="KEY·左旋右转",nTime=-1,nRefresh=60,key="KEY·左旋右转",},{nClass=14,nIcon=15692,nFrame=5,szName="KEY·飘黄",nTime=0,key="KEY·飘黄",},{nClass=14,nIcon=15692,nFrame=-1,szName="KEY·飘黄",nTime=0.01,nRefresh=80,key="KEY·飘黄",},{nClass=14,nIcon=15692,nFrame=5,szName="KEY·飘黄",nTime=-1,nRefresh=80,key="KEY·飘黄",},{nClass=14,nIcon=2744,nFrame=5,szName="KEY·蛊惑众生",nTime=0,key="KEY·蛊惑众生",},{nClass=14,nIcon=403,nFrame=5,szName="KEY·秋肃",nTime=0,key="KEY·秋肃",},},},</v>
      </c>
      <c r="O575" t="s">
        <v>4856</v>
      </c>
      <c r="P575" t="s">
        <v>5954</v>
      </c>
      <c r="Q575" t="s">
        <v>4858</v>
      </c>
      <c r="R575" t="s">
        <v>4859</v>
      </c>
      <c r="S575" t="s">
        <v>5955</v>
      </c>
      <c r="T575" t="s">
        <v>4861</v>
      </c>
      <c r="U575" t="s">
        <v>4862</v>
      </c>
      <c r="V575" t="s">
        <v>4863</v>
      </c>
    </row>
    <row r="576" spans="1:22" x14ac:dyDescent="0.15">
      <c r="A576" t="s">
        <v>1179</v>
      </c>
      <c r="B576">
        <v>640</v>
      </c>
      <c r="N576" t="str">
        <f t="shared" si="8"/>
        <v>},[640]={</v>
      </c>
    </row>
    <row r="577" spans="1:22" x14ac:dyDescent="0.15">
      <c r="C577" t="s">
        <v>6033</v>
      </c>
      <c r="D577" t="s">
        <v>6034</v>
      </c>
      <c r="N577" t="str">
        <f t="shared" si="8"/>
        <v>{szContent="嘁，算你命大。",szTarget="骨面天君",[14]={},tCountdown={{nClass=14,nIcon=904,nFrame=5,szName="KEY·左旋右转",nTime=0,key="KEY·左旋右转",},{nClass=14,nIcon=904,nFrame=-1,szName="KEY·左旋右转",nTime=0.01,nRefresh=60,key="KEY·左旋右转",},{nClass=14,nIcon=904,nFrame=5,szName="KEY·左旋右转",nTime=-1,nRefresh=60,key="KEY·左旋右转",},{nClass=14,nIcon=15692,nFrame=5,szName="KEY·飘黄",nTime=0,key="KEY·飘黄",},{nClass=14,nIcon=15692,nFrame=-1,szName="KEY·飘黄",nTime=0.01,nRefresh=80,key="KEY·飘黄",},{nClass=14,nIcon=15692,nFrame=5,szName="KEY·飘黄",nTime=-1,nRefresh=80,key="KEY·飘黄",},{nClass=14,nIcon=2744,nFrame=5,szName="KEY·蛊惑众生",nTime=0,key="KEY·蛊惑众生",},{nClass=14,nIcon=403,nFrame=5,szName="KEY·秋肃",nTime=0,key="KEY·秋肃",},},},</v>
      </c>
      <c r="O577" t="s">
        <v>4856</v>
      </c>
      <c r="P577" t="s">
        <v>5954</v>
      </c>
      <c r="Q577" t="s">
        <v>4858</v>
      </c>
      <c r="R577" t="s">
        <v>4859</v>
      </c>
      <c r="S577" t="s">
        <v>5955</v>
      </c>
      <c r="T577" t="s">
        <v>4861</v>
      </c>
      <c r="U577" t="s">
        <v>4862</v>
      </c>
      <c r="V577" t="s">
        <v>4863</v>
      </c>
    </row>
    <row r="578" spans="1:22" x14ac:dyDescent="0.15">
      <c r="C578" t="s">
        <v>6035</v>
      </c>
      <c r="D578" t="s">
        <v>6036</v>
      </c>
      <c r="N578" t="str">
        <f t="shared" ref="N578:N601" si="9">IF(ISBLANK(B578)=FALSE,IF(ISBLANK(B577),"},["&amp;B578&amp;"]={","["&amp;B578&amp;"]={"),IF(AND(ISBLANK(B578),ISBLANK(D578),ISBLANK(G578),ISBLANK(H578),OR(ISBLANK(B577)=FALSE,ISBLANK(D577)=FALSE,ISBLANK(G577)=FALSE,ISBLANK(H577)=FALSE)),"},},}",IF(ISBLANK(D578),"","{szContent="""&amp;D578&amp;""","&amp;IF(C578&lt;&gt;"","szTarget="""&amp;C578&amp;""",","")&amp;IF(E578&lt;&gt;"","szNote="""&amp;E578&amp;""",","")&amp;IF(F578&lt;&gt;"","col={"&amp;F578&amp;"},","")&amp;IF(G578&gt;0,"bSearch=true,","")&amp;IF(H578&gt;0,"bReg=true,","")&amp;"[14]={"&amp;IF(I578&gt;0,"szVoice="""&amp;I578&amp;""",","")&amp;IF(J578&gt;0,"bTeamChannel=true,","")&amp;IF(K578&gt;0,"bWhisperChannel=true,","")&amp;IF(L578&gt;0,"bCenterAlarm=true,","")&amp;IF(M578&gt;0,"bScreenHead=true,","")&amp;"},"&amp;IF(O578&lt;&gt;"","tCountdown={"&amp;_xlfn.TEXTJOIN("",TRUE,O578:ZZ578)&amp;"},","")&amp;"},")))</f>
        <v>{szContent="休走！时间差不多了，去击鼓传讯，围剿入侵者！",szTarget="曹毅",[14]={},tCountdown={{nClass=14,nIcon=904,nFrame=5,szName="KEY·左旋右转",nTime=0,key="KEY·左旋右转",},{nClass=14,nIcon=904,nFrame=-1,szName="KEY·左旋右转",nTime=0.01,nRefresh=60,key="KEY·左旋右转",},{nClass=14,nIcon=904,nFrame=5,szName="KEY·左旋右转",nTime=-1,nRefresh=60,key="KEY·左旋右转",},{nClass=14,nIcon=15692,nFrame=5,szName="KEY·飘黄",nTime=0,key="KEY·飘黄",},{nClass=14,nIcon=15692,nFrame=-1,szName="KEY·飘黄",nTime=0.01,nRefresh=80,key="KEY·飘黄",},{nClass=14,nIcon=15692,nFrame=5,szName="KEY·飘黄",nTime=-1,nRefresh=80,key="KEY·飘黄",},{nClass=14,nIcon=2744,nFrame=5,szName="KEY·蛊惑众生",nTime=0,key="KEY·蛊惑众生",},{nClass=14,nIcon=403,nFrame=5,szName="KEY·秋肃",nTime=0,key="KEY·秋肃",},},},</v>
      </c>
      <c r="O578" t="s">
        <v>4856</v>
      </c>
      <c r="P578" t="s">
        <v>5954</v>
      </c>
      <c r="Q578" t="s">
        <v>4858</v>
      </c>
      <c r="R578" t="s">
        <v>4859</v>
      </c>
      <c r="S578" t="s">
        <v>5955</v>
      </c>
      <c r="T578" t="s">
        <v>4861</v>
      </c>
      <c r="U578" t="s">
        <v>4862</v>
      </c>
      <c r="V578" t="s">
        <v>4863</v>
      </c>
    </row>
    <row r="579" spans="1:22" x14ac:dyDescent="0.15">
      <c r="C579" t="s">
        <v>6037</v>
      </c>
      <c r="D579" t="s">
        <v>6038</v>
      </c>
      <c r="N579" t="str">
        <f t="shared" si="9"/>
        <v>{szContent="成了！趁现在立刻离开，往前走，别回头！",szTarget="凌玄",[14]={},tCountdown={{nClass=14,nIcon=904,nFrame=5,szName="KEY·左旋右转",nTime=0,key="KEY·左旋右转",},{nClass=14,nIcon=904,nFrame=-1,szName="KEY·左旋右转",nTime=0.01,nRefresh=60,key="KEY·左旋右转",},{nClass=14,nIcon=904,nFrame=5,szName="KEY·左旋右转",nTime=-1,nRefresh=60,key="KEY·左旋右转",},{nClass=14,nIcon=15692,nFrame=5,szName="KEY·飘黄",nTime=0,key="KEY·飘黄",},{nClass=14,nIcon=15692,nFrame=-1,szName="KEY·飘黄",nTime=0.01,nRefresh=80,key="KEY·飘黄",},{nClass=14,nIcon=15692,nFrame=5,szName="KEY·飘黄",nTime=-1,nRefresh=80,key="KEY·飘黄",},{nClass=14,nIcon=2744,nFrame=5,szName="KEY·蛊惑众生",nTime=0,key="KEY·蛊惑众生",},{nClass=14,nIcon=403,nFrame=5,szName="KEY·秋肃",nTime=0,key="KEY·秋肃",},},},</v>
      </c>
      <c r="O579" t="s">
        <v>4856</v>
      </c>
      <c r="P579" t="s">
        <v>5954</v>
      </c>
      <c r="Q579" t="s">
        <v>4858</v>
      </c>
      <c r="R579" t="s">
        <v>4859</v>
      </c>
      <c r="S579" t="s">
        <v>5955</v>
      </c>
      <c r="T579" t="s">
        <v>4861</v>
      </c>
      <c r="U579" t="s">
        <v>4862</v>
      </c>
      <c r="V579" t="s">
        <v>4863</v>
      </c>
    </row>
    <row r="580" spans="1:22" x14ac:dyDescent="0.15">
      <c r="A580" t="s">
        <v>1184</v>
      </c>
      <c r="B580">
        <v>647</v>
      </c>
      <c r="N580" t="str">
        <f t="shared" si="9"/>
        <v>},[647]={</v>
      </c>
    </row>
    <row r="581" spans="1:22" x14ac:dyDescent="0.15">
      <c r="D581" t="s">
        <v>6039</v>
      </c>
      <c r="N581" t="str">
        <f t="shared" si="9"/>
        <v>{szContent="不知道为什么，到了这里总想拜一拜。",[14]={},tCountdown={{nClass=14,nIcon=17135,nFrame=5,szName="云从券·陆·大树下上香3次",nTime=10,key="云从券",},},},</v>
      </c>
      <c r="O581" t="s">
        <v>6040</v>
      </c>
    </row>
    <row r="582" spans="1:22" x14ac:dyDescent="0.15">
      <c r="C582" t="s">
        <v>6041</v>
      </c>
      <c r="D582" t="s">
        <v>6042</v>
      </c>
      <c r="E582" t="s">
        <v>3471</v>
      </c>
      <c r="N582" t="str">
        <f t="shared" si="9"/>
        <v>{szContent="我给你说！你猜我在客栈看到谁了？金虚子卓凤鸣！不过他身边跟着好多弟子，只能远远看一眼。有生之年居然能亲见武林高人风姿，真是不愧此行啊！",szTarget="宋子尧",szNote="破巧言",[14]={},tCountdown={{nClass=20,nIcon=17135,nFrame=0,bHold=true,szName="恭喜触发奇遇·白日梦",nTime="5,恭喜触发·破巧言·蛋黄;15,奇遇不封印·约20分钟完成;30,1.对话·宋子尧·等待剧情;120,2.对话·宋子尧身后·赵诚;150,3.对话·客栈角落·大汉;180,4.返回·对话·宋子尧;300,5.前往·客栈外山崖·宋子尧;360,6.往孙易云方向走·等待剧情;420,7.前往对面山崖·对话·胡商;480,8.跟随·胡商·别跳崖;540,9.拾取·包裹·返回·客栈内;600,10.对话·宋子尧·对话·赵诚;660,11.前往·长生雪野·长生右边;720,12.两个帐篷前光圈·捕获小鸟边;780,13.使用·精致的盒子·跟随小鸟;840,13.前往·山洞·直行;900,14.对话·宋子尧·王必言;930,15.返回·客栈·闻千瞬;960,16.对话·闻千瞬·结束",nRefresh=0,key="奇遇监控0",},{nClass=20,nIcon=17135,nFrame=7,bHold=true,szName="对话·宋子尧·等待剧情",nTime=600,key="奇遇提示1",},{nClass=20,nIcon=17135,nFrame=7,bHold=true,szName="对话·宋子尧身后·赵诚",nTime=600,key="奇遇提示2",},{nClass=20,nIcon=17135,nFrame=7,bHold=true,szName="对话·客栈角落·大汉",nTime=600,key="奇遇提示3",},},},</v>
      </c>
      <c r="O582" t="s">
        <v>6043</v>
      </c>
      <c r="P582" t="s">
        <v>6044</v>
      </c>
      <c r="Q582" t="s">
        <v>6045</v>
      </c>
      <c r="R582" t="s">
        <v>6046</v>
      </c>
    </row>
    <row r="583" spans="1:22" x14ac:dyDescent="0.15">
      <c r="D583" t="s">
        <v>6047</v>
      </c>
      <c r="E583" t="s">
        <v>3471</v>
      </c>
      <c r="N583" t="str">
        <f t="shared" si="9"/>
        <v>{szContent="算了算了，还是去问问那位公子哥吧！",szNote="破巧言",[14]={},tCountdown={{nClass=20,nIcon=17135,nFrame=7,bHold=true,szName="对话·宋子尧身后·赵诚",nTime=600,key="奇遇提示1",},{nClass=20,nIcon=17135,nFrame=7,bHold=true,szName="对话·客栈角落·大汉",nTime=600,key="奇遇提示2",},{nClass=20,nIcon=17135,nFrame=7,bHold=true,szName="返回·对话·宋子尧",nTime=600,key="奇遇提示3",},},},</v>
      </c>
      <c r="O583" t="s">
        <v>6048</v>
      </c>
      <c r="P583" t="s">
        <v>6049</v>
      </c>
      <c r="Q583" t="s">
        <v>6050</v>
      </c>
    </row>
    <row r="584" spans="1:22" x14ac:dyDescent="0.15">
      <c r="D584" t="s">
        <v>6051</v>
      </c>
      <c r="E584" t="s">
        <v>3471</v>
      </c>
      <c r="N584" t="str">
        <f t="shared" si="9"/>
        <v>{szContent="这王二很可疑！回去找宋子尧再商讨商讨。",szNote="破巧言",[14]={},tCountdown={{nClass=20,nIcon=17135,nFrame=0,bHold=true,szName="奇遇监控0",nTime="30,4.返回·对话·宋子尧;150,5.前往·客栈外山崖·宋子尧;240,6.往孙易云方向走·等待剧情;300,7.前往对面山崖·对话·胡商;480,8.跟随·胡商·别跳崖;540,9.拾取·包裹·返回·客栈内;600,10.对话·宋子尧·对话·赵诚;660,11.前往·长生雪野·长生右边;720,12.两个帐篷前光圈·捕获小鸟边;780,13.使用·精致的盒子·跟随小鸟;840,13.前往·山洞·直行;900,14.对话·宋子尧·王必言;930,15.返回·客栈·闻千瞬;960,16.对话·闻千瞬·结束",nRefresh=0,key="奇遇监控0",},{nClass=20,nIcon=17135,nFrame=7,bHold=true,szName="返回·对话·宋子尧",nTime=600,key="奇遇提示1",},{nClass=20,nIcon=17135,nFrame=7,bHold=true,szName="前往·客栈外山崖·宋子尧",nTime=600,key="奇遇提示2",},{nClass=20,nIcon=17135,nFrame=7,bHold=true,szName="往孙易云方向走·等待剧情",nTime=600,key="奇遇提示3",},},},</v>
      </c>
      <c r="O584" t="s">
        <v>6052</v>
      </c>
      <c r="P584" t="s">
        <v>6053</v>
      </c>
      <c r="Q584" t="s">
        <v>6054</v>
      </c>
      <c r="R584" t="s">
        <v>6055</v>
      </c>
    </row>
    <row r="585" spans="1:22" x14ac:dyDescent="0.15">
      <c r="C585" t="s">
        <v>6056</v>
      </c>
      <c r="D585" t="s">
        <v>6057</v>
      </c>
      <c r="E585" t="s">
        <v>3471</v>
      </c>
      <c r="N585" t="str">
        <f t="shared" si="9"/>
        <v>{szContent="你是谁？",szTarget="孙易云",szNote="破巧言",[14]={},tCountdown={{nClass=20,nIcon=17135,nFrame=7,bHold=true,szName="等待剧情·前往对面山崖",nTime=600,key="奇遇提示1",},{nClass=20,nIcon=17135,nFrame=7,bHold=true,szName="大石头后·等假药商人·胡商",nTime=600,key="奇遇提示2",},{nClass=20,nIcon=17135,nFrame=7,bHold=true,szName="对话·假药商人·胡商",nTime=600,key="奇遇提示3",},},},</v>
      </c>
      <c r="O585" t="s">
        <v>6058</v>
      </c>
      <c r="P585" t="s">
        <v>6059</v>
      </c>
      <c r="Q585" t="s">
        <v>6060</v>
      </c>
    </row>
    <row r="586" spans="1:22" x14ac:dyDescent="0.15">
      <c r="D586" t="s">
        <v>6061</v>
      </c>
      <c r="E586" t="s">
        <v>3471</v>
      </c>
      <c r="N586" t="str">
        <f t="shared" si="9"/>
        <v>{szContent="驼背……胡商……！莫非正是那王二！不若前去看看。",szNote="破巧言",[14]={},tCountdown={{nClass=20,nIcon=17135,nFrame=7,bHold=true,szName="前往对面山崖·大石头后",nTime=600,key="奇遇提示1",},{nClass=20,nIcon=17135,nFrame=7,bHold=true,szName="等假药商人·胡商",nTime=600,key="奇遇提示2",},{nClass=20,nIcon=17135,nFrame=7,bHold=true,szName="对话·假药商人·胡商",nTime=600,key="奇遇提示3",},},},</v>
      </c>
      <c r="O586" t="s">
        <v>6062</v>
      </c>
      <c r="P586" t="s">
        <v>6063</v>
      </c>
      <c r="Q586" t="s">
        <v>6060</v>
      </c>
    </row>
    <row r="587" spans="1:22" x14ac:dyDescent="0.15">
      <c r="D587" t="s">
        <v>6064</v>
      </c>
      <c r="E587" t="s">
        <v>3471</v>
      </c>
      <c r="N587" t="str">
        <f t="shared" si="9"/>
        <v>{szContent="暗号没对上，胡商跑了，快去追他！",szNote="破巧言",[14]={},tCountdown={{nClass=20,nIcon=17135,nFrame=7,bHold=true,szName="跟随·胡商·别跳崖",nTime=600,key="奇遇提示1",},{nClass=20,nIcon=17135,nFrame=7,bHold=true,szName="拾取·包裹·返回·客栈内",nTime=600,key="奇遇提示2",},{nClass=20,nIcon=17135,nFrame=7,bHold=true,szName="对话·宋子尧·对话·赵诚",nTime=600,key="奇遇提示3",},},},</v>
      </c>
      <c r="O587" t="s">
        <v>6065</v>
      </c>
      <c r="P587" t="s">
        <v>6066</v>
      </c>
      <c r="Q587" t="s">
        <v>6067</v>
      </c>
    </row>
    <row r="588" spans="1:22" x14ac:dyDescent="0.15">
      <c r="D588" t="s">
        <v>6068</v>
      </c>
      <c r="E588" t="s">
        <v>3471</v>
      </c>
      <c r="N588" t="str">
        <f t="shared" si="9"/>
        <v>{szContent="悬崖边上似乎有个精致的盒子，是胡商不小心落下的……",szNote="破巧言",[14]={},tCountdown={{nClass=20,nIcon=17135,nFrame=0,bHold=true,szName="奇遇监控0",nTime="30,9.拾取·包裹·返回·客栈内;60,10.对话·宋子尧·对话·赵诚;120,11.前往·长生雪野·长生右边;240,12.两个帐篷前光圈·捕获小鸟边;360,13.使用·精致的盒子·跟随小鸟;420,13.前往·山洞·直行;480,14.对话·宋子尧·王必言;540,15.返回·客栈·闻千瞬;600,16.对话·闻千瞬·结束",nRefresh=0,key="奇遇监控0",},{nClass=20,nIcon=17135,nFrame=7,bHold=true,szName="拾取·包裹·返回·客栈内",nTime=600,key="奇遇提示1",},{nClass=20,nIcon=17135,nFrame=7,bHold=true,szName="对话·宋子尧·对话·赵诚",nTime=600,key="奇遇提示2",},{nClass=20,nIcon=17135,nFrame=7,bHold=true,szName="对话·宋子尧·前往长生雪野",nTime=600,key="奇遇提示3",},},},</v>
      </c>
      <c r="O588" t="s">
        <v>6069</v>
      </c>
      <c r="P588" t="s">
        <v>6070</v>
      </c>
      <c r="Q588" t="s">
        <v>6071</v>
      </c>
      <c r="R588" t="s">
        <v>6072</v>
      </c>
    </row>
    <row r="589" spans="1:22" x14ac:dyDescent="0.15">
      <c r="C589" t="s">
        <v>6041</v>
      </c>
      <c r="D589" t="s">
        <v>6073</v>
      </c>
      <c r="E589" t="s">
        <v>3471</v>
      </c>
      <c r="N589" t="str">
        <f t="shared" si="9"/>
        <v>{szContent="我打听得知那鸟经常出现在长生雪野附近，你先过去，我随后就来。",szTarget="宋子尧",szNote="破巧言",[14]={},tCountdown={{nClass=20,nIcon=17135,nFrame=7,bHold=true,szName="前往·长生雪野·长生右边",nTime=600,key="奇遇提示1",},{nClass=20,nIcon=17135,nFrame=7,bHold=true,szName="两个帐篷前·光圈·捕获小鸟",nTime=600,key="奇遇提示2",},{nClass=20,nIcon=17135,nFrame=7,bHold=true,szName="使用·精致的盒子·跟随小鸟",nTime=600,key="奇遇提示3",},},},</v>
      </c>
      <c r="O589" t="s">
        <v>6074</v>
      </c>
      <c r="P589" t="s">
        <v>6075</v>
      </c>
      <c r="Q589" t="s">
        <v>6076</v>
      </c>
    </row>
    <row r="590" spans="1:22" x14ac:dyDescent="0.15">
      <c r="D590" t="s">
        <v>6077</v>
      </c>
      <c r="E590" t="s">
        <v>3471</v>
      </c>
      <c r="N590" t="str">
        <f t="shared" si="9"/>
        <v>{szContent="小胖鸟好像要离开！和宋子尧一起跟随鸟儿",szNote="破巧言",[14]={},tCountdown={{nClass=20,nIcon=17135,nFrame=0,bHold=true,szName="奇遇提示0",nTime="120,13.使用·精致的盒子·跟随小鸟;180,13.前往·山洞·直行;210,14.对话·宋子尧·王必言;240,15.返回·客栈·闻千瞬;300,16.对话·闻千瞬·结束",nRefresh=0,key="奇遇提示0",},{nClass=20,nIcon=17135,nFrame=7,bHold=true,szName="与小鸟·保持4-15尺",nTime=600,key="奇遇提示1",},{nClass=20,nIcon=17135,nFrame=7,bHold=true,szName="山洞在·生字左侧",nTime=600,key="奇遇提示2",},{nClass=20,nIcon=17135,nFrame=7,bHold=true,szName="前往·山洞·直行",nTime=600,key="奇遇提示3",},},},</v>
      </c>
      <c r="O590" t="s">
        <v>6078</v>
      </c>
      <c r="P590" t="s">
        <v>6079</v>
      </c>
      <c r="Q590" t="s">
        <v>6080</v>
      </c>
      <c r="R590" t="s">
        <v>6081</v>
      </c>
    </row>
    <row r="591" spans="1:22" x14ac:dyDescent="0.15">
      <c r="D591" t="s">
        <v>6082</v>
      </c>
      <c r="E591" t="s">
        <v>3471</v>
      </c>
      <c r="N591" t="str">
        <f t="shared" si="9"/>
        <v>{szContent="小胖鸟和宋子尧往那边山洞去了，不若前去看看。",szNote="破巧言",[14]={},tCountdown={{nClass=20,nIcon=17135,nFrame=7,bHold=true,szName="山洞在·生字左侧",nTime=600,key="奇遇提示1",},{nClass=20,nIcon=17135,nFrame=7,bHold=true,szName="前往·山洞·直行",nTime=600,key="奇遇提示2",},{nClass=20,nIcon=17135,nFrame=7,bHold=true,szName="对话·宋子尧·王必言",nTime=600,key="奇遇提示3",},},},</v>
      </c>
      <c r="O591" t="s">
        <v>6083</v>
      </c>
      <c r="P591" t="s">
        <v>6084</v>
      </c>
      <c r="Q591" t="s">
        <v>6085</v>
      </c>
    </row>
    <row r="592" spans="1:22" x14ac:dyDescent="0.15">
      <c r="A592" t="s">
        <v>617</v>
      </c>
      <c r="B592">
        <v>658</v>
      </c>
      <c r="N592" t="str">
        <f t="shared" si="9"/>
        <v>},[658]={</v>
      </c>
    </row>
    <row r="593" spans="1:23" x14ac:dyDescent="0.15">
      <c r="D593" t="s">
        <v>5972</v>
      </c>
      <c r="N593" t="str">
        <f t="shared" si="9"/>
        <v>{szContent="发现取水点，快去收集起来吧！",[14]={},tCountdown={{nClass=14,nIcon=17135,nFrame=6,szName="小橙武·取水点·南方溪边",nTime=30,nRefresh=10,key="小橙武·升级",},},},</v>
      </c>
      <c r="O593" t="s">
        <v>6086</v>
      </c>
    </row>
    <row r="594" spans="1:23" x14ac:dyDescent="0.15">
      <c r="C594" t="s">
        <v>6087</v>
      </c>
      <c r="D594" t="s">
        <v>6088</v>
      </c>
      <c r="N594" t="str">
        <f t="shared" si="9"/>
        <v>{szContent="咳咳，是我败了，要杀要剐，悉听尊便……",szTarget="辛仕徽",[14]={},tCountdown={{nClass=14,nIcon=13,nFrame=5,szName="宣骄剧情",nTime=116.5,},{nClass=14,nIcon=904,nFrame=5,szName="KEY·左旋右转",nTime=0,key="KEY·左旋右转",},{nClass=14,nIcon=904,nFrame=-1,szName="KEY·左旋右转",nTime=0.01,nRefresh=60,key="KEY·左旋右转",},{nClass=14,nIcon=904,nFrame=5,szName="KEY·左旋右转",nTime=-1,nRefresh=60,key="KEY·左旋右转",},{nClass=14,nIcon=15692,nFrame=5,szName="KEY·飘黄",nTime=0,key="KEY·飘黄",},{nClass=14,nIcon=15692,nFrame=-1,szName="KEY·飘黄",nTime=0.01,nRefresh=80,key="KEY·飘黄",},{nClass=14,nIcon=15692,nFrame=5,szName="KEY·飘黄",nTime=-1,nRefresh=80,key="KEY·飘黄",},{nClass=14,nIcon=2744,nFrame=5,szName="KEY·蛊惑众生",nTime=0,key="KEY·蛊惑众生",},{nClass=14,nIcon=403,nFrame=5,szName="KEY·秋肃",nTime=0,key="KEY·秋肃",},},},</v>
      </c>
      <c r="O594" t="s">
        <v>6089</v>
      </c>
      <c r="P594" t="s">
        <v>4856</v>
      </c>
      <c r="Q594" t="s">
        <v>5954</v>
      </c>
      <c r="R594" t="s">
        <v>4858</v>
      </c>
      <c r="S594" t="s">
        <v>4859</v>
      </c>
      <c r="T594" t="s">
        <v>5955</v>
      </c>
      <c r="U594" t="s">
        <v>4861</v>
      </c>
      <c r="V594" t="s">
        <v>4862</v>
      </c>
      <c r="W594" t="s">
        <v>4863</v>
      </c>
    </row>
    <row r="595" spans="1:23" x14ac:dyDescent="0.15">
      <c r="C595" t="s">
        <v>6090</v>
      </c>
      <c r="D595" t="s">
        <v>6091</v>
      </c>
      <c r="N595" t="str">
        <f t="shared" si="9"/>
        <v>{szContent="虽不能亲眼所见，但魏大人定有飞黄腾达之时……",szTarget="宣骄",[14]={},tCountdown={{nClass=14,nIcon=904,nFrame=5,szName="KEY·左旋右转",nTime=0,key="KEY·左旋右转",},{nClass=14,nIcon=904,nFrame=-1,szName="KEY·左旋右转",nTime=0.01,nRefresh=60,key="KEY·左旋右转",},{nClass=14,nIcon=904,nFrame=5,szName="KEY·左旋右转",nTime=-1,nRefresh=60,key="KEY·左旋右转",},{nClass=14,nIcon=15692,nFrame=5,szName="KEY·飘黄",nTime=0,key="KEY·飘黄",},{nClass=14,nIcon=15692,nFrame=-1,szName="KEY·飘黄",nTime=0.01,nRefresh=80,key="KEY·飘黄",},{nClass=14,nIcon=15692,nFrame=5,szName="KEY·飘黄",nTime=-1,nRefresh=80,key="KEY·飘黄",},{nClass=14,nIcon=2744,nFrame=5,szName="KEY·蛊惑众生",nTime=0,key="KEY·蛊惑众生",},{nClass=14,nIcon=403,nFrame=5,szName="KEY·秋肃",nTime=0,key="KEY·秋肃",},},},</v>
      </c>
      <c r="O595" t="s">
        <v>4856</v>
      </c>
      <c r="P595" t="s">
        <v>5954</v>
      </c>
      <c r="Q595" t="s">
        <v>4858</v>
      </c>
      <c r="R595" t="s">
        <v>4859</v>
      </c>
      <c r="S595" t="s">
        <v>5955</v>
      </c>
      <c r="T595" t="s">
        <v>4861</v>
      </c>
      <c r="U595" t="s">
        <v>4862</v>
      </c>
      <c r="V595" t="s">
        <v>4863</v>
      </c>
    </row>
    <row r="596" spans="1:23" x14ac:dyDescent="0.15">
      <c r="A596" t="s">
        <v>1194</v>
      </c>
      <c r="B596">
        <v>659</v>
      </c>
      <c r="N596" t="str">
        <f t="shared" si="9"/>
        <v>},[659]={</v>
      </c>
    </row>
    <row r="597" spans="1:23" x14ac:dyDescent="0.15">
      <c r="D597" t="s">
        <v>5972</v>
      </c>
      <c r="N597" t="str">
        <f t="shared" si="9"/>
        <v>{szContent="发现取水点，快去收集起来吧！",[14]={},tCountdown={{nClass=14,nIcon=17135,nFrame=6,szName="小橙武·取水点·南方溪边",nTime=30,nRefresh=10,key="小橙武·升级",},},},</v>
      </c>
      <c r="O597" t="s">
        <v>6086</v>
      </c>
    </row>
    <row r="598" spans="1:23" x14ac:dyDescent="0.15">
      <c r="C598" t="s">
        <v>6087</v>
      </c>
      <c r="D598" t="s">
        <v>6088</v>
      </c>
      <c r="N598" t="str">
        <f t="shared" si="9"/>
        <v>{szContent="咳咳，是我败了，要杀要剐，悉听尊便……",szTarget="辛仕徽",[14]={},tCountdown={{nClass=14,nIcon=13,nFrame=5,szName="宣骄剧情",nTime=116.5,},{nClass=14,nIcon=904,nFrame=5,szName="KEY·左旋右转",nTime=0,key="KEY·左旋右转",},{nClass=14,nIcon=904,nFrame=-1,szName="KEY·左旋右转",nTime=0.01,nRefresh=60,key="KEY·左旋右转",},{nClass=14,nIcon=904,nFrame=5,szName="KEY·左旋右转",nTime=-1,nRefresh=60,key="KEY·左旋右转",},{nClass=14,nIcon=15692,nFrame=5,szName="KEY·飘黄",nTime=0,key="KEY·飘黄",},{nClass=14,nIcon=15692,nFrame=-1,szName="KEY·飘黄",nTime=0.01,nRefresh=80,key="KEY·飘黄",},{nClass=14,nIcon=15692,nFrame=5,szName="KEY·飘黄",nTime=-1,nRefresh=80,key="KEY·飘黄",},{nClass=14,nIcon=2744,nFrame=5,szName="KEY·蛊惑众生",nTime=0,key="KEY·蛊惑众生",},{nClass=14,nIcon=403,nFrame=5,szName="KEY·秋肃",nTime=0,key="KEY·秋肃",},},},</v>
      </c>
      <c r="O598" t="s">
        <v>6089</v>
      </c>
      <c r="P598" t="s">
        <v>4856</v>
      </c>
      <c r="Q598" t="s">
        <v>5954</v>
      </c>
      <c r="R598" t="s">
        <v>4858</v>
      </c>
      <c r="S598" t="s">
        <v>4859</v>
      </c>
      <c r="T598" t="s">
        <v>5955</v>
      </c>
      <c r="U598" t="s">
        <v>4861</v>
      </c>
      <c r="V598" t="s">
        <v>4862</v>
      </c>
      <c r="W598" t="s">
        <v>4863</v>
      </c>
    </row>
    <row r="599" spans="1:23" x14ac:dyDescent="0.15">
      <c r="C599" t="s">
        <v>6090</v>
      </c>
      <c r="D599" t="s">
        <v>6091</v>
      </c>
      <c r="N599" t="str">
        <f t="shared" si="9"/>
        <v>{szContent="虽不能亲眼所见，但魏大人定有飞黄腾达之时……",szTarget="宣骄",[14]={},tCountdown={{nClass=14,nIcon=904,nFrame=5,szName="KEY·左旋右转",nTime=0,key="KEY·左旋右转",},{nClass=14,nIcon=904,nFrame=-1,szName="KEY·左旋右转",nTime=0.01,nRefresh=60,key="KEY·左旋右转",},{nClass=14,nIcon=904,nFrame=5,szName="KEY·左旋右转",nTime=-1,nRefresh=60,key="KEY·左旋右转",},{nClass=14,nIcon=15692,nFrame=5,szName="KEY·飘黄",nTime=0,key="KEY·飘黄",},{nClass=14,nIcon=15692,nFrame=-1,szName="KEY·飘黄",nTime=0.01,nRefresh=80,key="KEY·飘黄",},{nClass=14,nIcon=15692,nFrame=5,szName="KEY·飘黄",nTime=-1,nRefresh=80,key="KEY·飘黄",},{nClass=14,nIcon=2744,nFrame=5,szName="KEY·蛊惑众生",nTime=0,key="KEY·蛊惑众生",},{nClass=14,nIcon=403,nFrame=5,szName="KEY·秋肃",nTime=0,key="KEY·秋肃",},},},</v>
      </c>
      <c r="O599" t="s">
        <v>4856</v>
      </c>
      <c r="P599" t="s">
        <v>5954</v>
      </c>
      <c r="Q599" t="s">
        <v>4858</v>
      </c>
      <c r="R599" t="s">
        <v>4859</v>
      </c>
      <c r="S599" t="s">
        <v>5955</v>
      </c>
      <c r="T599" t="s">
        <v>4861</v>
      </c>
      <c r="U599" t="s">
        <v>4862</v>
      </c>
      <c r="V599" t="s">
        <v>4863</v>
      </c>
    </row>
    <row r="600" spans="1:23" x14ac:dyDescent="0.15">
      <c r="N600" t="str">
        <f t="shared" si="9"/>
        <v>},},}</v>
      </c>
    </row>
    <row r="601" spans="1:23" x14ac:dyDescent="0.15">
      <c r="N601" t="str">
        <f t="shared" si="9"/>
        <v/>
      </c>
    </row>
  </sheetData>
  <phoneticPr fontId="18" type="noConversion"/>
  <pageMargins left="0.75" right="0.75" top="1" bottom="1" header="0.5" footer="0.5"/>
</worksheet>
</file>

<file path=xl/worksheets/sheet9.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9CF29-4EED-4797-9698-38753CE16562}">
  <dimension ref="A1:BD568"/>
  <sheetViews>
    <sheetView workbookViewId="0"/>
  </sheetViews>
  <sheetFormatPr defaultRowHeight="13.5" x14ac:dyDescent="0.15"/>
  <sheetData>
    <row r="1" spans="1:56" x14ac:dyDescent="0.15">
      <c r="A1" t="s">
        <v>0</v>
      </c>
      <c r="B1" t="s">
        <v>2061</v>
      </c>
      <c r="C1" t="s">
        <v>4728</v>
      </c>
      <c r="D1" t="s">
        <v>5</v>
      </c>
      <c r="E1" t="s">
        <v>2066</v>
      </c>
      <c r="F1" t="s">
        <v>4729</v>
      </c>
      <c r="G1" t="s">
        <v>4730</v>
      </c>
      <c r="H1" t="s">
        <v>4731</v>
      </c>
      <c r="I1" t="s">
        <v>4732</v>
      </c>
      <c r="J1" t="s">
        <v>4733</v>
      </c>
      <c r="K1" t="s">
        <v>4734</v>
      </c>
      <c r="L1" t="s">
        <v>4735</v>
      </c>
      <c r="M1" t="s">
        <v>6092</v>
      </c>
      <c r="N1" t="s">
        <v>2094</v>
      </c>
    </row>
    <row r="2" spans="1:56" x14ac:dyDescent="0.15">
      <c r="A2" t="s">
        <v>2095</v>
      </c>
      <c r="B2">
        <v>-19</v>
      </c>
      <c r="M2" t="str">
        <f t="shared" ref="M2:M65" si="0">IF(ISBLANK(B2)=FALSE,IF(ISBLANK(B1),"},["&amp;B2&amp;"]={","["&amp;B2&amp;"]={"),IF(AND(ISBLANK(B2),ISBLANK(C2),ISBLANK(F2),ISBLANK(G2),OR(ISBLANK(B1)=FALSE,ISBLANK(C1)=FALSE,ISBLANK(F1)=FALSE,ISBLANK(G1)=FALSE)),"},},}",IF(ISBLANK(C2),"","{szContent="""&amp;C2&amp;""","&amp;IF(D2&lt;&gt;"","szNote="""&amp;D2&amp;""",","")&amp;IF(E2&lt;&gt;"","col={"&amp;E2&amp;"},","")&amp;IF(F2&gt;0,"bSearch=true,","")&amp;IF(G2&gt;0,"bReg=true,","")&amp;"[20]={"&amp;IF(H2&gt;0,"szVoice="""&amp;H2&amp;""",","")&amp;IF(I2&gt;0,"bTeamChannel=true,","")&amp;IF(J2&gt;0,"bWhisperChannel=true,","")&amp;IF(K2&gt;0,"bCenterAlarm=true,","")&amp;IF(L2&gt;0,"bScreenHead=true,","")&amp;"},"&amp;IF(N2&lt;&gt;"","tCountdown={"&amp;_xlfn.TEXTJOIN("",TRUE,N2:ZZ2)&amp;"},","")&amp;"},")))</f>
        <v>[-19]={</v>
      </c>
    </row>
    <row r="3" spans="1:56" x14ac:dyDescent="0.15">
      <c r="C3" t="s">
        <v>6093</v>
      </c>
      <c r="D3" t="s">
        <v>6094</v>
      </c>
      <c r="F3">
        <v>1</v>
      </c>
      <c r="M3" t="str">
        <f t="shared" si="0"/>
        <v>{szContent="[团队监控]数据加载成功",szNote="关闭主场首领计时条·开启奇袭首领计时条",bSearch=true,[20]={},tCountdown={{nClass=20,nIcon=13,nFrame=-1,szName="",nTime=0.001,nRefresh=9999,key="谢渊·月弄痕·减伤",},{nClass=20,nIcon=13,nFrame=-1,szName="谢渊·月弄痕·减伤",nTime=-1,key="谢渊·月弄痕·减伤",},{nClass=20,nIcon=13,nFrame=-1,szName="",nTime=0.001,nRefresh=9999,key="谢渊·游驹·减伤",},{nClass=20,nIcon=13,nFrame=-1,szName="谢渊·游驹·减伤",nTime=-1,key="谢渊·游驹·减伤",},{nClass=20,nIcon=13,nFrame=-1,szName="",nTime=0.001,nRefresh=9999,key="谢渊·小七·减伤",},{nClass=20,nIcon=13,nFrame=-1,szName="谢渊·小七·减伤",nTime=-1,key="谢渊·小七·减伤",},{nClass=20,nIcon=13,nFrame=-1,szName="",nTime=0.001,nRefresh=9999,key="谢渊·张桎辕·减伤",},{nClass=20,nIcon=13,nFrame=-1,szName="谢渊·张桎辕·减伤",nTime=-1,key="谢渊·张桎辕·减伤",},{nClass=20,nIcon=13,nFrame=-1,szName="",nTime=0.001,nRefresh=9999,key="谢渊·司空仲平·减伤",},{nClass=20,nIcon=13,nFrame=-1,szName="谢渊·司空仲平·减伤",nTime=-1,key="谢渊·司空仲平·减伤",},{nClass=20,nIcon=13,nFrame=-1,szName="",nTime=0.001,nRefresh=9999,key="王遗风·司徒一一·减伤",},{nClass=20,nIcon=13,nFrame=-1,szName="王遗风·司徒一一·减伤",nTime=-1,key="王遗风·司徒一一·减伤",},{nClass=20,nIcon=13,nFrame=-1,szName="",nTime=0.001,nRefresh=9999,key="王遗风·白某·减伤",},{nClass=20,nIcon=13,nFrame=-1,szName="王遗风·白某·减伤",nTime=-1,key="王遗风·白某·减伤",},{nClass=20,nIcon=13,nFrame=-1,szName="",nTime=0.001,nRefresh=9999,key="王遗风·米丽古丽·减伤",},{nClass=20,nIcon=13,nFrame=-1,szName="王遗风·米丽古丽·减伤",nTime=-1,key="王遗风·米丽古丽·减伤",},{nClass=20,nIcon=13,nFrame=-1,szName="",nTime=0.001,nRefresh=9999,key="王遗风·陶寒亭·减伤",},{nClass=20,nIcon=13,nFrame=-1,szName="王遗风·陶寒亭·减伤",nTime=-1,key="王遗风·陶寒亭·减伤",},{nClass=20,nIcon=13,nFrame=-1,szName="",nTime=0.001,nRefresh=9999,key="王遗风·肖药儿·减伤",},{nClass=20,nIcon=13,nFrame=-1,szName="王遗风·肖药儿·减伤",nTime=-1,key="王遗风·肖药儿·减伤",},{nClass=20,nIcon=13,nFrame=-1,szName="王遗风·伊夜·减伤",nTime=-2,key="王遗风·伊夜·减伤",},{nClass=20,nIcon=13,nFrame=-1,szName="王遗风·丁丁·减伤",nTime=-2,key="王遗风·丁丁·减伤",},{nClass=20,nIcon=13,nFrame=-1,szName="王遗风·岳琅·减伤",nTime=-2,key="王遗风·岳琅·减伤",},{nClass=20,nIcon=13,nFrame=-1,szName="王遗风·毕罗巴·减伤",nTime=-2,key="王遗风·毕罗巴·减伤",},{nClass=20,nIcon=13,nFrame=-1,szName="王遗风·烟·减伤",nTime=-2,key="王遗风·烟·减伤",},{nClass=20,nIcon=13,nFrame=-1,szName="王遗风·独孤修·减伤",nTime=-2,key="王遗风·独孤修·减伤",},{nClass=20,nIcon=13,nFrame=-1,szName="谢渊·韩非池·减伤",nTime=-2,key="谢渊·韩非池·减伤",},{nClass=20,nIcon=13,nFrame=-1,szName="谢渊·赵紫儿·减伤",nTime=-2,key="谢渊·赵紫儿·减伤",},{nClass=20,nIcon=13,nFrame=-1,szName="谢渊·叶镜池·减伤",nTime=-2,key="谢渊·叶镜池·减伤",},{nClass=20,nIcon=13,nFrame=-1,szName="谢渊·郭珠·减伤",nTime=-2,key="谢渊·郭珠·减伤",},{nClass=20,nIcon=13,nFrame=-1,szName="谢渊·穆玄英·减伤",nTime=-2,key="谢渊·穆玄英·减伤",},{nClass=20,nIcon=13,nFrame=-1,szName="谢渊·影·减伤",nTime=-2,key="谢渊·影·减伤",},{nClass=20,nIcon=13,nFrame=5,szName="金水镇",nTime=-1,key="金水镇",},{nClass=20,nIcon=13,nFrame=5,szName="巴陵县",nTime=-1,key="巴陵县",},{nClass=20,nIcon=13,nFrame=5,szName="龙门荒漠",nTime=-1,key="龙门荒漠",},{nClass=20,nIcon=13,nFrame=5,szName="南屏山",nTime=-1,key="南屏山",},{nClass=20,nIcon=13,nFrame=5,szName="昆仑",nTime=-1,key="昆仑",},{nClass=20,nIcon=13,nFrame=5,szName="白龙口",nTime=-1,key="白龙口",},{nClass=20,nIcon=13,nFrame=5,szName="无量山",nTime=-1,key="无量山",},{nClass=20,nIcon=13,nFrame=5,szName="黑龙沼",nTime=-1,key="黑龙沼",},{nClass=20,nIcon=13,nFrame=5,szName="阴山大草原",nTime=-1,key="阴山大草原",},{nClass=20,nIcon=13,nFrame=5,szName="黑戈壁",nTime=-1,key="黑戈壁",},{nClass=20,nIcon=13,nFrame=5,szName="鲲鹏岛",nTime=-1,key="鲲鹏岛",},},},</v>
      </c>
      <c r="N3" t="s">
        <v>6095</v>
      </c>
      <c r="O3" t="s">
        <v>6096</v>
      </c>
      <c r="P3" t="s">
        <v>6097</v>
      </c>
      <c r="Q3" t="s">
        <v>6098</v>
      </c>
      <c r="R3" t="s">
        <v>6099</v>
      </c>
      <c r="S3" t="s">
        <v>6100</v>
      </c>
      <c r="T3" t="s">
        <v>6101</v>
      </c>
      <c r="U3" t="s">
        <v>6102</v>
      </c>
      <c r="V3" t="s">
        <v>6103</v>
      </c>
      <c r="W3" t="s">
        <v>6104</v>
      </c>
      <c r="X3" t="s">
        <v>6105</v>
      </c>
      <c r="Y3" t="s">
        <v>6106</v>
      </c>
      <c r="Z3" t="s">
        <v>6107</v>
      </c>
      <c r="AA3" t="s">
        <v>6108</v>
      </c>
      <c r="AB3" t="s">
        <v>6109</v>
      </c>
      <c r="AC3" t="s">
        <v>6110</v>
      </c>
      <c r="AD3" t="s">
        <v>6111</v>
      </c>
      <c r="AE3" t="s">
        <v>6112</v>
      </c>
      <c r="AF3" t="s">
        <v>6113</v>
      </c>
      <c r="AG3" t="s">
        <v>6114</v>
      </c>
      <c r="AH3" t="s">
        <v>6115</v>
      </c>
      <c r="AI3" t="s">
        <v>6116</v>
      </c>
      <c r="AJ3" t="s">
        <v>6117</v>
      </c>
      <c r="AK3" t="s">
        <v>6118</v>
      </c>
      <c r="AL3" t="s">
        <v>6119</v>
      </c>
      <c r="AM3" t="s">
        <v>6120</v>
      </c>
      <c r="AN3" t="s">
        <v>6121</v>
      </c>
      <c r="AO3" t="s">
        <v>6122</v>
      </c>
      <c r="AP3" t="s">
        <v>6123</v>
      </c>
      <c r="AQ3" t="s">
        <v>6124</v>
      </c>
      <c r="AR3" t="s">
        <v>6125</v>
      </c>
      <c r="AS3" t="s">
        <v>6126</v>
      </c>
      <c r="AT3" t="s">
        <v>6127</v>
      </c>
      <c r="AU3" t="s">
        <v>6128</v>
      </c>
      <c r="AV3" t="s">
        <v>6129</v>
      </c>
      <c r="AW3" t="s">
        <v>6130</v>
      </c>
      <c r="AX3" t="s">
        <v>6131</v>
      </c>
      <c r="AY3" t="s">
        <v>6132</v>
      </c>
      <c r="AZ3" t="s">
        <v>6133</v>
      </c>
      <c r="BA3" t="s">
        <v>6134</v>
      </c>
      <c r="BB3" t="s">
        <v>6135</v>
      </c>
      <c r="BC3" t="s">
        <v>6136</v>
      </c>
      <c r="BD3" t="s">
        <v>6137</v>
      </c>
    </row>
    <row r="4" spans="1:56" x14ac:dyDescent="0.15">
      <c r="C4" t="s">
        <v>6138</v>
      </c>
      <c r="D4" t="s">
        <v>6139</v>
      </c>
      <c r="E4" t="s">
        <v>2718</v>
      </c>
      <c r="M4" t="str">
        <f t="shared" si="0"/>
        <v>{szContent="本场攻防“奇袭场”已结束，浩气盟侠士和恶人谷侠士经过一场恶战，势均力敌，最终打为平手，暂时休战！\n",szNote="奇袭场·平手",col={255,255,100,},[20]={},tCountdown={{nClass=20,nIcon=2401,nFrame=0,szName="奇袭场·平手",nTime=10,nRefresh=2,key="奇袭场",},{nClass=20,nIcon=17135,nFrame=0,szName="拾取间隔",nTime=0,key="拾取间隔",},},},</v>
      </c>
      <c r="N4" t="s">
        <v>6140</v>
      </c>
      <c r="O4" t="s">
        <v>6141</v>
      </c>
    </row>
    <row r="5" spans="1:56" x14ac:dyDescent="0.15">
      <c r="C5" t="s">
        <v>6142</v>
      </c>
      <c r="D5" t="s">
        <v>6143</v>
      </c>
      <c r="E5" t="s">
        <v>2718</v>
      </c>
      <c r="M5" t="str">
        <f t="shared" si="0"/>
        <v>{szContent="本场攻防“主战场”已结束，浩气盟侠士和恶人谷侠士经过一场恶战，势均力敌，最终打为平手，暂时休战！\n",szNote="主战场·平手",col={255,255,100,},[20]={},tCountdown={{nClass=20,nIcon=2401,nFrame=0,szName="主战场·平手",nTime=10,nRefresh=2,key="主战场",},{nClass=20,nIcon=17135,nFrame=0,szName="拾取间隔",nTime=0,key="拾取间隔",},},},</v>
      </c>
      <c r="N5" t="s">
        <v>6144</v>
      </c>
      <c r="O5" t="s">
        <v>6141</v>
      </c>
    </row>
    <row r="6" spans="1:56" x14ac:dyDescent="0.15">
      <c r="C6" t="s">
        <v>6145</v>
      </c>
      <c r="D6" t="s">
        <v>6146</v>
      </c>
      <c r="E6" t="s">
        <v>2718</v>
      </c>
      <c r="G6">
        <v>1</v>
      </c>
      <c r="M6" t="str">
        <f t="shared" si="0"/>
        <v>{szContent="^本场攻防“([主战奇袭场]+)”已结束，([浩气盟恶人谷]+)[侠士们众志成城和，]-([大完险胜]+)([浩气盟恶人谷]+)[！，]+",szNote="{$1}·{$2}{$3}",col={255,255,100,},bReg=true,[20]={},tCountdown={{nClass=20,nIcon=2400,nFrame=0,szName="{$1}·{$2}{$3}",nTime=10,nRefresh=2,key="{$1}",},{nClass=20,nIcon=13,nFrame=0,szName="拾取间隔",nTime=0,key="拾取间隔",},},},</v>
      </c>
      <c r="N6" t="s">
        <v>6147</v>
      </c>
      <c r="O6" t="s">
        <v>6148</v>
      </c>
    </row>
    <row r="7" spans="1:56" x14ac:dyDescent="0.15">
      <c r="C7" t="s">
        <v>6149</v>
      </c>
      <c r="D7" t="s">
        <v>6150</v>
      </c>
      <c r="E7" t="s">
        <v>2718</v>
      </c>
      <c r="K7">
        <v>1</v>
      </c>
      <c r="M7" t="str">
        <f t="shared" si="0"/>
        <v>{szContent="本场恶人谷攻防即将结束，昆仑物资运送暂且休整，等待下一场攻防开启！\n",szNote="攻防即将结束",col={255,255,100,},[20]={bCenterAlarm=true,},tCountdown={{nClass=20,nIcon=2401,nFrame=0,szName="本场攻防即将结束",nTime=60,nRefresh=2,key="攻防活动",},},},</v>
      </c>
      <c r="N7" t="s">
        <v>6151</v>
      </c>
    </row>
    <row r="8" spans="1:56" x14ac:dyDescent="0.15">
      <c r="C8" t="s">
        <v>6152</v>
      </c>
      <c r="D8" t="s">
        <v>6150</v>
      </c>
      <c r="E8" t="s">
        <v>2718</v>
      </c>
      <c r="K8">
        <v>1</v>
      </c>
      <c r="M8" t="str">
        <f t="shared" si="0"/>
        <v>{szContent="本场浩气盟攻防即将结束，南屏山物资运送暂且休整，等待下一场攻防开启！\n",szNote="攻防即将结束",col={255,255,100,},[20]={bCenterAlarm=true,},tCountdown={{nClass=20,nIcon=2401,nFrame=0,szName="本场攻防即将结束",nTime=60,nRefresh=2,key="攻防活动",},},},</v>
      </c>
      <c r="N8" t="s">
        <v>6151</v>
      </c>
    </row>
    <row r="9" spans="1:56" x14ac:dyDescent="0.15">
      <c r="C9" t="s">
        <v>6153</v>
      </c>
      <c r="D9" t="s">
        <v>6154</v>
      </c>
      <c r="E9" t="s">
        <v>2718</v>
      </c>
      <c r="F9">
        <v>1</v>
      </c>
      <c r="K9">
        <v>1</v>
      </c>
      <c r="M9" t="str">
        <f t="shared" si="0"/>
        <v>{szContent="侠士 [{$me}] 在拾取复活点物资时意外获得了[便携装置·神机车]。",szNote="便携装置·神机车",col={255,255,100,},bSearch=true,[20]={bCenterAlarm=true,},tCountdown={{nClass=20,nIcon=134,nFrame=0,szName="获得[便携装置·神机车]",nTime=10,nRefresh=1,key="拾取复活点物资",},},},</v>
      </c>
      <c r="N9" t="s">
        <v>6155</v>
      </c>
    </row>
    <row r="10" spans="1:56" x14ac:dyDescent="0.15">
      <c r="C10" t="s">
        <v>6156</v>
      </c>
      <c r="D10" t="s">
        <v>6157</v>
      </c>
      <c r="E10" t="s">
        <v>2718</v>
      </c>
      <c r="F10">
        <v>1</v>
      </c>
      <c r="M10" t="str">
        <f t="shared" si="0"/>
        <v>{szContent="浩气盟物资车已被拦截，车内装大量物资，望侠士们前来拾取，切莫错过。",szNote="浩气·物资车·被截",col={255,255,100,},bSearch=true,[20]={},tCountdown={{nClass=20,nIcon=2398,nFrame=3,szName="恶人·截车奖励",nTime=10,nRefresh=2,key="恶人·物资车·运达",},},},</v>
      </c>
      <c r="N10" t="s">
        <v>6158</v>
      </c>
    </row>
    <row r="11" spans="1:56" x14ac:dyDescent="0.15">
      <c r="C11" t="s">
        <v>6159</v>
      </c>
      <c r="D11" t="s">
        <v>6160</v>
      </c>
      <c r="E11" t="s">
        <v>2718</v>
      </c>
      <c r="F11">
        <v>1</v>
      </c>
      <c r="M11" t="str">
        <f t="shared" si="0"/>
        <v>{szContent="恶人谷物资车已被拦截，车内装大量物资，望侠士们前来拾取，切莫错过。",szNote="恶人·物资车·被截",col={255,255,100,},bSearch=true,[20]={},tCountdown={{nClass=20,nIcon=2397,nFrame=7,szName="浩气·截车奖励",nTime=10,nRefresh=2,key="浩气·物资车·运达",},},},</v>
      </c>
      <c r="N11" t="s">
        <v>6161</v>
      </c>
    </row>
    <row r="12" spans="1:56" x14ac:dyDescent="0.15">
      <c r="C12" t="s">
        <v>6162</v>
      </c>
      <c r="D12" t="s">
        <v>6163</v>
      </c>
      <c r="E12" t="s">
        <v>2718</v>
      </c>
      <c r="G12">
        <v>1</v>
      </c>
      <c r="M12" t="str">
        <f t="shared" si="0"/>
        <v>{szContent="(.-)力不能敌，暂时败退。(.-)进攻顺利，此战有功，请即刻回营，准备下一步战略。",szNote="{$1}·败退|{$2}·回营",col={255,255,100,},bReg=true,[20]={},tCountdown={{nClass=20,nIcon=13,nFrame=7,szName="浩气·{$2}·助战",nTime=0,key="浩气·{$2}·助战",},{nClass=20,nIcon=13,nFrame=3,szName="恶人·{$2}·助战",nTime=0,key="恶人·{$2}·助战",},},},</v>
      </c>
      <c r="N12" t="s">
        <v>6164</v>
      </c>
      <c r="O12" t="s">
        <v>6165</v>
      </c>
    </row>
    <row r="13" spans="1:56" x14ac:dyDescent="0.15">
      <c r="C13" t="s">
        <v>6166</v>
      </c>
      <c r="D13" t="s">
        <v>6167</v>
      </c>
      <c r="E13" t="s">
        <v>2718</v>
      </c>
      <c r="G13">
        <v>1</v>
      </c>
      <c r="M13" t="str">
        <f t="shared" si="0"/>
        <v>{szContent="(.-)误入埋伏，防守不利，暂时败退。请(.-)暂且撤回驻守之地，务必小心防守。",szNote="{$1}·败退|{$2}·回防",col={255,255,100,},bReg=true,[20]={},tCountdown={{nClass=20,nIcon=13,nFrame=7,szName="浩气·{$2}·助战",nTime=0,key="浩气·{$2}·助战",},{nClass=20,nIcon=13,nFrame=3,szName="恶人·{$2}·助战",nTime=0,key="恶人·{$2}·助战",},},},</v>
      </c>
      <c r="N13" t="s">
        <v>6164</v>
      </c>
      <c r="O13" t="s">
        <v>6165</v>
      </c>
    </row>
    <row r="14" spans="1:56" x14ac:dyDescent="0.15">
      <c r="C14" t="s">
        <v>6168</v>
      </c>
      <c r="D14" t="s">
        <v>6169</v>
      </c>
      <c r="E14" t="s">
        <v>2718</v>
      </c>
      <c r="G14">
        <v>1</v>
      </c>
      <c r="M14" t="str">
        <f t="shared" si="0"/>
        <v>{szContent="(.-)出手协助众人酣战一场",szNote="{$1}·回防",col={255,255,100,},bReg=true,[20]={},tCountdown={{nClass=20,nIcon=13,nFrame=7,szName="浩气·{$1}·助战",nTime=0,key="浩气·{$1}·助战",},{nClass=20,nIcon=13,nFrame=3,szName="恶人·{$1}·助战",nTime=0,key="恶人·{$1}·助战",},},},</v>
      </c>
      <c r="N14" t="s">
        <v>6170</v>
      </c>
      <c r="O14" t="s">
        <v>6171</v>
      </c>
    </row>
    <row r="15" spans="1:56" x14ac:dyDescent="0.15">
      <c r="C15" t="s">
        <v>6172</v>
      </c>
      <c r="D15" t="s">
        <v>6173</v>
      </c>
      <c r="E15" t="s">
        <v>2718</v>
      </c>
      <c r="G15">
        <v>1</v>
      </c>
      <c r="K15">
        <v>1</v>
      </c>
      <c r="M15" t="str">
        <f t="shared" si="0"/>
        <v>{szContent="战况焦灼，瞬息万变，([浩气恶人]+)[盟谷]-侠士%[(.-)%]特请%[(.-)%]前来助战",szNote="{$1}·正在召请·{$3}",col={255,255,100,},bReg=true,[20]={bCenterAlarm=true,},tCountdown={{nClass=20,nIcon=13345,nFrame=0,szName="{$1}·正在召请·{$3}",nTime=10,key="{$1}·{$3}·助战",},},},</v>
      </c>
      <c r="N15" t="s">
        <v>6174</v>
      </c>
    </row>
    <row r="16" spans="1:56" x14ac:dyDescent="0.15">
      <c r="C16" t="s">
        <v>6175</v>
      </c>
      <c r="D16" t="s">
        <v>6176</v>
      </c>
      <c r="E16" t="s">
        <v>2529</v>
      </c>
      <c r="F16">
        <v>1</v>
      </c>
      <c r="M16" t="str">
        <f t="shared" si="0"/>
        <v>{szContent="的带领下，成功击退韩非池！",szNote="奇袭·恶人·伊夜·击退·浩气·韩非池·首领",col={255,100,100,},bSearch=true,[20]={},tCountdown={{nClass=20,nIcon=18829,nFrame=7,szName="浩气·韩非池·退场",nTime=10,key="谢渊·韩非池·减伤",},{nClass=20,nIcon=2399,nFrame=2,szName="召请CD·伊夜",nTime=0,key="召请CD·伊夜",},{nClass=20,nIcon=14724,nFrame=3,szName="王遗风·伊夜·减伤",nTime="300,恶人·伊夜·减伤3层;600,恶人·伊夜·减伤2层;900,恶人·伊夜·减伤1层",nRefresh=0,key="王遗风·伊夜·减伤",},},},</v>
      </c>
      <c r="N16" t="s">
        <v>6177</v>
      </c>
      <c r="O16" t="s">
        <v>6178</v>
      </c>
      <c r="P16" t="s">
        <v>6179</v>
      </c>
    </row>
    <row r="17" spans="3:16" x14ac:dyDescent="0.15">
      <c r="C17" t="s">
        <v>6180</v>
      </c>
      <c r="D17" t="s">
        <v>6181</v>
      </c>
      <c r="E17" t="s">
        <v>2529</v>
      </c>
      <c r="F17">
        <v>1</v>
      </c>
      <c r="M17" t="str">
        <f t="shared" si="0"/>
        <v>{szContent="的带领下，成功击退赵紫儿！",szNote="奇袭·恶人·丁丁·击退·浩气·赵紫儿·首领",col={255,100,100,},bSearch=true,[20]={},tCountdown={{nClass=20,nIcon=18829,nFrame=7,szName="浩气·赵紫儿·退场",nTime=10,key="谢渊·赵紫儿·减伤",},{nClass=20,nIcon=2399,nFrame=2,szName="召请CD·丁丁",nTime=0,key="召请CD·丁丁",},{nClass=20,nIcon=14724,nFrame=3,szName="王遗风·丁丁·减伤",nTime="300,恶人·丁丁·减伤3层;600,恶人·丁丁·减伤2层;900,恶人·丁丁·减伤1层",nRefresh=0,key="王遗风·丁丁·减伤",},},},</v>
      </c>
      <c r="N17" t="s">
        <v>6182</v>
      </c>
      <c r="O17" t="s">
        <v>6183</v>
      </c>
      <c r="P17" t="s">
        <v>6184</v>
      </c>
    </row>
    <row r="18" spans="3:16" x14ac:dyDescent="0.15">
      <c r="C18" t="s">
        <v>6185</v>
      </c>
      <c r="D18" t="s">
        <v>6186</v>
      </c>
      <c r="E18" t="s">
        <v>2529</v>
      </c>
      <c r="F18">
        <v>1</v>
      </c>
      <c r="M18" t="str">
        <f t="shared" si="0"/>
        <v>{szContent="的带领下，成功击退叶镜池！",szNote="奇袭·恶人·岳琅·击退·浩气·叶镜池·首领",col={255,100,100,},bSearch=true,[20]={},tCountdown={{nClass=20,nIcon=18829,nFrame=7,szName="浩气·叶镜池·退场",nTime=10,key="谢渊·叶镜池·减伤",},{nClass=20,nIcon=2399,nFrame=2,szName="召请CD·岳琅",nTime=0,key="召请CD·岳琅",},{nClass=20,nIcon=14724,nFrame=3,szName="王遗风·岳琅·减伤",nTime="300,恶人·岳琅·减伤3层;600,恶人·岳琅·减伤2层;900,恶人·岳琅·减伤1层",nRefresh=0,key="王遗风·岳琅·减伤",},},},</v>
      </c>
      <c r="N18" t="s">
        <v>6187</v>
      </c>
      <c r="O18" t="s">
        <v>6188</v>
      </c>
      <c r="P18" t="s">
        <v>6189</v>
      </c>
    </row>
    <row r="19" spans="3:16" x14ac:dyDescent="0.15">
      <c r="C19" t="s">
        <v>6190</v>
      </c>
      <c r="D19" t="s">
        <v>6191</v>
      </c>
      <c r="E19" t="s">
        <v>2529</v>
      </c>
      <c r="F19">
        <v>1</v>
      </c>
      <c r="M19" t="str">
        <f t="shared" si="0"/>
        <v>{szContent="的带领下，成功击退郭珠！",szNote="奇袭·恶人·毕罗巴·击退·浩气·郭珠·首领",col={255,100,100,},bSearch=true,[20]={},tCountdown={{nClass=20,nIcon=18829,nFrame=7,szName="浩气·郭珠·退场",nTime=10,key="谢渊·郭珠·减伤",},{nClass=20,nIcon=2399,nFrame=2,szName="召请CD·毕罗巴",nTime=0,key="召请CD·毕罗巴",},{nClass=20,nIcon=14724,nFrame=3,szName="王遗风·毕罗巴·减伤",nTime="300,恶人·毕罗巴·减伤3层;600,恶人·毕罗巴·减伤2层;900,恶人·毕罗巴·减伤1层",nRefresh=0,key="王遗风·毕罗巴·减伤",},},},</v>
      </c>
      <c r="N19" t="s">
        <v>6192</v>
      </c>
      <c r="O19" t="s">
        <v>6193</v>
      </c>
      <c r="P19" t="s">
        <v>6194</v>
      </c>
    </row>
    <row r="20" spans="3:16" x14ac:dyDescent="0.15">
      <c r="C20" t="s">
        <v>6195</v>
      </c>
      <c r="D20" t="s">
        <v>6196</v>
      </c>
      <c r="E20" t="s">
        <v>2529</v>
      </c>
      <c r="F20">
        <v>1</v>
      </c>
      <c r="M20" t="str">
        <f t="shared" si="0"/>
        <v>{szContent="的带领下，成功击退穆玄英！",szNote="奇袭·恶人·烟·击退·浩气·穆玄英·首领",col={255,100,100,},bSearch=true,[20]={},tCountdown={{nClass=20,nIcon=18829,nFrame=7,szName="浩气·穆玄英·退场",nTime=10,key="谢渊·穆玄英·减伤",},{nClass=20,nIcon=2399,nFrame=2,szName="召请CD·烟",nTime=0,key="召请CD·烟",},{nClass=20,nIcon=14724,nFrame=3,szName="王遗风·烟·减伤",nTime="300,恶人·烟·减伤3层;600,恶人·烟·减伤2层;900,恶人·烟·减伤1层",nRefresh=0,key="王遗风·烟·减伤",},},},</v>
      </c>
      <c r="N20" t="s">
        <v>6197</v>
      </c>
      <c r="O20" t="s">
        <v>6198</v>
      </c>
      <c r="P20" t="s">
        <v>6199</v>
      </c>
    </row>
    <row r="21" spans="3:16" x14ac:dyDescent="0.15">
      <c r="C21" t="s">
        <v>6200</v>
      </c>
      <c r="D21" t="s">
        <v>6201</v>
      </c>
      <c r="E21" t="s">
        <v>2529</v>
      </c>
      <c r="F21">
        <v>1</v>
      </c>
      <c r="M21" t="str">
        <f t="shared" si="0"/>
        <v>{szContent="的带领下，成功击退影！",szNote="奇袭·恶人·独孤修·击退·浩气·影·首领",col={255,100,100,},bSearch=true,[20]={},tCountdown={{nClass=20,nIcon=18829,nFrame=7,szName="浩气·影·退场",nTime=10,key="谢渊·影·减伤",},{nClass=20,nIcon=2399,nFrame=2,szName="召请CD·独孤修",nTime=0,key="召请CD·独孤修",},{nClass=20,nIcon=14724,nFrame=3,szName="王遗风·独孤修·减伤",nTime="300,恶人·独孤修·减伤3层;600,恶人·独孤修·减伤2层;900,恶人·独孤修·减伤1层",nRefresh=0,key="王遗风·独孤修·减伤",},},},</v>
      </c>
      <c r="N21" t="s">
        <v>6202</v>
      </c>
      <c r="O21" t="s">
        <v>6203</v>
      </c>
      <c r="P21" t="s">
        <v>6204</v>
      </c>
    </row>
    <row r="22" spans="3:16" x14ac:dyDescent="0.15">
      <c r="C22" t="s">
        <v>6205</v>
      </c>
      <c r="D22" t="s">
        <v>6206</v>
      </c>
      <c r="E22" t="s">
        <v>2529</v>
      </c>
      <c r="F22">
        <v>1</v>
      </c>
      <c r="M22" t="str">
        <f t="shared" si="0"/>
        <v>{szContent="的带领下，成功击退谢渊！",szNote="主场·恶人·王遗风·击退·浩气·谢渊·首领",col={255,100,100,},bSearch=true,[20]={},tCountdown={{nClass=20,nIcon=18829,nFrame=7,szName="浩气·谢渊·退场",nTime=10,key="谢渊·谢渊·减伤",},{nClass=20,nIcon=2399,nFrame=2,szName="召请CD·王遗风",nTime=0,key="召请CD·王遗风",},{nClass=20,nIcon=14724,nFrame=3,szName="王遗风·王遗风·减伤",nTime="300,恶人·王遗风·减伤3层;600,恶人·王遗风·减伤2层;900,恶人·王遗风·减伤1层",nRefresh=0,key="王遗风·王遗风·减伤",},},},</v>
      </c>
      <c r="N22" t="s">
        <v>6207</v>
      </c>
      <c r="O22" t="s">
        <v>6208</v>
      </c>
      <c r="P22" t="s">
        <v>6209</v>
      </c>
    </row>
    <row r="23" spans="3:16" x14ac:dyDescent="0.15">
      <c r="C23" t="s">
        <v>6210</v>
      </c>
      <c r="D23" t="s">
        <v>6211</v>
      </c>
      <c r="E23" t="s">
        <v>2529</v>
      </c>
      <c r="F23">
        <v>1</v>
      </c>
      <c r="M23" t="str">
        <f t="shared" si="0"/>
        <v>{szContent="的带领下，成功击退司空仲平！",szNote="主场·恶人·肖药儿·击退·浩气·司空仲平·首领",col={255,100,100,},bSearch=true,[20]={},tCountdown={{nClass=20,nIcon=18829,nFrame=7,szName="浩气·司空仲平·退场",nTime=10,key="谢渊·司空仲平·减伤",},{nClass=20,nIcon=2399,nFrame=2,szName="召请CD·肖药儿",nTime=0,key="召请CD·肖药儿",},{nClass=20,nIcon=14724,nFrame=3,szName="王遗风·肖药儿·减伤",nTime="300,恶人·肖药儿·减伤3层;600,恶人·肖药儿·减伤2层;900,恶人·肖药儿·减伤1层",nRefresh=0,key="王遗风·肖药儿·减伤",},},},</v>
      </c>
      <c r="N23" t="s">
        <v>6212</v>
      </c>
      <c r="O23" t="s">
        <v>6213</v>
      </c>
      <c r="P23" t="s">
        <v>6214</v>
      </c>
    </row>
    <row r="24" spans="3:16" x14ac:dyDescent="0.15">
      <c r="C24" t="s">
        <v>6215</v>
      </c>
      <c r="D24" t="s">
        <v>6216</v>
      </c>
      <c r="E24" t="s">
        <v>2529</v>
      </c>
      <c r="F24">
        <v>1</v>
      </c>
      <c r="M24" t="str">
        <f t="shared" si="0"/>
        <v>{szContent="的带领下，成功击退月弄痕！",szNote="主场·恶人·司徒一一·击退·浩气·月弄痕·首领",col={255,100,100,},bSearch=true,[20]={},tCountdown={{nClass=20,nIcon=18829,nFrame=7,szName="浩气·月弄痕·退场",nTime=10,key="谢渊·月弄痕·减伤",},{nClass=20,nIcon=2399,nFrame=2,szName="召请CD·司徒一一",nTime=0,key="召请CD·司徒一一",},{nClass=20,nIcon=14724,nFrame=3,szName="王遗风·司徒一一·减伤",nTime="300,恶人·司徒一一·减伤3层;600,恶人·司徒一一·减伤2层;900,恶人·司徒一一·减伤1层",nRefresh=0,key="王遗风·司徒一一·减伤",},},},</v>
      </c>
      <c r="N24" t="s">
        <v>6217</v>
      </c>
      <c r="O24" t="s">
        <v>6218</v>
      </c>
      <c r="P24" t="s">
        <v>6219</v>
      </c>
    </row>
    <row r="25" spans="3:16" x14ac:dyDescent="0.15">
      <c r="C25" t="s">
        <v>6220</v>
      </c>
      <c r="D25" t="s">
        <v>6221</v>
      </c>
      <c r="E25" t="s">
        <v>2529</v>
      </c>
      <c r="F25">
        <v>1</v>
      </c>
      <c r="M25" t="str">
        <f t="shared" si="0"/>
        <v>{szContent="的带领下，成功击退张桎辕！",szNote="主场·恶人·陶寒亭·击退·浩气·张桎辕·首领",col={255,100,100,},bSearch=true,[20]={},tCountdown={{nClass=20,nIcon=18829,nFrame=7,szName="浩气·张桎辕·退场",nTime=10,key="谢渊·张桎辕·减伤",},{nClass=20,nIcon=2399,nFrame=2,szName="召请CD·陶寒亭",nTime=0,key="召请CD·陶寒亭",},{nClass=20,nIcon=14724,nFrame=3,szName="王遗风·陶寒亭·减伤",nTime="300,恶人·陶寒亭·减伤3层;600,恶人·陶寒亭·减伤2层;900,恶人·陶寒亭·减伤1层",nRefresh=0,key="王遗风·陶寒亭·减伤",},},},</v>
      </c>
      <c r="N25" t="s">
        <v>6222</v>
      </c>
      <c r="O25" t="s">
        <v>6223</v>
      </c>
      <c r="P25" t="s">
        <v>6224</v>
      </c>
    </row>
    <row r="26" spans="3:16" x14ac:dyDescent="0.15">
      <c r="C26" t="s">
        <v>6225</v>
      </c>
      <c r="D26" t="s">
        <v>6226</v>
      </c>
      <c r="E26" t="s">
        <v>2529</v>
      </c>
      <c r="F26">
        <v>1</v>
      </c>
      <c r="M26" t="str">
        <f t="shared" si="0"/>
        <v>{szContent="的带领下，成功击退小七！",szNote="主场·恶人·米丽古丽·击退·浩气·小七·首领",col={255,100,100,},bSearch=true,[20]={},tCountdown={{nClass=20,nIcon=18829,nFrame=7,szName="浩气·小七·退场",nTime=10,key="谢渊·小七·减伤",},{nClass=20,nIcon=2399,nFrame=2,szName="召请CD·米丽古丽",nTime=0,key="召请CD·米丽古丽",},{nClass=20,nIcon=14724,nFrame=3,szName="王遗风·米丽古丽·减伤",nTime="300,恶人·米丽古丽·减伤3层;600,恶人·米丽古丽·减伤2层;900,恶人·米丽古丽·减伤1层",nRefresh=0,key="王遗风·米丽古丽·减伤",},},},</v>
      </c>
      <c r="N26" t="s">
        <v>6227</v>
      </c>
      <c r="O26" t="s">
        <v>6228</v>
      </c>
      <c r="P26" t="s">
        <v>6229</v>
      </c>
    </row>
    <row r="27" spans="3:16" x14ac:dyDescent="0.15">
      <c r="C27" t="s">
        <v>6230</v>
      </c>
      <c r="D27" t="s">
        <v>6231</v>
      </c>
      <c r="E27" t="s">
        <v>2529</v>
      </c>
      <c r="F27">
        <v>1</v>
      </c>
      <c r="M27" t="str">
        <f t="shared" si="0"/>
        <v>{szContent="的带领下，成功击退游驹！",szNote="主场·恶人·白某·击退·浩气·游驹·首领",col={255,100,100,},bSearch=true,[20]={},tCountdown={{nClass=20,nIcon=18829,nFrame=7,szName="浩气·游驹·退场",nTime=10,key="谢渊·游驹·减伤",},{nClass=20,nIcon=2399,nFrame=2,szName="召请CD·白某",nTime=0,key="召请CD·白某",},{nClass=20,nIcon=14724,nFrame=3,szName="王遗风·白某·减伤",nTime="300,恶人·白某·减伤3层;600,恶人·白某·减伤2层;900,恶人·白某·减伤1层",nRefresh=0,key="王遗风·白某·减伤",},},},</v>
      </c>
      <c r="N27" t="s">
        <v>6232</v>
      </c>
      <c r="O27" t="s">
        <v>6233</v>
      </c>
      <c r="P27" t="s">
        <v>6234</v>
      </c>
    </row>
    <row r="28" spans="3:16" x14ac:dyDescent="0.15">
      <c r="C28" t="s">
        <v>6235</v>
      </c>
      <c r="D28" t="s">
        <v>6236</v>
      </c>
      <c r="E28" t="s">
        <v>2524</v>
      </c>
      <c r="F28">
        <v>1</v>
      </c>
      <c r="M28" t="str">
        <f t="shared" si="0"/>
        <v>{szContent="的带领下，成功击退伊夜！",szNote="奇袭·浩气·韩非池·击退·恶人·伊夜·首领",col={100,100,255,},bSearch=true,[20]={},tCountdown={{nClass=20,nIcon=18830,nFrame=5,szName="恶人·伊夜·退场",nTime=10,key="王遗风·伊夜·减伤",},{nClass=20,nIcon=2399,nFrame=2,szName="召请CD·韩非池",nTime=0,key="召请CD·韩非池",},{nClass=20,nIcon=14724,nFrame=7,szName="谢渊·韩非池·减伤",nTime="300,浩气·韩非池·减伤3层;600,浩气·韩非池·减伤2层;900,浩气·韩非池·减伤1层",nRefresh=0,key="谢渊·韩非池·减伤",},},},</v>
      </c>
      <c r="N28" t="s">
        <v>6237</v>
      </c>
      <c r="O28" t="s">
        <v>6238</v>
      </c>
      <c r="P28" t="s">
        <v>6239</v>
      </c>
    </row>
    <row r="29" spans="3:16" x14ac:dyDescent="0.15">
      <c r="C29" t="s">
        <v>6240</v>
      </c>
      <c r="D29" t="s">
        <v>6241</v>
      </c>
      <c r="E29" t="s">
        <v>2524</v>
      </c>
      <c r="F29">
        <v>1</v>
      </c>
      <c r="M29" t="str">
        <f t="shared" si="0"/>
        <v>{szContent="的带领下，成功击退烟！",szNote="奇袭·浩气·穆玄英·击退·恶人·烟·首领",col={100,100,255,},bSearch=true,[20]={},tCountdown={{nClass=20,nIcon=18830,nFrame=5,szName="恶人·烟·退场",nTime=10,key="王遗风·烟·减伤",},{nClass=20,nIcon=2399,nFrame=2,szName="召请CD·穆玄英",nTime=0,key="召请CD·穆玄英",},{nClass=20,nIcon=14724,nFrame=7,szName="谢渊·穆玄英·减伤",nTime="300,浩气·穆玄英·减伤3层;600,浩气·穆玄英·减伤2层;900,浩气·穆玄英·减伤1层",nRefresh=0,key="谢渊·穆玄英·减伤",},},},</v>
      </c>
      <c r="N29" t="s">
        <v>6242</v>
      </c>
      <c r="O29" t="s">
        <v>6243</v>
      </c>
      <c r="P29" t="s">
        <v>6244</v>
      </c>
    </row>
    <row r="30" spans="3:16" x14ac:dyDescent="0.15">
      <c r="C30" t="s">
        <v>6245</v>
      </c>
      <c r="D30" t="s">
        <v>6246</v>
      </c>
      <c r="E30" t="s">
        <v>2524</v>
      </c>
      <c r="F30">
        <v>1</v>
      </c>
      <c r="M30" t="str">
        <f t="shared" si="0"/>
        <v>{szContent="的带领下，成功击退岳琅！",szNote="奇袭·浩气·叶镜池·击退·恶人·岳琅·首领",col={100,100,255,},bSearch=true,[20]={},tCountdown={{nClass=20,nIcon=18830,nFrame=5,szName="恶人·岳琅·退场",nTime=10,key="王遗风·岳琅·减伤",},{nClass=20,nIcon=2399,nFrame=2,szName="召请CD·叶镜池",nTime=0,key="召请CD·叶镜池",},{nClass=20,nIcon=14724,nFrame=7,szName="谢渊·叶镜池·减伤",nTime="300,浩气·叶镜池·减伤3层;600,浩气·叶镜池·减伤2层;900,浩气·叶镜池·减伤1层",nRefresh=0,key="谢渊·叶镜池·减伤",},},},</v>
      </c>
      <c r="N30" t="s">
        <v>6247</v>
      </c>
      <c r="O30" t="s">
        <v>6248</v>
      </c>
      <c r="P30" t="s">
        <v>6249</v>
      </c>
    </row>
    <row r="31" spans="3:16" x14ac:dyDescent="0.15">
      <c r="C31" t="s">
        <v>6250</v>
      </c>
      <c r="D31" t="s">
        <v>6251</v>
      </c>
      <c r="E31" t="s">
        <v>2524</v>
      </c>
      <c r="F31">
        <v>1</v>
      </c>
      <c r="M31" t="str">
        <f t="shared" si="0"/>
        <v>{szContent="的带领下，成功击退丁丁！",szNote="奇袭·浩气·赵紫儿·击退·恶人·丁丁·首领",col={100,100,255,},bSearch=true,[20]={},tCountdown={{nClass=20,nIcon=18830,nFrame=5,szName="恶人·丁丁·退场",nTime=10,key="王遗风·丁丁·减伤",},{nClass=20,nIcon=2399,nFrame=2,szName="召请CD·赵紫儿",nTime=0,key="召请CD·赵紫儿",},{nClass=20,nIcon=14724,nFrame=7,szName="谢渊·赵紫儿·减伤",nTime="300,浩气·赵紫儿·减伤3层;600,浩气·赵紫儿·减伤2层;900,浩气·赵紫儿·减伤1层",nRefresh=0,key="谢渊·赵紫儿·减伤",},},},</v>
      </c>
      <c r="N31" t="s">
        <v>6252</v>
      </c>
      <c r="O31" t="s">
        <v>6253</v>
      </c>
      <c r="P31" t="s">
        <v>6254</v>
      </c>
    </row>
    <row r="32" spans="3:16" x14ac:dyDescent="0.15">
      <c r="C32" t="s">
        <v>6255</v>
      </c>
      <c r="D32" t="s">
        <v>6256</v>
      </c>
      <c r="E32" t="s">
        <v>2524</v>
      </c>
      <c r="F32">
        <v>1</v>
      </c>
      <c r="M32" t="str">
        <f t="shared" si="0"/>
        <v>{szContent="的带领下，成功击退毕罗巴！",szNote="奇袭·浩气·郭珠·击退·恶人·毕罗巴·首领",col={100,100,255,},bSearch=true,[20]={},tCountdown={{nClass=20,nIcon=18830,nFrame=5,szName="恶人·毕罗巴·退场",nTime=10,key="王遗风·毕罗巴·减伤",},{nClass=20,nIcon=2399,nFrame=2,szName="召请CD·郭珠",nTime=0,key="召请CD·郭珠",},{nClass=20,nIcon=14724,nFrame=7,szName="谢渊·郭珠·减伤",nTime="300,浩气·郭珠·减伤3层;600,浩气·郭珠·减伤2层;900,浩气·郭珠·减伤1层",nRefresh=0,key="谢渊·郭珠·减伤",},},},</v>
      </c>
      <c r="N32" t="s">
        <v>6257</v>
      </c>
      <c r="O32" t="s">
        <v>6258</v>
      </c>
      <c r="P32" t="s">
        <v>6259</v>
      </c>
    </row>
    <row r="33" spans="1:18" x14ac:dyDescent="0.15">
      <c r="C33" t="s">
        <v>6260</v>
      </c>
      <c r="D33" t="s">
        <v>6261</v>
      </c>
      <c r="E33" t="s">
        <v>2524</v>
      </c>
      <c r="F33">
        <v>1</v>
      </c>
      <c r="M33" t="str">
        <f t="shared" si="0"/>
        <v>{szContent="的带领下，成功击退独孤修！",szNote="奇袭·浩气·影·击退·恶人·独孤修·首领",col={100,100,255,},bSearch=true,[20]={},tCountdown={{nClass=20,nIcon=18830,nFrame=5,szName="恶人·独孤修·退场",nTime=10,key="王遗风·独孤修·减伤",},{nClass=20,nIcon=2399,nFrame=2,szName="召请CD·影",nTime=0,key="召请CD·影",},{nClass=20,nIcon=14724,nFrame=7,szName="谢渊·影·减伤",nTime="300,浩气·影·减伤3层;600,浩气·影·减伤2层;900,浩气·影·减伤1层",nRefresh=0,key="谢渊·影·减伤",},},},</v>
      </c>
      <c r="N33" t="s">
        <v>6262</v>
      </c>
      <c r="O33" t="s">
        <v>6263</v>
      </c>
      <c r="P33" t="s">
        <v>6264</v>
      </c>
    </row>
    <row r="34" spans="1:18" x14ac:dyDescent="0.15">
      <c r="C34" t="s">
        <v>6265</v>
      </c>
      <c r="D34" t="s">
        <v>6266</v>
      </c>
      <c r="E34" t="s">
        <v>2524</v>
      </c>
      <c r="F34">
        <v>1</v>
      </c>
      <c r="M34" t="str">
        <f t="shared" si="0"/>
        <v>{szContent="的带领下，成功击退王遗风！",szNote="主场·浩气·谢渊·击退·恶人·王遗风·首领",col={100,100,255,},bSearch=true,[20]={},tCountdown={{nClass=20,nIcon=18830,nFrame=5,szName="恶人·王遗风·退场",nTime=10,key="王遗风·王遗风·减伤",},{nClass=20,nIcon=2399,nFrame=2,szName="召请CD·谢渊",nTime=0,key="召请CD·谢渊",},{nClass=20,nIcon=14724,nFrame=7,szName="谢渊·谢渊·减伤",nTime="300,浩气·谢渊·减伤3层;600,浩气·谢渊·减伤2层;900,浩气·谢渊·减伤1层",nRefresh=0,key="谢渊·谢渊·减伤",},},},</v>
      </c>
      <c r="N34" t="s">
        <v>6267</v>
      </c>
      <c r="O34" t="s">
        <v>6268</v>
      </c>
      <c r="P34" t="s">
        <v>6269</v>
      </c>
    </row>
    <row r="35" spans="1:18" x14ac:dyDescent="0.15">
      <c r="C35" t="s">
        <v>6270</v>
      </c>
      <c r="D35" t="s">
        <v>6271</v>
      </c>
      <c r="E35" t="s">
        <v>2524</v>
      </c>
      <c r="F35">
        <v>1</v>
      </c>
      <c r="M35" t="str">
        <f t="shared" si="0"/>
        <v>{szContent="的带领下，成功击退司徒一一！",szNote="主场·浩气·月弄痕·击退·恶人·司徒一一·首领",col={100,100,255,},bSearch=true,[20]={},tCountdown={{nClass=20,nIcon=18830,nFrame=5,szName="恶人·司徒一一·退场",nTime=10,key="王遗风·司徒一一·减伤",},{nClass=20,nIcon=2399,nFrame=2,szName="召请CD·月弄痕",nTime=0,key="召请CD·月弄痕",},{nClass=20,nIcon=14724,nFrame=7,szName="谢渊·月弄痕·减伤",nTime="300,浩气·月弄痕·减伤3层;600,浩气·月弄痕·减伤2层;900,浩气·月弄痕·减伤1层",nRefresh=0,key="谢渊·月弄痕·减伤",},},},</v>
      </c>
      <c r="N35" t="s">
        <v>6272</v>
      </c>
      <c r="O35" t="s">
        <v>6273</v>
      </c>
      <c r="P35" t="s">
        <v>6274</v>
      </c>
    </row>
    <row r="36" spans="1:18" x14ac:dyDescent="0.15">
      <c r="C36" t="s">
        <v>6275</v>
      </c>
      <c r="D36" t="s">
        <v>6276</v>
      </c>
      <c r="E36" t="s">
        <v>2524</v>
      </c>
      <c r="F36">
        <v>1</v>
      </c>
      <c r="M36" t="str">
        <f t="shared" si="0"/>
        <v>{szContent="的带领下，成功击退白某！",szNote="主场·浩气·游驹·击退·恶人·白某·首领",col={100,100,255,},bSearch=true,[20]={},tCountdown={{nClass=20,nIcon=18830,nFrame=5,szName="恶人·白某·退场",nTime=10,key="王遗风·白某·减伤",},{nClass=20,nIcon=2399,nFrame=2,szName="召请CD·游驹",nTime=0,key="召请CD·游驹",},{nClass=20,nIcon=14724,nFrame=7,szName="谢渊·游驹·减伤",nTime="300,浩气·游驹·减伤3层;600,浩气·游驹·减伤2层;900,浩气·游驹·减伤1层",nRefresh=0,key="谢渊·游驹·减伤",},},},</v>
      </c>
      <c r="N36" t="s">
        <v>6277</v>
      </c>
      <c r="O36" t="s">
        <v>6278</v>
      </c>
      <c r="P36" t="s">
        <v>6279</v>
      </c>
    </row>
    <row r="37" spans="1:18" x14ac:dyDescent="0.15">
      <c r="C37" t="s">
        <v>6280</v>
      </c>
      <c r="D37" t="s">
        <v>6281</v>
      </c>
      <c r="E37" t="s">
        <v>2524</v>
      </c>
      <c r="F37">
        <v>1</v>
      </c>
      <c r="M37" t="str">
        <f t="shared" si="0"/>
        <v>{szContent="的带领下，成功击退米丽古丽！",szNote="主场·浩气·小七·击退·恶人·米丽古丽·首领",col={100,100,255,},bSearch=true,[20]={},tCountdown={{nClass=20,nIcon=18830,nFrame=5,szName="恶人·米丽古丽·退场",nTime=10,key="王遗风·米丽古丽·减伤",},{nClass=20,nIcon=2399,nFrame=2,szName="召请CD·小七",nTime=0,key="召请CD·小七",},{nClass=20,nIcon=14724,nFrame=7,szName="谢渊·小七·减伤",nTime="300,浩气·小七·减伤3层;600,浩气·小七·减伤2层;900,浩气·小七·减伤1层",nRefresh=0,key="谢渊·小七·减伤",},},},</v>
      </c>
      <c r="N37" t="s">
        <v>6282</v>
      </c>
      <c r="O37" t="s">
        <v>6283</v>
      </c>
      <c r="P37" t="s">
        <v>6284</v>
      </c>
    </row>
    <row r="38" spans="1:18" x14ac:dyDescent="0.15">
      <c r="C38" t="s">
        <v>6285</v>
      </c>
      <c r="D38" t="s">
        <v>6286</v>
      </c>
      <c r="E38" t="s">
        <v>2524</v>
      </c>
      <c r="F38">
        <v>1</v>
      </c>
      <c r="M38" t="str">
        <f t="shared" si="0"/>
        <v>{szContent="的带领下，成功击退陶寒亭！",szNote="主场·浩气·张桎辕·击退·恶人·陶寒亭·首领",col={100,100,255,},bSearch=true,[20]={},tCountdown={{nClass=20,nIcon=18830,nFrame=5,szName="恶人·陶寒亭·退场",nTime=10,key="王遗风·陶寒亭·减伤",},{nClass=20,nIcon=2399,nFrame=2,szName="召请CD·张桎辕",nTime=0,key="召请CD·张桎辕",},{nClass=20,nIcon=14724,nFrame=7,szName="谢渊·张桎辕·减伤",nTime="300,浩气·张桎辕·减伤3层;600,浩气·张桎辕·减伤2层;900,浩气·张桎辕·减伤1层",nRefresh=0,key="谢渊·张桎辕·减伤",},},},</v>
      </c>
      <c r="N38" t="s">
        <v>6287</v>
      </c>
      <c r="O38" t="s">
        <v>6288</v>
      </c>
      <c r="P38" t="s">
        <v>6289</v>
      </c>
    </row>
    <row r="39" spans="1:18" x14ac:dyDescent="0.15">
      <c r="C39" t="s">
        <v>6290</v>
      </c>
      <c r="D39" t="s">
        <v>6291</v>
      </c>
      <c r="E39" t="s">
        <v>2524</v>
      </c>
      <c r="F39">
        <v>1</v>
      </c>
      <c r="M39" t="str">
        <f t="shared" si="0"/>
        <v>{szContent="的带领下，成功击退肖药儿！",szNote="主场·浩气·司空仲平·击退·恶人·肖药儿·首领",col={100,100,255,},bSearch=true,[20]={},tCountdown={{nClass=20,nIcon=18830,nFrame=5,szName="恶人·肖药儿·退场",nTime=10,key="王遗风·肖药儿·减伤",},{nClass=20,nIcon=2399,nFrame=2,szName="召请CD·司空仲平",nTime=0,key="召请CD·司空仲平",},{nClass=20,nIcon=14724,nFrame=7,szName="谢渊·司空仲平·减伤",nTime="300,浩气·司空仲平·减伤3层;600,浩气·司空仲平·减伤2层;900,浩气·司空仲平·减伤1层",nRefresh=0,key="谢渊·司空仲平·减伤",},},},</v>
      </c>
      <c r="N39" t="s">
        <v>6292</v>
      </c>
      <c r="O39" t="s">
        <v>6293</v>
      </c>
      <c r="P39" t="s">
        <v>6294</v>
      </c>
    </row>
    <row r="40" spans="1:18" x14ac:dyDescent="0.15">
      <c r="A40" t="s">
        <v>2107</v>
      </c>
      <c r="B40">
        <v>-15</v>
      </c>
      <c r="M40" t="str">
        <f t="shared" si="0"/>
        <v>},[-15]={</v>
      </c>
    </row>
    <row r="41" spans="1:18" x14ac:dyDescent="0.15">
      <c r="C41" t="s">
        <v>6295</v>
      </c>
      <c r="G41">
        <v>1</v>
      </c>
      <c r="M41" t="str">
        <f t="shared" si="0"/>
        <v>{szContent="^本周还可通过配置香膏获得调香经验(%d+)次",bReg=true,[20]={},tCountdown={{nClass=20,nIcon=21596,nFrame=6,szName="本周配置香膏剩余{$1}次",nTime=15,key="调香",},{nClass=20,nIcon=17135,nFrame=2,szName="",nTime=0.01,nRefresh=2,key="调香·0",},{nClass=20,nIcon=17135,nFrame=2,szName="调香·0",nTime=-1,key="调香·0",},{nClass=20,nIcon=17135,nFrame=2,szName="调香·{$1}",nTime=0,key="调香·{$1}",},{nClass=20,nIcon=21596,nFrame=2,szName="配置香膏获得经验已达周上限",nTime=20,nRefresh=1,key="调香·0",},},},</v>
      </c>
      <c r="N41" t="s">
        <v>6296</v>
      </c>
      <c r="O41" t="s">
        <v>6297</v>
      </c>
      <c r="P41" t="s">
        <v>6298</v>
      </c>
      <c r="Q41" t="s">
        <v>6299</v>
      </c>
      <c r="R41" t="s">
        <v>6300</v>
      </c>
    </row>
    <row r="42" spans="1:18" x14ac:dyDescent="0.15">
      <c r="C42" t="s">
        <v>6301</v>
      </c>
      <c r="G42">
        <v>1</v>
      </c>
      <c r="M42" t="str">
        <f t="shared" si="0"/>
        <v>{szContent="^家园储物箱增加(%d+)个【(.-)】。",bReg=true,[20]={},tCountdown={{nClass=20,nIcon=13556,nFrame=6,szName="储物箱【{$2}】{$1}个",nTime=2,nRefresh=1,key="储物箱·{$2}",},},},</v>
      </c>
      <c r="N42" t="s">
        <v>6302</v>
      </c>
    </row>
    <row r="43" spans="1:18" x14ac:dyDescent="0.15">
      <c r="C43" t="s">
        <v>6303</v>
      </c>
      <c r="M43" t="str">
        <f t="shared" si="0"/>
        <v>{szContent="物件已自动收集到[桑木书柜]中，交互书柜家具可再次查阅。\n",[20]={},tCountdown={{nClass=20,nIcon=13556,nFrame=5,szName="物件已收集到[桑木书柜]中",nTime=2,key="通用提示",},},},</v>
      </c>
      <c r="N43" t="s">
        <v>6304</v>
      </c>
    </row>
    <row r="44" spans="1:18" x14ac:dyDescent="0.15">
      <c r="C44" t="s">
        <v>6305</v>
      </c>
      <c r="M44" t="str">
        <f t="shared" si="0"/>
        <v>{szContent="建造成功\n",[20]={},tCountdown={{nClass=20,nIcon=17135,nFrame=0,szName="建造成功",nTime=5,nRefresh=1,key="家园·建造",},},},</v>
      </c>
      <c r="N44" t="s">
        <v>6306</v>
      </c>
    </row>
    <row r="45" spans="1:18" x14ac:dyDescent="0.15">
      <c r="C45" t="s">
        <v>6307</v>
      </c>
      <c r="D45" t="s">
        <v>6308</v>
      </c>
      <c r="F45">
        <v>1</v>
      </c>
      <c r="K45">
        <v>1</v>
      </c>
      <c r="M45" t="str">
        <f t="shared" si="0"/>
        <v>{szContent="他人床，鼾震天，还睡，还睡？“{$me}”侠士在",szNote="触发奇遇·白日梦",bSearch=true,[20]={bCenterAlarm=true,},tCountdown={{nClass=20,nIcon=17135,nFrame=0,bHold=true,szName="恭喜触发奇遇·白日梦",nTime="10,恭喜触发奇遇·白日梦;20,该奇遇不封印;30,预计10分钟完成;60,1.家园市集找·裴草;90,2.前往·稻香村(敬师堂)·稻山野林;120,3.稻山野林\"野\"左边使用·游梦仙枕;150,4.按1变凝血草·对话阿大阿二阿三;180,5.回到·家园市集·裴草",nRefresh=0,key="奇遇提示0",},{nClass=20,nIcon=17135,nFrame=6,bHold=true,szName="前往·家园集市·裴草",nTime=600,key="奇遇提示1",},{nClass=20,nIcon=17135,nFrame=7,bHold=true,szName="稻香村(敬师堂)·稻山野林",nTime=600,key="奇遇提示2",},{nClass=20,nIcon=17135,nFrame=7,bHold=true,szName="\"野\"左边·使用·游梦仙枕",nTime=600,key="奇遇提示3",},},},</v>
      </c>
      <c r="N45" t="s">
        <v>6309</v>
      </c>
      <c r="O45" t="s">
        <v>6310</v>
      </c>
      <c r="P45" t="s">
        <v>6311</v>
      </c>
      <c r="Q45" t="s">
        <v>6312</v>
      </c>
    </row>
    <row r="46" spans="1:18" x14ac:dyDescent="0.15">
      <c r="C46" t="s">
        <v>6313</v>
      </c>
      <c r="D46" t="s">
        <v>6308</v>
      </c>
      <c r="K46">
        <v>1</v>
      </c>
      <c r="M46" t="str">
        <f t="shared" si="0"/>
        <v>{szContent="“{$me}”侠士的睡姿过于奇葩成功引起裴草注意，裴草触发奇遇【白日梦】作为交换，强行将这个睡姿据为己有，取名裴草睡。\n",szNote="触发奇遇·白日梦",[20]={bCenterAlarm=true,},tCountdown={{nClass=20,nIcon=17135,nFrame=0,bHold=true,szName="恭喜触发奇遇·白日梦",nTime="10,恭喜触发奇遇·白日梦;20,该奇遇不封印;30,预计10分钟完成;60,1.家园市集找·裴草;90,2.前往·稻香村(敬师堂)·稻山野林;120,3.稻山野林\"野\"左边使用·游梦仙枕;150,4.按1变凝血草·对话阿大阿二阿三;180,5.回到·家园市集·裴草",nRefresh=0,key="奇遇提示0",},{nClass=20,nIcon=17135,nFrame=6,bHold=true,szName="前往·家园集市·裴草",nTime=600,key="奇遇提示1",},{nClass=20,nIcon=17135,nFrame=7,bHold=true,szName="稻香村(敬师堂)·稻山野林",nTime=600,key="奇遇提示2",},{nClass=20,nIcon=17135,nFrame=7,bHold=true,szName="\"野\"左边·使用·游梦仙枕",nTime=600,key="奇遇提示3",},},},</v>
      </c>
      <c r="N46" t="s">
        <v>6309</v>
      </c>
      <c r="O46" t="s">
        <v>6310</v>
      </c>
      <c r="P46" t="s">
        <v>6311</v>
      </c>
      <c r="Q46" t="s">
        <v>6312</v>
      </c>
    </row>
    <row r="47" spans="1:18" x14ac:dyDescent="0.15">
      <c r="C47" t="s">
        <v>6314</v>
      </c>
      <c r="F47">
        <v>1</v>
      </c>
      <c r="M47" t="str">
        <f t="shared" si="0"/>
        <v>{szContent="园宅啾鸣，主人幸得兔啾青睐。“{$me}”侠士触发奇遇【兔江湖】，真是奇哉！\n",bSearch=true,[20]={},tCountdown={{nClass=20,nIcon=17135,nFrame=0,bHold=true,szName="恭喜触发奇遇·白日梦",nTime="5,恭喜触发奇遇·兔江湖;15,该奇遇封印5日;30,每日预计10分钟完成;60,1.前往·广陵邑集市·阎规;90,2.洛阳·战乱·洛阳城门;120,3.茶馆附近·对话·神秘人;150,4.对话·阎规·对话·鲁小兔;180,5.佛塔前·再对话·鲁小兔",nRefresh=0,key="奇遇提示0",},{nClass=20,nIcon=17135,nFrame=6,bHold=true,szName="前往·广陵邑集市·阎规",nTime=600,key="奇遇提示1",},{nClass=20,nIcon=17135,nFrame=7,bHold=true,szName="洛阳·战乱·洛阳城门",nTime=600,key="奇遇提示2",},{nClass=20,nIcon=17135,nFrame=7,bHold=true,szName="茶馆附近·对话·神秘人",nTime=600,key="奇遇提示3",},},},</v>
      </c>
      <c r="N47" t="s">
        <v>6315</v>
      </c>
      <c r="O47" t="s">
        <v>6316</v>
      </c>
      <c r="P47" t="s">
        <v>5433</v>
      </c>
      <c r="Q47" t="s">
        <v>5434</v>
      </c>
    </row>
    <row r="48" spans="1:18" x14ac:dyDescent="0.15">
      <c r="A48" t="s">
        <v>2142</v>
      </c>
      <c r="B48">
        <v>-7</v>
      </c>
      <c r="M48" t="str">
        <f t="shared" si="0"/>
        <v>},[-7]={</v>
      </c>
    </row>
    <row r="49" spans="3:15" x14ac:dyDescent="0.15">
      <c r="C49" t="s">
        <v>6317</v>
      </c>
      <c r="M49" t="str">
        <f t="shared" si="0"/>
        <v>{szContent="江湖快马飞报！段氏马场发布最新《九州寻驹图》消息：约五到十分钟后，将有宝马良驹在阴山大草原出没！各位侠士可以前往捕捉！切莫错过！\n",[20]={},tCountdown={{nClass=20,nIcon=1899,nFrame=5,bHold=true,szName="阴山大草原·刷马",nTime=300,key="阴山大草原",},},},</v>
      </c>
      <c r="N49" t="s">
        <v>6318</v>
      </c>
    </row>
    <row r="50" spans="3:15" x14ac:dyDescent="0.15">
      <c r="C50" t="s">
        <v>6319</v>
      </c>
      <c r="M50" t="str">
        <f t="shared" si="0"/>
        <v>{szContent="江湖快马飞报！段氏马场发布最新《九州寻驹图》消息：约五到十分钟后，将有宝马良驹在黑戈壁出没！各位侠士可以前往捕捉！切莫错过！\n",[20]={},tCountdown={{nClass=20,nIcon=1899,nFrame=5,bHold=true,szName="黑戈壁·刷马",nTime=300,key="黑戈壁",},},},</v>
      </c>
      <c r="N50" t="s">
        <v>6320</v>
      </c>
    </row>
    <row r="51" spans="3:15" x14ac:dyDescent="0.15">
      <c r="C51" t="s">
        <v>6321</v>
      </c>
      <c r="M51" t="str">
        <f t="shared" si="0"/>
        <v>{szContent="江湖快马飞报！段氏马场发布最新《九州寻驹图》消息：约五到十分钟后，将有宝马良驹在鲲鹏岛出没！各位侠士可以前往捕捉！切莫错过！\n",[20]={},tCountdown={{nClass=20,nIcon=1899,nFrame=5,bHold=true,szName="鲲鹏岛·刷马",nTime=300,key="鲲鹏岛",},},},</v>
      </c>
      <c r="N51" t="s">
        <v>6322</v>
      </c>
    </row>
    <row r="52" spans="3:15" x14ac:dyDescent="0.15">
      <c r="C52" t="s">
        <v>6323</v>
      </c>
      <c r="M52" t="str">
        <f t="shared" si="0"/>
        <v>{szContent="江湖快马飞报！段氏马场发布最新《九州寻驹图》消息：约五到十分钟后，将有宝马良驹在金水镇出没！各位侠士可以前往捕捉！切莫错过！\n",[20]={},tCountdown={{nClass=20,nIcon=1897,nFrame=5,bHold=true,szName="金水镇·刷马",nTime=300,key="金水镇",},},},</v>
      </c>
      <c r="N52" t="s">
        <v>6324</v>
      </c>
    </row>
    <row r="53" spans="3:15" x14ac:dyDescent="0.15">
      <c r="C53" t="s">
        <v>6325</v>
      </c>
      <c r="M53" t="str">
        <f t="shared" si="0"/>
        <v>{szContent="江湖快马飞报！段氏马场发布最新《九州寻驹图》消息：约五到十分钟后，将有宝马良驹在巴陵县出没！各位侠士可以前往捕捉！切莫错过！\n",[20]={},tCountdown={{nClass=20,nIcon=1897,nFrame=5,bHold=true,szName="巴陵县·刷马",nTime=300,key="巴陵县",},},},</v>
      </c>
      <c r="N53" t="s">
        <v>6326</v>
      </c>
    </row>
    <row r="54" spans="3:15" x14ac:dyDescent="0.15">
      <c r="C54" t="s">
        <v>6327</v>
      </c>
      <c r="M54" t="str">
        <f t="shared" si="0"/>
        <v>{szContent="江湖快马飞报！段氏马场发布最新《九州寻驹图》消息：约五到十分钟后，将有宝马良驹在龙门荒漠出没！各位侠士可以前往捕捉！切莫错过！\n",[20]={},tCountdown={{nClass=20,nIcon=1897,nFrame=5,bHold=true,szName="龙门荒漠·刷马",nTime=300,key="龙门荒漠",},},},</v>
      </c>
      <c r="N54" t="s">
        <v>6328</v>
      </c>
    </row>
    <row r="55" spans="3:15" x14ac:dyDescent="0.15">
      <c r="C55" t="s">
        <v>6329</v>
      </c>
      <c r="M55" t="str">
        <f t="shared" si="0"/>
        <v>{szContent="江湖快马飞报！段氏马场发布最新《九州寻驹图》消息：约五到十分钟后，将有宝马良驹在昆仑出没！各位侠士可以前往捕捉！切莫错过！\n",[20]={},tCountdown={{nClass=20,nIcon=1894,nFrame=5,bHold=true,szName="昆仑·刷马",nTime=300,key="昆仑",},},},</v>
      </c>
      <c r="N55" t="s">
        <v>6330</v>
      </c>
    </row>
    <row r="56" spans="3:15" x14ac:dyDescent="0.15">
      <c r="C56" t="s">
        <v>6331</v>
      </c>
      <c r="M56" t="str">
        <f t="shared" si="0"/>
        <v>{szContent="江湖快马飞报！段氏马场发布最新《九州寻驹图》消息：约五到十分钟后，将有宝马良驹在南屏山出没！各位侠士可以前往捕捉！切莫错过！\n",[20]={},tCountdown={{nClass=20,nIcon=1894,nFrame=5,bHold=true,szName="南屏山·刷马",nTime=300,key="南屏山",},},},</v>
      </c>
      <c r="N56" t="s">
        <v>6332</v>
      </c>
    </row>
    <row r="57" spans="3:15" x14ac:dyDescent="0.15">
      <c r="C57" t="s">
        <v>6333</v>
      </c>
      <c r="M57" t="str">
        <f t="shared" si="0"/>
        <v>{szContent="江湖快马飞报！段氏马场发布最新《九州寻驹图》消息：约五到十分钟后，将有宝马良驹在无量山出没！各位侠士可以前往捕捉！切莫错过！\n",[20]={},tCountdown={{nClass=20,nIcon=1894,nFrame=5,bHold=true,szName="无量山·刷马",nTime=300,key="无量山",},},},</v>
      </c>
      <c r="N57" t="s">
        <v>6334</v>
      </c>
    </row>
    <row r="58" spans="3:15" x14ac:dyDescent="0.15">
      <c r="C58" t="s">
        <v>6335</v>
      </c>
      <c r="M58" t="str">
        <f t="shared" si="0"/>
        <v>{szContent="江湖快马飞报！段氏马场发布最新《九州寻驹图》消息：约五到十分钟后，将有宝马良驹在白龙口出没！各位侠士可以前往捕捉！切莫错过！\n",[20]={},tCountdown={{nClass=20,nIcon=1894,nFrame=5,bHold=true,szName="白龙口·刷马",nTime=300,key="白龙口",},},},</v>
      </c>
      <c r="N58" t="s">
        <v>6336</v>
      </c>
    </row>
    <row r="59" spans="3:15" x14ac:dyDescent="0.15">
      <c r="C59" t="s">
        <v>6337</v>
      </c>
      <c r="M59" t="str">
        <f t="shared" si="0"/>
        <v>{szContent="江湖快马飞报！段氏马场发布最新《九州寻驹图》消息：约五到十分钟后，将有宝马良驹在黑龙沼出没！各位侠士可以前往捕捉！切莫错过！\n",[20]={},tCountdown={{nClass=20,nIcon=1898,nFrame=5,bHold=true,szName="黑龙沼·刷马",nTime=300,key="黑龙沼",},},},</v>
      </c>
      <c r="N59" t="s">
        <v>6338</v>
      </c>
    </row>
    <row r="60" spans="3:15" x14ac:dyDescent="0.15">
      <c r="C60" t="s">
        <v>6339</v>
      </c>
      <c r="M60" t="str">
        <f t="shared" si="0"/>
        <v>{szContent="南宫麒：随着暮色降临，扬州、五毒、明教、苍云、战乱天策魂虚场景中的魂灵变得活跃起来，各位方士不妨出魂一探究竟，说不定有意外收获！\n",[20]={},tCountdown={{nClass=20,nIcon=16565,nFrame=5,szName="方士·扬州|五毒|明教",nTime=15,key="方士·开启1",},{nClass=20,nIcon=16565,nFrame=5,szName="方士·苍云|战乱·天策",nTime=15,key="方士·开启2",},},},</v>
      </c>
      <c r="N60" t="s">
        <v>6340</v>
      </c>
      <c r="O60" t="s">
        <v>6341</v>
      </c>
    </row>
    <row r="61" spans="3:15" x14ac:dyDescent="0.15">
      <c r="C61" t="s">
        <v>6342</v>
      </c>
      <c r="M61" t="str">
        <f t="shared" si="0"/>
        <v>{szContent="小马驹的饱食度好像不够了，请及时补充草料。\n",[20]={},tCountdown={{nClass=20,nIcon=219,nFrame=6,szName="该给小马驹补充草料了",nTime=15,nRefresh=600,key="马驹·饱食",},},},</v>
      </c>
      <c r="N61" t="s">
        <v>6343</v>
      </c>
    </row>
    <row r="62" spans="3:15" x14ac:dyDescent="0.15">
      <c r="C62" t="s">
        <v>6344</v>
      </c>
      <c r="M62" t="str">
        <f t="shared" si="0"/>
        <v>{szContent="隐元密报：狼牙军即将押送颜氏老妇到内城西市法场斩首示众！颜氏一门满门忠烈，还望各路侠士即刻前往搭救！\n",[20]={},tCountdown={{nClass=20,nIcon=3320,nFrame=0,szName="长安城·搭救颜老太太",nTime=10,key="系统事件",},},},</v>
      </c>
      <c r="N62" t="s">
        <v>6345</v>
      </c>
    </row>
    <row r="63" spans="3:15" x14ac:dyDescent="0.15">
      <c r="C63" t="s">
        <v>6346</v>
      </c>
      <c r="M63" t="str">
        <f t="shared" si="0"/>
        <v>{szContent="交易行私货正在拍卖九寨沟·镜海7200平【万年金券】，侠士们切勿错过！\n",[20]={},tCountdown={{nClass=20,nIcon=11432,nFrame=0,szName="私货·九寨沟·镜海·万年金券",nTime=10,key="私货",},},},</v>
      </c>
      <c r="N63" t="s">
        <v>6347</v>
      </c>
    </row>
    <row r="64" spans="3:15" x14ac:dyDescent="0.15">
      <c r="C64" t="s">
        <v>6348</v>
      </c>
      <c r="M64" t="str">
        <f t="shared" si="0"/>
        <v>{szContent="交易行私货正在拍卖广陵邑7200平【园宅置业·天苑】，侠士们切勿错过！\n",[20]={},tCountdown={{nClass=20,nIcon=12461,nFrame=0,szName="私货·广陵邑·天苑·园宅置业",nTime=10,key="私货",},},},</v>
      </c>
      <c r="N64" t="s">
        <v>6349</v>
      </c>
    </row>
    <row r="65" spans="3:17" x14ac:dyDescent="0.15">
      <c r="C65" t="s">
        <v>6350</v>
      </c>
      <c r="M65" t="str">
        <f t="shared" si="0"/>
        <v>{szContent="帮会领地唱晚池突现异常，各类鱼儿异常活跃，鱼儿上钩时间大大缩短！各路已满80级的侠士可前往一试，定能收获不菲。\n",[20]={},tCountdown={{nClass=20,nIcon=2678,nFrame=6,szName="帮会钓鱼活动·开启",nTime=15,nRefresh=1,key="帮会钓鱼",},},},</v>
      </c>
      <c r="N65" t="s">
        <v>6351</v>
      </c>
    </row>
    <row r="66" spans="3:17" x14ac:dyDescent="0.15">
      <c r="C66" t="s">
        <v>6352</v>
      </c>
      <c r="D66" t="s">
        <v>6353</v>
      </c>
      <c r="E66" t="s">
        <v>2718</v>
      </c>
      <c r="G66">
        <v>1</v>
      </c>
      <c r="M66" t="str">
        <f t="shared" ref="M66:M129" si="1">IF(ISBLANK(B66)=FALSE,IF(ISBLANK(B65),"},["&amp;B66&amp;"]={","["&amp;B66&amp;"]={"),IF(AND(ISBLANK(B66),ISBLANK(C66),ISBLANK(F66),ISBLANK(G66),OR(ISBLANK(B65)=FALSE,ISBLANK(C65)=FALSE,ISBLANK(F65)=FALSE,ISBLANK(G65)=FALSE)),"},},}",IF(ISBLANK(C66),"","{szContent="""&amp;C66&amp;""","&amp;IF(D66&lt;&gt;"","szNote="""&amp;D66&amp;""",","")&amp;IF(E66&lt;&gt;"","col={"&amp;E66&amp;"},","")&amp;IF(F66&gt;0,"bSearch=true,","")&amp;IF(G66&gt;0,"bReg=true,","")&amp;"[20]={"&amp;IF(H66&gt;0,"szVoice="""&amp;H66&amp;""",","")&amp;IF(I66&gt;0,"bTeamChannel=true,","")&amp;IF(J66&gt;0,"bWhisperChannel=true,","")&amp;IF(K66&gt;0,"bCenterAlarm=true,","")&amp;IF(L66&gt;0,"bScreenHead=true,","")&amp;"},"&amp;IF(N66&lt;&gt;"","tCountdown={"&amp;_xlfn.TEXTJOIN("",TRUE,N66:ZZ66)&amp;"},","")&amp;"},")))</f>
        <v>{szContent="(.*)已经添加你为敌对，将在5秒后对你开启战斗。",szNote="{$1}·仇敌",col={255,255,100,},bReg=true,[20]={},tCountdown={{nClass=20,nIcon=20116,nFrame=5,szName="{$1}·添加你为仇敌",nTime=10,key="仇敌",},},},</v>
      </c>
      <c r="N66" t="s">
        <v>6354</v>
      </c>
    </row>
    <row r="67" spans="3:17" x14ac:dyDescent="0.15">
      <c r="C67" t="s">
        <v>6355</v>
      </c>
      <c r="D67" t="s">
        <v>6356</v>
      </c>
      <c r="E67" t="s">
        <v>3614</v>
      </c>
      <c r="K67">
        <v>1</v>
      </c>
      <c r="M67" t="str">
        <f t="shared" si="1"/>
        <v>{szContent="江湖快报！卫栖梧正在寻找绝世轻功之人，其友[唐文羽]已在少林举办梅花桩试炼大赛，望广大轻功能人速来少林参赛！\n",szNote="扶摇九天·开启",col={100,255,255,},[20]={bCenterAlarm=true,},tCountdown={{nClass=20,nIcon=12372,nFrame=3,szName="少林·扶摇九天·开启",nTime=20,key="扶摇九天",},},},</v>
      </c>
      <c r="N67" t="s">
        <v>6357</v>
      </c>
    </row>
    <row r="68" spans="3:17" x14ac:dyDescent="0.15">
      <c r="C68" t="s">
        <v>6358</v>
      </c>
      <c r="M68" t="str">
        <f t="shared" si="1"/>
        <v>{szContent="关闭阵营模式失败。\n",[20]={},tCountdown={{nClass=20,nIcon=3536,nFrame=4,szName="阵营模式",nTime=0,key="阵营模式",},{nClass=20,nIcon=3536,nFrame=5,szName="关闭阵营剩余",nTime=0,key="关闭阵营剩余",},{nClass=20,nIcon=3536,nFrame=3,szName="关闭阵营模式失败",nTime=2,nRefresh=600,key="关阵营·失败提示1",},},},</v>
      </c>
      <c r="N68" t="s">
        <v>6359</v>
      </c>
      <c r="O68" t="s">
        <v>6360</v>
      </c>
      <c r="P68" t="s">
        <v>6361</v>
      </c>
    </row>
    <row r="69" spans="3:17" x14ac:dyDescent="0.15">
      <c r="C69" t="s">
        <v>6362</v>
      </c>
      <c r="M69" t="str">
        <f t="shared" si="1"/>
        <v>{szContent="关闭阵营模式剩余时间：5分钟。\n",[20]={},tCountdown={{nClass=20,nIcon=13,nFrame=4,szName="关闭阵营模式",nTime=300,key="阵营模式",},},},</v>
      </c>
      <c r="N69" t="s">
        <v>6363</v>
      </c>
    </row>
    <row r="70" spans="3:17" x14ac:dyDescent="0.15">
      <c r="C70" t="s">
        <v>6364</v>
      </c>
      <c r="M70" t="str">
        <f t="shared" si="1"/>
        <v>{szContent="关闭阵营模式剩余时间：4分钟。\n",[20]={},tCountdown={{nClass=20,nIcon=13,nFrame=4,szName="关闭阵营模式",nTime=240,key="阵营模式",},},},</v>
      </c>
      <c r="N70" t="s">
        <v>6365</v>
      </c>
    </row>
    <row r="71" spans="3:17" x14ac:dyDescent="0.15">
      <c r="C71" t="s">
        <v>6366</v>
      </c>
      <c r="M71" t="str">
        <f t="shared" si="1"/>
        <v>{szContent="关闭阵营模式剩余时间：3分钟。\n",[20]={},tCountdown={{nClass=20,nIcon=13,nFrame=4,szName="关闭阵营模式",nTime=180,key="阵营模式",},},},</v>
      </c>
      <c r="N71" t="s">
        <v>6367</v>
      </c>
    </row>
    <row r="72" spans="3:17" x14ac:dyDescent="0.15">
      <c r="C72" t="s">
        <v>6368</v>
      </c>
      <c r="M72" t="str">
        <f t="shared" si="1"/>
        <v>{szContent="关闭阵营模式剩余时间：2分钟。\n",[20]={},tCountdown={{nClass=20,nIcon=13,nFrame=4,szName="关闭阵营模式",nTime=120,key="阵营模式",},},},</v>
      </c>
      <c r="N72" t="s">
        <v>6369</v>
      </c>
    </row>
    <row r="73" spans="3:17" x14ac:dyDescent="0.15">
      <c r="C73" t="s">
        <v>6370</v>
      </c>
      <c r="M73" t="str">
        <f t="shared" si="1"/>
        <v>{szContent="关闭阵营模式剩余时间：1分钟。\n",[20]={},tCountdown={{nClass=20,nIcon=13,nFrame=4,szName="关闭阵营模式",nTime=60.2,key="阵营模式",},},},</v>
      </c>
      <c r="N73" t="s">
        <v>6371</v>
      </c>
    </row>
    <row r="74" spans="3:17" x14ac:dyDescent="0.15">
      <c r="C74" t="s">
        <v>6372</v>
      </c>
      <c r="D74" t="s">
        <v>6373</v>
      </c>
      <c r="G74">
        <v>1</v>
      </c>
      <c r="M74" t="str">
        <f t="shared" si="1"/>
        <v>{szContent="^密探来报：\"(.-)\"(.-)出现在(跨服烂柯山)[前尘影事]-[“]-([峥嵘振武]-)[”]-([主分线]-)，",szNote="世界首领·出现",bReg=true,[20]={},tCountdown={{nClass=20,nIcon=17135,nFrame=3,szName="{$1}·{$2}·{$3}·{$5}{$4}",nTime=20,nRefresh=60,key="世界首领",},},},</v>
      </c>
      <c r="N74" t="s">
        <v>6374</v>
      </c>
    </row>
    <row r="75" spans="3:17" x14ac:dyDescent="0.15">
      <c r="C75" t="s">
        <v>6375</v>
      </c>
      <c r="D75" t="s">
        <v>6376</v>
      </c>
      <c r="M75" t="str">
        <f t="shared" si="1"/>
        <v>{szContent="江湖急报：巴陵县出现罕见异兽，请深通驭兽秘术之侠客前往收服，以解百姓之忧。\n",szNote="巴陵御兽·开启",[20]={},tCountdown={{nClass=20,nIcon=17135,nFrame=3,szName="巴陵·御兽挑战·开启",nTime=10,key="巴陵县御兽挑战",},},},</v>
      </c>
      <c r="N75" t="s">
        <v>6377</v>
      </c>
    </row>
    <row r="76" spans="3:17" x14ac:dyDescent="0.15">
      <c r="C76" t="s">
        <v>6378</v>
      </c>
      <c r="D76" t="s">
        <v>6379</v>
      </c>
      <c r="E76" t="s">
        <v>2718</v>
      </c>
      <c r="M76" t="str">
        <f t="shared" si="1"/>
        <v>{szContent="阴山商路运输物资成功开启！请帮会有权限的侠士到黑戈壁帮会物资主簿处申请成为运货首领开始运送！\n",szNote="阴山商路·开启",col={255,255,100,},[20]={},tCountdown={{nClass=20,nIcon=17135,nFrame=0,szName="阴山商路·帮会大跑商·开启",nTime=10,nRefresh=3600,key="阴山商路",},},},</v>
      </c>
      <c r="N76" t="s">
        <v>6380</v>
      </c>
    </row>
    <row r="77" spans="3:17" x14ac:dyDescent="0.15">
      <c r="C77" t="s">
        <v>6381</v>
      </c>
      <c r="M77" t="str">
        <f t="shared" si="1"/>
        <v>{szContent="你成功关闭了阵营模式。\n",[20]={},tCountdown={{nClass=20,nIcon=3536,nFrame=5,szName="阵营模式",nTime=0,key="阵营模式",},{nClass=20,nIcon=3536,nFrame=5,szName="关闭阵营剩余",nTime=0,key="关闭阵营剩余",},{nClass=20,nIcon=3536,nFrame=5,szName="关阵营·失败提示1",nTime=0,key="关阵营·失败提示1",},{nClass=20,nIcon=3536,nFrame=5,szName="关阵营·失败提示2",nTime=0,key="关阵营·失败提示2",},},},</v>
      </c>
      <c r="N77" t="s">
        <v>6382</v>
      </c>
      <c r="O77" t="s">
        <v>6360</v>
      </c>
      <c r="P77" t="s">
        <v>6383</v>
      </c>
      <c r="Q77" t="s">
        <v>6384</v>
      </c>
    </row>
    <row r="78" spans="3:17" x14ac:dyDescent="0.15">
      <c r="C78" t="s">
        <v>6385</v>
      </c>
      <c r="M78" t="str">
        <f t="shared" si="1"/>
        <v>{szContent="你的师父婉拒了你的召请。\n",[20]={},tCountdown={{nClass=20,nIcon=17135,nFrame=5,szName="师傅·婉拒召请",nTime=2,key="师徒·召请",},},},</v>
      </c>
      <c r="N78" t="s">
        <v>6386</v>
      </c>
    </row>
    <row r="79" spans="3:17" x14ac:dyDescent="0.15">
      <c r="C79" t="s">
        <v>6387</v>
      </c>
      <c r="M79" t="str">
        <f t="shared" si="1"/>
        <v>{szContent="你的徒弟婉拒了你的召请。\n",[20]={},tCountdown={{nClass=20,nIcon=17135,nFrame=5,szName="徒弟·婉拒召请",nTime=2,key="师徒·召请",},},},</v>
      </c>
      <c r="N79" t="s">
        <v>6388</v>
      </c>
    </row>
    <row r="80" spans="3:17" x14ac:dyDescent="0.15">
      <c r="C80" t="s">
        <v>6389</v>
      </c>
      <c r="D80" t="s">
        <v>6390</v>
      </c>
      <c r="K80">
        <v>1</v>
      </c>
      <c r="M80" t="str">
        <f t="shared" si="1"/>
        <v>{szContent="援助关系绑定成功，退队可主动解除，但会受到一定惩罚。若对方离线，主动退队解除关系将不受惩罚。\n",szNote="援助·已绑定",[20]={bCenterAlarm=true,},tCountdown={{nClass=20,nIcon=17135,nFrame=0,szName="援助·已绑定",nTime=10,key="援助",},},},</v>
      </c>
      <c r="N80" t="s">
        <v>6391</v>
      </c>
    </row>
    <row r="81" spans="3:30" x14ac:dyDescent="0.15">
      <c r="C81" t="s">
        <v>6392</v>
      </c>
      <c r="D81" t="s">
        <v>6393</v>
      </c>
      <c r="K81">
        <v>1</v>
      </c>
      <c r="M81" t="str">
        <f t="shared" si="1"/>
        <v>{szContent="您的宠物已消除忧虑，变得活泼欢快。\n",szNote="宠物已消除忧虑",[20]={bCenterAlarm=true,},},</v>
      </c>
    </row>
    <row r="82" spans="3:30" x14ac:dyDescent="0.15">
      <c r="C82" t="s">
        <v>6394</v>
      </c>
      <c r="D82" t="s">
        <v>6395</v>
      </c>
      <c r="F82">
        <v>1</v>
      </c>
      <c r="K82">
        <v>1</v>
      </c>
      <c r="M82" t="str">
        <f t="shared" si="1"/>
        <v>{szContent="已切换到“摁键发言”模式，",szNote="麦克风·摁键发言",bSearch=true,[20]={bCenterAlarm=true,},tCountdown={{nClass=20,nIcon=13308,nFrame=5,szName="麦克风·摁键发言",nTime=2,key="麦克风",},},},</v>
      </c>
      <c r="N82" t="s">
        <v>6396</v>
      </c>
    </row>
    <row r="83" spans="3:30" x14ac:dyDescent="0.15">
      <c r="C83" t="s">
        <v>6397</v>
      </c>
      <c r="M83" t="str">
        <f t="shared" si="1"/>
        <v>{szContent="该玩家不存在。\n",[20]={},tCountdown={{nClass=20,nIcon=2116,nFrame=6,szName="该玩家不存在",nTime=5,key="社交",},},},</v>
      </c>
      <c r="N83" t="s">
        <v>6398</v>
      </c>
    </row>
    <row r="84" spans="3:30" x14ac:dyDescent="0.15">
      <c r="C84" t="s">
        <v>6399</v>
      </c>
      <c r="M84" t="str">
        <f t="shared" si="1"/>
        <v>{szContent="对方不在线。\n",[20]={},tCountdown={{nClass=20,nIcon=2116,nFrame=6,szName="对方不在线",nTime=5,key="社交",},},},</v>
      </c>
      <c r="N84" t="s">
        <v>6400</v>
      </c>
    </row>
    <row r="85" spans="3:30" x14ac:dyDescent="0.15">
      <c r="C85" t="s">
        <v>6401</v>
      </c>
      <c r="F85">
        <v>1</v>
      </c>
      <c r="M85" t="str">
        <f t="shared" si="1"/>
        <v>{szContent="你已进入地图",bSearch=true,[20]={},tCountdown={{nClass=20,nIcon=13,nFrame=5,szName="金水镇",nTime=-2,key="金水镇",},{nClass=20,nIcon=13,nFrame=5,szName="巴陵县",nTime=-2,key="巴陵县",},{nClass=20,nIcon=13,nFrame=5,szName="龙门荒漠",nTime=-2,key="龙门荒漠",},{nClass=20,nIcon=13,nFrame=5,szName="南屏山",nTime=-2,key="南屏山",},{nClass=20,nIcon=13,nFrame=5,szName="昆仑",nTime=-2,key="昆仑",},{nClass=20,nIcon=13,nFrame=5,szName="白龙口",nTime=-2,key="白龙口",},{nClass=20,nIcon=13,nFrame=5,szName="无量山",nTime=-2,key="无量山",},{nClass=20,nIcon=13,nFrame=5,szName="黑龙沼",nTime=-2,key="黑龙沼",},{nClass=20,nIcon=13,nFrame=5,szName="阴山大草原",nTime=-2,key="阴山大草原",},{nClass=20,nIcon=13,nFrame=5,szName="黑戈壁",nTime=-2,key="黑戈壁",},{nClass=20,nIcon=13,nFrame=5,szName="鲲鹏岛",nTime=-2,key="鲲鹏岛",},{nClass=20,nIcon=1465,nFrame=-1,szName="　",nTime=0.001,nRefresh=2,key="炊事",},{nClass=20,nIcon=13,nFrame=5,szName="炊事",nTime=-1,key="炊事",},{nClass=20,nIcon=1465,nFrame=-1,szName="　",nTime=0.001,nRefresh=3,key="骑御·劲足",},{nClass=20,nIcon=13,nFrame=5,szName="骑御·劲足",nTime=-1,key="骑御·劲足",},{nClass=20,nIcon=1465,nFrame=-1,szName="　",nTime=0.001,nRefresh=3,key="骑御·调息",},{nClass=20,nIcon=13,nFrame=5,szName="骑御·调息",nTime=-1,key="骑御·调息",},},},</v>
      </c>
      <c r="N85" t="s">
        <v>6402</v>
      </c>
      <c r="O85" t="s">
        <v>6403</v>
      </c>
      <c r="P85" t="s">
        <v>6404</v>
      </c>
      <c r="Q85" t="s">
        <v>6405</v>
      </c>
      <c r="R85" t="s">
        <v>6406</v>
      </c>
      <c r="S85" t="s">
        <v>6407</v>
      </c>
      <c r="T85" t="s">
        <v>6408</v>
      </c>
      <c r="U85" t="s">
        <v>6409</v>
      </c>
      <c r="V85" t="s">
        <v>6410</v>
      </c>
      <c r="W85" t="s">
        <v>6411</v>
      </c>
      <c r="X85" t="s">
        <v>6412</v>
      </c>
      <c r="Y85" t="s">
        <v>6413</v>
      </c>
      <c r="Z85" t="s">
        <v>6414</v>
      </c>
      <c r="AA85" t="s">
        <v>6415</v>
      </c>
      <c r="AB85" t="s">
        <v>6416</v>
      </c>
      <c r="AC85" t="s">
        <v>6417</v>
      </c>
      <c r="AD85" t="s">
        <v>6418</v>
      </c>
    </row>
    <row r="86" spans="3:30" x14ac:dyDescent="0.15">
      <c r="C86" t="s">
        <v>6419</v>
      </c>
      <c r="G86">
        <v>1</v>
      </c>
      <c r="M86" t="str">
        <f t="shared" si="1"/>
        <v>{szContent="^本日还能从本事件获得(%d-)贡献度的奖励。",bReg=true,[20]={},tCountdown={{nClass=20,nIcon=13,nFrame=7,szName="贡献度上限剩余·{$1}",nTime=15,key="公共事件·结算",},},},</v>
      </c>
      <c r="N86" t="s">
        <v>6420</v>
      </c>
    </row>
    <row r="87" spans="3:30" x14ac:dyDescent="0.15">
      <c r="C87" t="s">
        <v>6421</v>
      </c>
      <c r="G87">
        <v>1</v>
      </c>
      <c r="M87" t="str">
        <f t="shared" si="1"/>
        <v>{szContent="^%[(.-)%]：(%d+)/(%d%d)\n",bReg=true,[20]={},tCountdown={{nClass=20,nIcon=15678,nFrame=6,szName="{$1}·{$2}/{$3}",nTime=5,key="成就进度",},},},</v>
      </c>
      <c r="N87" t="s">
        <v>6422</v>
      </c>
    </row>
    <row r="88" spans="3:30" x14ac:dyDescent="0.15">
      <c r="C88" t="s">
        <v>6423</v>
      </c>
      <c r="D88" t="s">
        <v>6424</v>
      </c>
      <c r="E88" t="s">
        <v>2718</v>
      </c>
      <c r="G88">
        <v>1</v>
      </c>
      <c r="M88" t="str">
        <f t="shared" si="1"/>
        <v>{szContent="([浩气恶人]+)[盟谷]-的【(.-)】帮会成功占领【(.-)】据点！",szNote="{$3}·{$1}占领",col={255,255,100,},bReg=true,[20]={},tCountdown={{nClass=20,nIcon=20114,nFrame=3,szName="【{$3}】·恶人占领",nTime=30,nRefresh=1,key="{$3}·浩气占领",},{nClass=20,nIcon=20122,nFrame=7,szName="【{$3}】·浩气占领",nTime=30,nRefresh=1,key="{$3}·恶人占领",},{nClass=20,nIcon=2400,nFrame=7,szName="{$3}·{$1}占领",nTime=-1,key="{$3}·{$1}占领",},},},</v>
      </c>
      <c r="N88" t="s">
        <v>6425</v>
      </c>
      <c r="O88" t="s">
        <v>6426</v>
      </c>
      <c r="P88" t="s">
        <v>6427</v>
      </c>
    </row>
    <row r="89" spans="3:30" x14ac:dyDescent="0.15">
      <c r="C89" t="s">
        <v>6428</v>
      </c>
      <c r="E89" t="s">
        <v>2524</v>
      </c>
      <c r="F89">
        <v>1</v>
      </c>
      <c r="M89" t="str">
        <f t="shared" si="1"/>
        <v>{szContent="留下大量军功，请“浩气盟”侠士们前来拾取，切莫错过。",col={100,100,255,},bSearch=true,[20]={},tCountdown={{nClass=20,nIcon=2397,nFrame=5,szName="浩气盟·拾取首领掉落",nTime="300,浩气盟·拾取首领掉落;600,狼牙先锋首领·5分钟刷新;622,狼牙先锋首领·即将刷新",nRefresh=1,key="狼牙先锋首领",},},},</v>
      </c>
      <c r="N89" t="s">
        <v>6429</v>
      </c>
    </row>
    <row r="90" spans="3:30" x14ac:dyDescent="0.15">
      <c r="C90" t="s">
        <v>6430</v>
      </c>
      <c r="E90" t="s">
        <v>2529</v>
      </c>
      <c r="F90">
        <v>1</v>
      </c>
      <c r="M90" t="str">
        <f t="shared" si="1"/>
        <v>{szContent="留下大量军功，请“恶人谷”侠士们前来拾取，切莫错过。",col={255,100,100,},bSearch=true,[20]={},tCountdown={{nClass=20,nIcon=2398,nFrame=3,szName="恶人谷·拾取首领掉落",nTime="300,恶人谷·拾取首领掉落;600,狼牙先锋首领·5分钟刷新;622,狼牙先锋首领·即将刷新",nRefresh=1,key="狼牙先锋首领",},},},</v>
      </c>
      <c r="N90" t="s">
        <v>6431</v>
      </c>
    </row>
    <row r="91" spans="3:30" x14ac:dyDescent="0.15">
      <c r="C91" t="s">
        <v>6432</v>
      </c>
      <c r="E91" t="s">
        <v>2718</v>
      </c>
      <c r="M91" t="str">
        <f t="shared" si="1"/>
        <v>{szContent="本场贡献值进入前1200名，额外获得3000威名，可通过邮件领取\n",col={255,255,100,},[20]={},tCountdown={{nClass=20,nIcon=3536,nFrame=6,szName="攻防进入前1200名",nTime=10,key="攻防活动",},},},</v>
      </c>
      <c r="N91" t="s">
        <v>6433</v>
      </c>
    </row>
    <row r="92" spans="3:30" x14ac:dyDescent="0.15">
      <c r="C92" t="s">
        <v>6434</v>
      </c>
      <c r="D92" t="s">
        <v>6435</v>
      </c>
      <c r="E92" t="s">
        <v>2718</v>
      </c>
      <c r="K92">
        <v>1</v>
      </c>
      <c r="M92" t="str">
        <f t="shared" si="1"/>
        <v>{szContent="据点争夺已结束，所有交通已恢复。\n",szNote="据点攻防·已结束",col={255,255,100,},[20]={bCenterAlarm=true,},tCountdown={{nClass=20,nIcon=3536,nFrame=3,szName="据点攻防结束",nTime=5,key="攻防活动",},{nClass=20,nIcon=3556,nFrame=3,szName="狼牙先锋首领",nTime=0,key="狼牙先锋首领",},},},</v>
      </c>
      <c r="N92" t="s">
        <v>6436</v>
      </c>
      <c r="O92" t="s">
        <v>6437</v>
      </c>
    </row>
    <row r="93" spans="3:30" x14ac:dyDescent="0.15">
      <c r="C93" t="s">
        <v>6438</v>
      </c>
      <c r="E93" t="s">
        <v>2524</v>
      </c>
      <c r="M93" t="str">
        <f t="shared" si="1"/>
        <v>{szContent="浩气盟前线战况空前激烈！未能进入浩气盟前线据点争夺场景参与战斗的侠士，可前往黑戈壁助本阵营后方物资运送一臂之力！只需完成增援任务，也可以参与本日逐鹿中原结算奖励发放。\n",col={100,100,255,},[20]={},tCountdown={{nClass=20,nIcon=18784,nFrame=7,szName="浩气盟·小攻防·黑戈壁分流",nTime=30,nRefresh=3600,key="浩气盟·小攻防·黑戈壁分流",},},},</v>
      </c>
      <c r="N93" t="s">
        <v>6439</v>
      </c>
    </row>
    <row r="94" spans="3:30" x14ac:dyDescent="0.15">
      <c r="C94" t="s">
        <v>6440</v>
      </c>
      <c r="E94" t="s">
        <v>2529</v>
      </c>
      <c r="M94" t="str">
        <f t="shared" si="1"/>
        <v>{szContent="恶人谷前线战况空前激烈！未能进入恶人谷前线据点争夺场景参与战斗的侠士，可前往黑戈壁助本阵营后方物资运送一臂之力！只需完成增援任务，也可以参与本日逐鹿中原结算奖励发放。\n",col={255,100,100,},[20]={},tCountdown={{nClass=20,nIcon=18783,nFrame=3,szName="恶人谷·小攻防·黑戈壁分流",nTime=30,nRefresh=3600,key="恶人谷·小攻防·黑戈壁分流",},},},</v>
      </c>
      <c r="N94" t="s">
        <v>6441</v>
      </c>
    </row>
    <row r="95" spans="3:30" x14ac:dyDescent="0.15">
      <c r="C95" t="s">
        <v>6442</v>
      </c>
      <c r="E95" t="s">
        <v>2718</v>
      </c>
      <c r="M95" t="str">
        <f t="shared" si="1"/>
        <v>{szContent="阴山大草原·分线据点争夺正式开始，场景内交通已中断。\n",col={255,255,100,},[20]={},tCountdown={{nClass=20,nIcon=3536,nFrame=3,szName="小攻防·阴山大草原·分流",nTime=10,nRefresh=3600,key="小攻防·阴山大草原·分流",},},},</v>
      </c>
      <c r="N95" t="s">
        <v>6443</v>
      </c>
    </row>
    <row r="96" spans="3:30" x14ac:dyDescent="0.15">
      <c r="C96" t="s">
        <v>6444</v>
      </c>
      <c r="E96" t="s">
        <v>2718</v>
      </c>
      <c r="M96" t="str">
        <f t="shared" si="1"/>
        <v>{szContent="前线战况空前激烈！未能进入前线据点争夺场景参与战斗的侠士，可前往阴山大草原助本阵营后方物资运送一臂之力！只需完成增援任务，也可以参与本日逐鹿中原结算奖励发放。\n",col={255,255,100,},[20]={},tCountdown={{nClass=20,nIcon=3536,nFrame=3,szName="小攻防·阴山大草原·分流",nTime=10,nRefresh=3600,key="小攻防·阴山大草原·分流",},},},</v>
      </c>
      <c r="N96" t="s">
        <v>6443</v>
      </c>
    </row>
    <row r="97" spans="1:51" x14ac:dyDescent="0.15">
      <c r="C97" t="s">
        <v>6445</v>
      </c>
      <c r="E97" t="s">
        <v>2718</v>
      </c>
      <c r="M97" t="str">
        <f t="shared" si="1"/>
        <v>{szContent="逐鹿中原前线战况空前激烈，位于阴山大草原的分线据点争夺将于5分钟后开启！未能进入前线据点争夺场景的侠士可从沙盘地图（Ctrl + M）动态分线入口，或主城战场区小曾和小珍处进入分线场景。\n",col={255,255,100,},[20]={},tCountdown={{nClass=20,nIcon=3536,nFrame=3,szName="小攻防·阴山大草原·分流",nTime=10,nRefresh=3600,key="小攻防·阴山大草原·分流",},},},</v>
      </c>
      <c r="N97" t="s">
        <v>6443</v>
      </c>
    </row>
    <row r="98" spans="1:51" x14ac:dyDescent="0.15">
      <c r="C98" t="s">
        <v>6446</v>
      </c>
      <c r="D98" t="s">
        <v>6447</v>
      </c>
      <c r="E98" t="s">
        <v>2718</v>
      </c>
      <c r="K98">
        <v>1</v>
      </c>
      <c r="M98" t="str">
        <f t="shared" si="1"/>
        <v>{szContent="前线据点之争已经打响，争夺正式开始，沙盘地图（CTRL + M）绘有详细战略意图，谁将称霸中原，我们拭目以待！\n",szNote="据点攻防·正式开始",col={255,255,100,},[20]={bCenterAlarm=true,},tCountdown={{nClass=20,nIcon=3536,nFrame=0,szName="据点攻防·正式开始",nTime=10,nRefresh=1,key="攻防活动",},},},</v>
      </c>
      <c r="N98" t="s">
        <v>6448</v>
      </c>
    </row>
    <row r="99" spans="1:51" x14ac:dyDescent="0.15">
      <c r="C99" t="s">
        <v>6449</v>
      </c>
      <c r="E99" t="s">
        <v>2718</v>
      </c>
      <c r="M99" t="str">
        <f t="shared" si="1"/>
        <v>{szContent="攻防排队即将开始，为公平起见，对排队做了清空处理，请侠士速速重新排队。",col={255,255,100,},[20]={},tCountdown={{nClass=20,nIcon=3536,nFrame=0,szName="攻防排队·失效",nTime=2,key="攻防活动",},},},</v>
      </c>
      <c r="N99" t="s">
        <v>6450</v>
      </c>
    </row>
    <row r="100" spans="1:51" x14ac:dyDescent="0.15">
      <c r="C100" t="s">
        <v>6451</v>
      </c>
      <c r="E100" t="s">
        <v>2718</v>
      </c>
      <c r="M100" t="str">
        <f t="shared" si="1"/>
        <v>{szContent="据点争夺战即将开始，为防弄虚作假者，即将对据点活动地图进行清场操作，请各阵营侠士做好准备。拥有据点地图优先进入权的帮众可提前进入地图以作防守准备，不会被清出地图。\n",col={255,255,100,},[20]={},tCountdown={{nClass=20,nIcon=3536,nFrame=0,szName="据点争夺战·开始排队",nTime=10,key="攻防活动",},{nClass=-1,nIcon=439,nFrame=0,szName="60,小攻防排队正式开始;180,小攻防据点清场;480,等待放人",nTime=0,},},},</v>
      </c>
      <c r="N100" t="s">
        <v>6452</v>
      </c>
      <c r="O100" t="s">
        <v>6453</v>
      </c>
    </row>
    <row r="101" spans="1:51" x14ac:dyDescent="0.15">
      <c r="C101" t="s">
        <v>6454</v>
      </c>
      <c r="E101" t="s">
        <v>2718</v>
      </c>
      <c r="M101" t="str">
        <f t="shared" si="1"/>
        <v>{szContent="阵营攻防首领战奇袭场分线已经开启，现可前往本日奇袭场分线参与争夺，也可通过主城战场区分线接引人前往各个奇袭场分线参与。\n",col={255,255,100,},[20]={},tCountdown={{nClass=20,nIcon=3536,nFrame=3,szName="攻防·奇袭场·分线·开启",nTime=10,nRefresh=7200,key="大攻防·分流",},},},</v>
      </c>
      <c r="N101" t="s">
        <v>6455</v>
      </c>
    </row>
    <row r="102" spans="1:51" x14ac:dyDescent="0.15">
      <c r="C102" t="s">
        <v>6456</v>
      </c>
      <c r="E102" t="s">
        <v>2529</v>
      </c>
      <c r="M102" t="str">
        <f t="shared" si="1"/>
        <v>{szContent="阵营攻防排队正式开始，侠士们速速前往恶人谷地图参与排队，亦可与主城战场的冷倪之、冷允之对话进行排队。\n",col={255,100,100,},[20]={},tCountdown={{nClass=20,nIcon=14889,nFrame=3,szName="阵营攻防排队·正式开始",nTime=60,key="攻防活动",},{nClass=20,nIcon=17582,nFrame=3,szName="主战场·恶人谷",nTime=60,key="大攻防·主战场",},{nClass=20,nIcon=17583,nFrame=7,szName="奇袭场·浩气盟",nTime=60,key="大攻防·奇袭场",},},},</v>
      </c>
      <c r="N102" t="s">
        <v>6457</v>
      </c>
      <c r="O102" t="s">
        <v>6458</v>
      </c>
      <c r="P102" t="s">
        <v>6459</v>
      </c>
    </row>
    <row r="103" spans="1:51" x14ac:dyDescent="0.15">
      <c r="C103" t="s">
        <v>6460</v>
      </c>
      <c r="E103" t="s">
        <v>2524</v>
      </c>
      <c r="M103" t="str">
        <f t="shared" si="1"/>
        <v>{szContent="阵营攻防排队正式开始，侠士们速速前往浩气盟地图参与排队，亦可与主城战场的冷倪之、冷允之对话进行排队。\n",col={100,100,255,},[20]={},tCountdown={{nClass=20,nIcon=14890,nFrame=7,szName="阵营攻防排队·正式开始",nTime=60,key="攻防活动",},{nClass=20,nIcon=17583,nFrame=7,szName="主战场·浩气盟",nTime=60,key="大攻防·主战场",},{nClass=20,nIcon=17582,nFrame=3,szName="奇袭场·恶人谷",nTime=60,key="大攻防·奇袭场",},},},</v>
      </c>
      <c r="N103" t="s">
        <v>6461</v>
      </c>
      <c r="O103" t="s">
        <v>6462</v>
      </c>
      <c r="P103" t="s">
        <v>6463</v>
      </c>
    </row>
    <row r="104" spans="1:51" x14ac:dyDescent="0.15">
      <c r="C104" t="s">
        <v>6464</v>
      </c>
      <c r="E104" t="s">
        <v>2529</v>
      </c>
      <c r="M104" t="str">
        <f t="shared" si="1"/>
        <v>{szContent="阵营攻防战即将开始，为防弄虚作假者，即将对“恶人谷”地图进行清场操作，并在“下午六点三十分”开始攻防排队，请侠士们做好准备。请勿在下午六点三十分前排队，将被视为无效。\n",col={255,100,100,},[20]={},tCountdown={{nClass=20,nIcon=14887,nFrame=0,bHold=true,szName="阵营攻防·恶人谷·18:30排队",nTime=600,key="攻防活动",},},},</v>
      </c>
      <c r="N104" t="s">
        <v>6465</v>
      </c>
    </row>
    <row r="105" spans="1:51" x14ac:dyDescent="0.15">
      <c r="C105" t="s">
        <v>6466</v>
      </c>
      <c r="E105" t="s">
        <v>2529</v>
      </c>
      <c r="M105" t="str">
        <f t="shared" si="1"/>
        <v>{szContent="阵营攻防战即将开始，为防弄虚作假者，即将对“恶人谷”地图进行清场操作，并在“中午十二点三十分”开始攻防排队，请侠士们做好准备。请勿在中午十二点三十分前排队，将被视为无效。\n",col={255,100,100,},[20]={},tCountdown={{nClass=20,nIcon=14887,nFrame=0,bHold=true,szName="阵营攻防·恶人谷·12:30排队",nTime=600,key="攻防活动",},},},</v>
      </c>
      <c r="N105" t="s">
        <v>6467</v>
      </c>
    </row>
    <row r="106" spans="1:51" x14ac:dyDescent="0.15">
      <c r="C106" t="s">
        <v>6468</v>
      </c>
      <c r="E106" t="s">
        <v>2524</v>
      </c>
      <c r="M106" t="str">
        <f t="shared" si="1"/>
        <v>{szContent="阵营攻防战即将开始，为防弄虚作假者，即将对“浩气盟”地图进行清场操作，并在“下午六点三十分”开始攻防排队，请侠士们做好准备。请勿在下午六点三十分前排队，将被视为无效。\n",col={100,100,255,},[20]={},tCountdown={{nClass=20,nIcon=14888,nFrame=0,bHold=true,szName="阵营攻防·浩气盟·18:30排队",nTime=600,key="攻防活动",},},},</v>
      </c>
      <c r="N106" t="s">
        <v>6469</v>
      </c>
    </row>
    <row r="107" spans="1:51" x14ac:dyDescent="0.15">
      <c r="C107" t="s">
        <v>6470</v>
      </c>
      <c r="E107" t="s">
        <v>2524</v>
      </c>
      <c r="M107" t="str">
        <f t="shared" si="1"/>
        <v>{szContent="阵营攻防战即将开始，为防弄虚作假者，即将对“浩气盟”地图进行清场操作，并在“中午十二点三十分”开始攻防排队，请侠士们做好准备。请勿在中午十二点三十分前排队，将被视为无效。\n",col={100,100,255,},[20]={},tCountdown={{nClass=20,nIcon=14888,nFrame=0,bHold=true,szName="阵营攻防·浩气盟·12:30排队",nTime=600,key="攻防活动",},},},</v>
      </c>
      <c r="N107" t="s">
        <v>6471</v>
      </c>
    </row>
    <row r="108" spans="1:51" x14ac:dyDescent="0.15">
      <c r="C108" t="s">
        <v>6472</v>
      </c>
      <c r="E108" t="s">
        <v>2718</v>
      </c>
      <c r="M108" t="str">
        <f t="shared" si="1"/>
        <v>{szContent="为保障各位侠士的安全，浩气盟和恶人谷重新派出了守卫，在野外地图侠士重伤后复活可回到阵营复活点！\n",col={255,255,100,},[20]={},tCountdown={{nClass=20,nIcon=3536,nFrame=0,szName="",nTime="30,阵营玩家复活点改为阵营复活点;600,据点攻防排队剩余18分钟;1200,据点攻防排队剩余8分钟;1380,据点攻防排队剩余5分钟;1440,据点攻防排队剩余4分钟;1500,据点攻防排队剩余3分钟;1560,据点攻防排队剩余2分钟;1620,据点攻防排队剩余60秒;1670,据点攻防排队剩余10秒;1680,据点攻防开始排队;1800,据点攻防清场剩余;3600,据点攻防正式开始剩余",nRefresh=2,key="攻防活动",},},},</v>
      </c>
      <c r="N108" t="s">
        <v>6473</v>
      </c>
    </row>
    <row r="109" spans="1:51" x14ac:dyDescent="0.15">
      <c r="A109" t="s">
        <v>2673</v>
      </c>
      <c r="B109">
        <v>-6</v>
      </c>
      <c r="M109" t="str">
        <f t="shared" si="1"/>
        <v>},[-6]={</v>
      </c>
    </row>
    <row r="110" spans="1:51" x14ac:dyDescent="0.15">
      <c r="C110" t="s">
        <v>6474</v>
      </c>
      <c r="F110">
        <v>1</v>
      </c>
      <c r="M110" t="str">
        <f t="shared" si="1"/>
        <v>{szContent="在《浪客行》中闯过六个关卡",bSearch=true,[20]={},},</v>
      </c>
    </row>
    <row r="111" spans="1:51" x14ac:dyDescent="0.15">
      <c r="C111" t="s">
        <v>6401</v>
      </c>
      <c r="F111">
        <v>1</v>
      </c>
      <c r="M111" t="str">
        <f t="shared" si="1"/>
        <v>{szContent="你已进入地图",bSearch=true,[20]={},tCountdown={{nClass=20,nIcon=13,nFrame=5,szName="关闭阵营剩余",nTime=0,key="关闭阵营剩余",},{nClass=20,nIcon=13,nFrame=2,szName="【鲲鹏岛】刷马",nTime=0,key="【鲲鹏岛】刷马",},{nClass=20,nIcon=13,nFrame=2,szName="【黑戈壁】刷马",nTime=0,key="【黑戈壁】刷马",},{nClass=20,nIcon=13,nFrame=2,szName="【阴山】刷马",nTime=0,key="【阴山】刷马",},{nClass=20,nIcon=13,nFrame=5,szName="【黑龙沼】刷马",nTime=0,key="【黑龙沼】刷马",},{nClass=20,nIcon=13,nFrame=5,szName="【南屏山】刷马",nTime=0,key="【南屏山】刷马",},{nClass=20,nIcon=13,nFrame=5,szName="【昆仑】刷马",nTime=0,key="【昆仑】刷马",},{nClass=20,nIcon=13,nFrame=5,szName="【无量山】刷马",nTime=0,key="【无量山】刷马",},{nClass=20,nIcon=13,nFrame=5,szName="【白龙口】刷马",nTime=0,key="【白龙口】刷马",},{nClass=20,nIcon=13,nFrame=5,szName="【龙门荒漠】刷马",nTime=0,key="【龙门荒漠】刷马",},{nClass=20,nIcon=13,nFrame=5,szName="【金水镇】刷马",nTime=0,key="【金水镇】刷马",},{nClass=20,nIcon=13,nFrame=5,szName="【巴陵县】刷马",nTime=0,key="【巴陵县】刷马",},{nClass=20,nIcon=582,nFrame=5,szName="绣球花",nTime=0,key="绣球花",},{nClass=20,nIcon=360,nFrame=5,szName="郁金香",nTime=0,key="郁金香",},{nClass=20,nIcon=360,nFrame=5,szName="牵牛花",nTime=0,key="牵牛花",},{nClass=20,nIcon=13,nFrame=-1,szName="",nTime=0.01,nRefresh=99999,key="玩家打断技能",},{nClass=20,nIcon=13,nFrame=-1,szName="",nTime=0.01,nRefresh=99999,key="玩家击退技能",},{nClass=20,nIcon=13,nFrame=-1,szName="",nTime=0.01,nRefresh=99999,key="玩家驱友技能",},{nClass=20,nIcon=13,nFrame=-1,szName="",nTime=0.01,nRefresh=99999,key="玩家驱敌技能",},{nClass=20,nIcon=13,nFrame=-1,szName="",nTime=0.01,nRefresh=99999,key="玩家无仇技能",},{nClass=20,nIcon=13,nFrame=5,szName="金水镇",nTime=0,key="金水镇",},{nClass=20,nIcon=13,nFrame=5,szName="巴陵县",nTime=0,key="巴陵县",},{nClass=20,nIcon=13,nFrame=5,szName="龙门荒漠",nTime=0,key="龙门荒漠",},{nClass=20,nIcon=13,nFrame=5,szName="南屏山",nTime=0,key="南屏山",},{nClass=20,nIcon=13,nFrame=5,szName="昆仑",nTime=0,key="昆仑",},{nClass=20,nIcon=13,nFrame=5,szName="白龙口",nTime=0,key="白龙口",},{nClass=20,nIcon=13,nFrame=5,szName="无量山",nTime=0,key="无量山",},{nClass=20,nIcon=13,nFrame=5,szName="黑龙沼",nTime=0,key="黑龙沼",},{nClass=20,nIcon=13,nFrame=5,szName="阴山大草原",nTime=0,key="阴山大草原",},{nClass=20,nIcon=13,nFrame=5,szName="黑戈壁",nTime=0,key="黑戈壁",},{nClass=20,nIcon=13,nFrame=5,szName="鲲鹏岛",nTime=0,key="鲲鹏岛",},{nClass=20,nIcon=13,nFrame=-1,szName="",nTime=0.01,nRefresh=99999,key="打断监控",},{nClass=20,nIcon=13,nFrame=-1,szName="",nTime=0.01,nRefresh=99999,key="无威胁监控",},{nClass=20,nIcon=13,nFrame=-1,szName="",nTime=0.01,nRefresh=99999,key="驱散监控",},{nClass=20,nIcon=13,nFrame=5,szName="打断监控",nTime=-1,key="打断监控",},{nClass=20,nIcon=13,nFrame=5,szName="无威胁监控",nTime=-1,key="无威胁监控",},{nClass=20,nIcon=13,nFrame=5,szName="驱散监控",nTime=-1,key="驱散监控",},{nClass=20,nIcon=2758,nFrame=5,szName="宠物存在",nTime=-1,key="宠物存在",},},},</v>
      </c>
      <c r="N111" t="s">
        <v>6475</v>
      </c>
      <c r="O111" t="s">
        <v>6476</v>
      </c>
      <c r="P111" t="s">
        <v>6477</v>
      </c>
      <c r="Q111" t="s">
        <v>6478</v>
      </c>
      <c r="R111" t="s">
        <v>6479</v>
      </c>
      <c r="S111" t="s">
        <v>6480</v>
      </c>
      <c r="T111" t="s">
        <v>6481</v>
      </c>
      <c r="U111" t="s">
        <v>6482</v>
      </c>
      <c r="V111" t="s">
        <v>6483</v>
      </c>
      <c r="W111" t="s">
        <v>6484</v>
      </c>
      <c r="X111" t="s">
        <v>6485</v>
      </c>
      <c r="Y111" t="s">
        <v>6486</v>
      </c>
      <c r="Z111" t="s">
        <v>6487</v>
      </c>
      <c r="AA111" t="s">
        <v>6488</v>
      </c>
      <c r="AB111" t="s">
        <v>6489</v>
      </c>
      <c r="AC111" t="s">
        <v>6490</v>
      </c>
      <c r="AD111" t="s">
        <v>6491</v>
      </c>
      <c r="AE111" t="s">
        <v>6492</v>
      </c>
      <c r="AF111" t="s">
        <v>6493</v>
      </c>
      <c r="AG111" t="s">
        <v>6494</v>
      </c>
      <c r="AH111" t="s">
        <v>6495</v>
      </c>
      <c r="AI111" t="s">
        <v>6496</v>
      </c>
      <c r="AJ111" t="s">
        <v>6497</v>
      </c>
      <c r="AK111" t="s">
        <v>6498</v>
      </c>
      <c r="AL111" t="s">
        <v>6499</v>
      </c>
      <c r="AM111" t="s">
        <v>6500</v>
      </c>
      <c r="AN111" t="s">
        <v>6501</v>
      </c>
      <c r="AO111" t="s">
        <v>6502</v>
      </c>
      <c r="AP111" t="s">
        <v>6503</v>
      </c>
      <c r="AQ111" t="s">
        <v>6504</v>
      </c>
      <c r="AR111" t="s">
        <v>6505</v>
      </c>
      <c r="AS111" t="s">
        <v>6506</v>
      </c>
      <c r="AT111" t="s">
        <v>6507</v>
      </c>
      <c r="AU111" t="s">
        <v>6508</v>
      </c>
      <c r="AV111" t="s">
        <v>6509</v>
      </c>
      <c r="AW111" t="s">
        <v>6510</v>
      </c>
      <c r="AX111" t="s">
        <v>6511</v>
      </c>
      <c r="AY111" t="s">
        <v>6512</v>
      </c>
    </row>
    <row r="112" spans="1:51" x14ac:dyDescent="0.15">
      <c r="A112" t="s">
        <v>2173</v>
      </c>
      <c r="B112">
        <v>-5</v>
      </c>
      <c r="M112" t="str">
        <f t="shared" si="1"/>
        <v>},[-5]={</v>
      </c>
    </row>
    <row r="113" spans="1:49" x14ac:dyDescent="0.15">
      <c r="C113" t="s">
        <v>6401</v>
      </c>
      <c r="F113">
        <v>1</v>
      </c>
      <c r="M113" t="str">
        <f t="shared" si="1"/>
        <v>{szContent="你已进入地图",bSearch=true,[20]={},tCountdown={{nClass=20,nIcon=13,nFrame=5,szName="金水镇",nTime=0,key="金水镇",},{nClass=20,nIcon=13,nFrame=5,szName="巴陵县",nTime=0,key="巴陵县",},{nClass=20,nIcon=13,nFrame=5,szName="龙门荒漠",nTime=0,key="龙门荒漠",},{nClass=20,nIcon=13,nFrame=5,szName="南屏山",nTime=0,key="南屏山",},{nClass=20,nIcon=13,nFrame=5,szName="昆仑",nTime=0,key="昆仑",},{nClass=20,nIcon=13,nFrame=5,szName="白龙口",nTime=0,key="白龙口",},{nClass=20,nIcon=13,nFrame=5,szName="无量山",nTime=0,key="无量山",},{nClass=20,nIcon=13,nFrame=5,szName="黑龙沼",nTime=0,key="黑龙沼",},{nClass=20,nIcon=13,nFrame=5,szName="阴山大草原",nTime=0,key="阴山大草原",},{nClass=20,nIcon=13,nFrame=5,szName="黑戈壁",nTime=0,key="黑戈壁",},{nClass=20,nIcon=13,nFrame=5,szName="鲲鹏岛",nTime=0,key="鲲鹏岛",},{nClass=20,nIcon=582,nFrame=2,szName="注意·检查分配",nTime=15,key="绣球花",},{nClass=20,nIcon=360,nFrame=2,szName="记得食用·帮会外食",nTime=20.1,key="郁金香",},{nClass=20,nIcon=360,nFrame=2,szName="记得食用·帮会外食",nTime=20.1,key="牵牛花",},{nClass=20,nIcon=13,nFrame=-1,szName="",nTime=0.01,nRefresh=99999,key="打断监控",},{nClass=20,nIcon=13,nFrame=-1,szName="",nTime=0.01,nRefresh=99999,key="无威胁监控",},{nClass=20,nIcon=13,nFrame=-1,szName="",nTime=0.01,nRefresh=99999,key="驱散监控",},{nClass=20,nIcon=13,nFrame=-1,szName="",nTime=0.01,nRefresh=99999,key="玩家驱友技能",},{nClass=20,nIcon=13,nFrame=5,szName="打断监控",nTime=-1,key="打断监控",},{nClass=20,nIcon=13,nFrame=5,szName="无威胁监控",nTime=-1,key="无威胁监控",},{nClass=20,nIcon=13,nFrame=5,szName="驱散监控",nTime=-1,key="驱散监控",},{nClass=20,nIcon=13,nFrame=5,szName="玩家驱友技能",nTime=-1,key="玩家驱友技能",},{nClass=20,nIcon=13,nFrame=-1,szName="",nTime=0.01,nRefresh=99999,key="玩家打断技能",},{nClass=20,nIcon=13,nFrame=-1,szName="",nTime=0.01,nRefresh=99999,key="玩家击退技能",},{nClass=20,nIcon=13,nFrame=-1,szName="",nTime=0.01,nRefresh=99999,key="玩家驱敌技能",},{nClass=20,nIcon=13,nFrame=-1,szName="",nTime=0.01,nRefresh=99999,key="玩家无仇技能",},{nClass=20,nIcon=13,nFrame=5,szName="玩家打断技能",nTime=-1,key="玩家打断技能",},{nClass=20,nIcon=13,nFrame=5,szName="玩家击退技能",nTime=-1,key="玩家击退技能",},{nClass=20,nIcon=13,nFrame=5,szName="玩家驱敌技能",nTime=-1,key="玩家驱敌技能",},{nClass=20,nIcon=13,nFrame=5,szName="玩家无仇技能",nTime=-1,key="玩家无仇技能",},{nClass=20,nIcon=13,nFrame=5,szName="1号战前提示",nTime=0,key="1号战前提示",},{nClass=20,nIcon=13,nFrame=5,szName="2号战前提示",nTime=0,key="2号战前提示",},{nClass=20,nIcon=13,nFrame=5,szName="3号战前提示",nTime=0,key="3号战前提示",},{nClass=20,nIcon=13,nFrame=5,szName="4号战前提示",nTime=0,key="4号战前提示",},{nClass=20,nIcon=13,nFrame=5,szName="5号战前提示",nTime=0,key="5号战前提示",},{nClass=20,nIcon=13,nFrame=5,szName="6号战前提示",nTime=0,key="6号战前提示",},},},</v>
      </c>
      <c r="N113" t="s">
        <v>6495</v>
      </c>
      <c r="O113" t="s">
        <v>6496</v>
      </c>
      <c r="P113" t="s">
        <v>6497</v>
      </c>
      <c r="Q113" t="s">
        <v>6498</v>
      </c>
      <c r="R113" t="s">
        <v>6499</v>
      </c>
      <c r="S113" t="s">
        <v>6500</v>
      </c>
      <c r="T113" t="s">
        <v>6501</v>
      </c>
      <c r="U113" t="s">
        <v>6502</v>
      </c>
      <c r="V113" t="s">
        <v>6503</v>
      </c>
      <c r="W113" t="s">
        <v>6504</v>
      </c>
      <c r="X113" t="s">
        <v>6505</v>
      </c>
      <c r="Y113" t="s">
        <v>6513</v>
      </c>
      <c r="Z113" t="s">
        <v>6514</v>
      </c>
      <c r="AA113" t="s">
        <v>6515</v>
      </c>
      <c r="AB113" t="s">
        <v>6506</v>
      </c>
      <c r="AC113" t="s">
        <v>6507</v>
      </c>
      <c r="AD113" t="s">
        <v>6508</v>
      </c>
      <c r="AE113" t="s">
        <v>6492</v>
      </c>
      <c r="AF113" t="s">
        <v>6509</v>
      </c>
      <c r="AG113" t="s">
        <v>6510</v>
      </c>
      <c r="AH113" t="s">
        <v>6511</v>
      </c>
      <c r="AI113" t="s">
        <v>6516</v>
      </c>
      <c r="AJ113" t="s">
        <v>6490</v>
      </c>
      <c r="AK113" t="s">
        <v>6491</v>
      </c>
      <c r="AL113" t="s">
        <v>6493</v>
      </c>
      <c r="AM113" t="s">
        <v>6494</v>
      </c>
      <c r="AN113" t="s">
        <v>6517</v>
      </c>
      <c r="AO113" t="s">
        <v>6518</v>
      </c>
      <c r="AP113" t="s">
        <v>6519</v>
      </c>
      <c r="AQ113" t="s">
        <v>6520</v>
      </c>
      <c r="AR113" t="s">
        <v>6521</v>
      </c>
      <c r="AS113" t="s">
        <v>6522</v>
      </c>
      <c r="AT113" t="s">
        <v>6523</v>
      </c>
      <c r="AU113" t="s">
        <v>6524</v>
      </c>
      <c r="AV113" t="s">
        <v>6525</v>
      </c>
      <c r="AW113" t="s">
        <v>6526</v>
      </c>
    </row>
    <row r="114" spans="1:49" x14ac:dyDescent="0.15">
      <c r="C114" t="s">
        <v>6527</v>
      </c>
      <c r="D114" t="s">
        <v>6528</v>
      </c>
      <c r="F114">
        <v>1</v>
      </c>
      <c r="M114" t="str">
        <f t="shared" si="1"/>
        <v>{szContent="侠士可前",szNote="屏蔽·的卢·诛恶",bSearch=true,[20]={},},</v>
      </c>
    </row>
    <row r="115" spans="1:49" x14ac:dyDescent="0.15">
      <c r="A115" t="s">
        <v>2178</v>
      </c>
      <c r="B115">
        <v>-4</v>
      </c>
      <c r="M115" t="str">
        <f t="shared" si="1"/>
        <v>},[-4]={</v>
      </c>
    </row>
    <row r="116" spans="1:49" x14ac:dyDescent="0.15">
      <c r="C116" t="s">
        <v>6529</v>
      </c>
      <c r="D116" t="s">
        <v>6530</v>
      </c>
      <c r="E116" t="s">
        <v>2718</v>
      </c>
      <c r="G116">
        <v>1</v>
      </c>
      <c r="M116" t="str">
        <f t="shared" si="1"/>
        <v>{szContent="^的卢[将于]*([不久之后出现]*)[已经出现]*[在]*(.-)[中]*，.-[！]+",szNote="的卢·刷新",col={255,255,100,},bReg=true,[20]={},tCountdown={{nClass=20,nIcon=21034,nFrame=3,szName="的卢·{$1}{$2}",nTime=10,key="的卢",},},},</v>
      </c>
      <c r="N116" t="s">
        <v>6531</v>
      </c>
    </row>
    <row r="117" spans="1:49" x14ac:dyDescent="0.15">
      <c r="C117" t="s">
        <v>6532</v>
      </c>
      <c r="G117">
        <v>1</v>
      </c>
      <c r="M117" t="str">
        <f t="shared" si="1"/>
        <v>{szContent="^诛恶事件触发！(.*)众侠士可前往【(.*)】一探究竟。\n",bReg=true,[20]={},tCountdown={{nClass=20,nIcon=334,nFrame=3,szName="诛恶事件·{$2}",nTime=10,key="诛恶事件",},},},</v>
      </c>
      <c r="N117" t="s">
        <v>6533</v>
      </c>
    </row>
    <row r="118" spans="1:49" x14ac:dyDescent="0.15">
      <c r="C118" t="s">
        <v>6401</v>
      </c>
      <c r="F118">
        <v>1</v>
      </c>
      <c r="M118" t="str">
        <f t="shared" si="1"/>
        <v>{szContent="你已进入地图",bSearch=true,[20]={},tCountdown={{nClass=20,nIcon=13,nFrame=5,szName="金水镇",nTime=0,key="金水镇",},{nClass=20,nIcon=13,nFrame=5,szName="巴陵县",nTime=0,key="巴陵县",},{nClass=20,nIcon=13,nFrame=5,szName="龙门荒漠",nTime=0,key="龙门荒漠",},{nClass=20,nIcon=13,nFrame=5,szName="南屏山",nTime=0,key="南屏山",},{nClass=20,nIcon=13,nFrame=5,szName="昆仑",nTime=0,key="昆仑",},{nClass=20,nIcon=13,nFrame=5,szName="白龙口",nTime=0,key="白龙口",},{nClass=20,nIcon=13,nFrame=5,szName="无量山",nTime=0,key="无量山",},{nClass=20,nIcon=13,nFrame=5,szName="黑龙沼",nTime=0,key="黑龙沼",},{nClass=20,nIcon=13,nFrame=5,szName="阴山大草原",nTime=0,key="阴山大草原",},{nClass=20,nIcon=13,nFrame=5,szName="黑戈壁",nTime=0,key="黑戈壁",},{nClass=20,nIcon=13,nFrame=5,szName="鲲鹏岛",nTime=0,key="鲲鹏岛",},{nClass=20,nIcon=582,nFrame=2,szName="绣球花",nTime=0,key="绣球花",},{nClass=20,nIcon=360,nFrame=2,szName="记得食用·帮会外食",nTime=20.1,key="郁金香",},{nClass=20,nIcon=360,nFrame=2,szName="记得食用·帮会外食",nTime=20.1,key="牵牛花",},{nClass=20,nIcon=13,nFrame=-1,szName="",nTime=0.01,nRefresh=99999,key="打断监控",},{nClass=20,nIcon=13,nFrame=-1,szName="",nTime=0.01,nRefresh=99999,key="无威胁监控",},{nClass=20,nIcon=13,nFrame=-1,szName="",nTime=0.01,nRefresh=99999,key="驱散监控",},{nClass=20,nIcon=13,nFrame=-1,szName="",nTime=0.01,nRefresh=99999,key="玩家驱友技能",},{nClass=20,nIcon=13,nFrame=5,szName="打断监控",nTime=-1,key="打断监控",},{nClass=20,nIcon=13,nFrame=5,szName="无威胁监控",nTime=-1,key="无威胁监控",},{nClass=20,nIcon=13,nFrame=5,szName="驱散监控",nTime=-1,key="驱散监控",},{nClass=20,nIcon=13,nFrame=5,szName="玩家驱友技能",nTime=-1,key="玩家驱友技能",},{nClass=20,nIcon=13,nFrame=-1,szName="",nTime=0.01,nRefresh=99999,key="玩家打断技能",},{nClass=20,nIcon=13,nFrame=-1,szName="",nTime=0.01,nRefresh=99999,key="玩家击退技能",},{nClass=20,nIcon=13,nFrame=-1,szName="",nTime=0.01,nRefresh=99999,key="玩家驱敌技能",},{nClass=20,nIcon=13,nFrame=-1,szName="",nTime=0.01,nRefresh=99999,key="玩家无仇技能",},{nClass=20,nIcon=13,nFrame=5,szName="玩家打断技能",nTime=-1,key="玩家打断技能",},{nClass=20,nIcon=13,nFrame=5,szName="玩家击退技能",nTime=-1,key="玩家击退技能",},{nClass=20,nIcon=13,nFrame=5,szName="玩家驱敌技能",nTime=-1,key="玩家驱敌技能",},{nClass=20,nIcon=13,nFrame=5,szName="玩家无仇技能",nTime=-1,key="玩家无仇技能",},{nClass=20,nIcon=2758,nFrame=-1,szName="",nTime=0.01,nRefresh=2,key="宠物存在",},{nClass=20,nIcon=2758,nFrame=5,szName="宠物存在",nTime=-1,key="宠物存在",},},},</v>
      </c>
      <c r="N118" t="s">
        <v>6495</v>
      </c>
      <c r="O118" t="s">
        <v>6496</v>
      </c>
      <c r="P118" t="s">
        <v>6497</v>
      </c>
      <c r="Q118" t="s">
        <v>6498</v>
      </c>
      <c r="R118" t="s">
        <v>6499</v>
      </c>
      <c r="S118" t="s">
        <v>6500</v>
      </c>
      <c r="T118" t="s">
        <v>6501</v>
      </c>
      <c r="U118" t="s">
        <v>6502</v>
      </c>
      <c r="V118" t="s">
        <v>6503</v>
      </c>
      <c r="W118" t="s">
        <v>6504</v>
      </c>
      <c r="X118" t="s">
        <v>6505</v>
      </c>
      <c r="Y118" t="s">
        <v>6534</v>
      </c>
      <c r="Z118" t="s">
        <v>6514</v>
      </c>
      <c r="AA118" t="s">
        <v>6515</v>
      </c>
      <c r="AB118" t="s">
        <v>6506</v>
      </c>
      <c r="AC118" t="s">
        <v>6507</v>
      </c>
      <c r="AD118" t="s">
        <v>6508</v>
      </c>
      <c r="AE118" t="s">
        <v>6492</v>
      </c>
      <c r="AF118" t="s">
        <v>6509</v>
      </c>
      <c r="AG118" t="s">
        <v>6510</v>
      </c>
      <c r="AH118" t="s">
        <v>6511</v>
      </c>
      <c r="AI118" t="s">
        <v>6516</v>
      </c>
      <c r="AJ118" t="s">
        <v>6490</v>
      </c>
      <c r="AK118" t="s">
        <v>6491</v>
      </c>
      <c r="AL118" t="s">
        <v>6493</v>
      </c>
      <c r="AM118" t="s">
        <v>6494</v>
      </c>
      <c r="AN118" t="s">
        <v>6517</v>
      </c>
      <c r="AO118" t="s">
        <v>6518</v>
      </c>
      <c r="AP118" t="s">
        <v>6519</v>
      </c>
      <c r="AQ118" t="s">
        <v>6520</v>
      </c>
      <c r="AR118" t="s">
        <v>6535</v>
      </c>
      <c r="AS118" t="s">
        <v>6512</v>
      </c>
    </row>
    <row r="119" spans="1:49" x14ac:dyDescent="0.15">
      <c r="A119" t="s">
        <v>2179</v>
      </c>
      <c r="B119">
        <v>-3</v>
      </c>
      <c r="M119" t="str">
        <f t="shared" si="1"/>
        <v>},[-3]={</v>
      </c>
    </row>
    <row r="120" spans="1:49" x14ac:dyDescent="0.15">
      <c r="C120" t="s">
        <v>6536</v>
      </c>
      <c r="G120">
        <v>1</v>
      </c>
      <c r="M120" t="str">
        <f t="shared" si="1"/>
        <v>{szContent="[%[帮会%]]*%[(.-)%]([加入了本帮会被移出被踢出]+)[^团队][。]+",bReg=true,[20]={},},</v>
      </c>
    </row>
    <row r="121" spans="1:49" x14ac:dyDescent="0.15">
      <c r="C121" t="s">
        <v>6401</v>
      </c>
      <c r="F121">
        <v>1</v>
      </c>
      <c r="M121" t="str">
        <f t="shared" si="1"/>
        <v>{szContent="你已进入地图",bSearch=true,[20]={},tCountdown={{nClass=20,nIcon=13,nFrame=5,szName="关闭阵营剩余",nTime=0,key="关闭阵营剩余",},{nClass=20,nIcon=13,nFrame=5,szName="【鲲鹏岛】刷马",nTime=0,key="【鲲鹏岛】刷马",},{nClass=20,nIcon=13,nFrame=5,szName="【黑戈壁】刷马",nTime=0,key="【黑戈壁】刷马",},{nClass=20,nIcon=13,nFrame=5,szName="【阴山】刷马",nTime=0,key="【阴山】刷马",},{nClass=20,nIcon=13,nFrame=5,szName="【黑龙沼】刷马",nTime=0,key="【黑龙沼】刷马",},{nClass=20,nIcon=13,nFrame=5,szName="【南屏山】刷马",nTime=0,key="【南屏山】刷马",},{nClass=20,nIcon=13,nFrame=5,szName="【昆仑】刷马",nTime=0,key="【昆仑】刷马",},{nClass=20,nIcon=13,nFrame=5,szName="【无量山】刷马",nTime=0,key="【无量山】刷马",},{nClass=20,nIcon=13,nFrame=5,szName="【白龙口】刷马",nTime=0,key="【白龙口】刷马",},{nClass=20,nIcon=13,nFrame=5,szName="【龙门荒漠】刷马",nTime=0,key="【龙门荒漠】刷马",},{nClass=20,nIcon=13,nFrame=5,szName="【金水镇】刷马",nTime=0,key="【金水镇】刷马",},{nClass=20,nIcon=13,nFrame=5,szName="【巴陵县】刷马",nTime=0,key="【巴陵县】刷马",},{nClass=20,nIcon=13,nFrame=5,szName="藏宝洞剩余时间",nTime=0,key="藏宝洞剩余时间",},{nClass=20,nIcon=13,nFrame=5,szName="送花·CD",nTime=0,key="送花·CD",},{nClass=20,nIcon=582,nFrame=2,szName="注意·检查分配",nTime=15,key="绣球花",},{nClass=20,nIcon=360,nFrame=2,szName="记得食用·帮会外食",nTime=20.1,key="郁金香",},{nClass=20,nIcon=13,nFrame=5,szName="玩家打断技能",nTime=0,key="玩家打断技能",},{nClass=20,nIcon=13,nFrame=5,szName="玩家击退技能",nTime=0,key="玩家击退技能",},{nClass=20,nIcon=13,nFrame=5,szName="玩家驱友技能",nTime=0,key="玩家驱友技能",},{nClass=20,nIcon=13,nFrame=-1,szName="玩家驱敌技能",nTime=0,key="玩家驱敌技能",},{nClass=20,nIcon=13,nFrame=-1,szName="玩家无仇技能",nTime=0,key="玩家无仇技能",},{nClass=20,nIcon=13,nFrame=-1,szName="",nTime=0.01,nRefresh=99999,key="玩家打断技能",},{nClass=20,nIcon=13,nFrame=-1,szName="",nTime=0.01,nRefresh=99999,key="玩家击退技能",},{nClass=20,nIcon=13,nFrame=-1,szName="",nTime=0.01,nRefresh=99999,key="玩家驱友技能",},{nClass=20,nIcon=13,nFrame=-1,szName="",nTime=0.01,nRefresh=99999,key="玩家驱敌技能",},{nClass=20,nIcon=13,nFrame=-1,szName="",nTime=0.01,nRefresh=99999,key="玩家无仇技能",},{nClass=20,nIcon=13,nFrame=5,szName="玩家打断技能",nTime=-1,key="玩家打断技能",},{nClass=20,nIcon=13,nFrame=5,szName="玩家击退技能",nTime=-1,key="玩家击退技能",},{nClass=20,nIcon=13,nFrame=5,szName="玩家驱友技能",nTime=-1,key="玩家驱友技能",},{nClass=20,nIcon=13,nFrame=5,szName="玩家驱敌技能",nTime=-1,key="玩家驱敌技能",},{nClass=20,nIcon=13,nFrame=5,szName="玩家无仇技能",nTime=-1,key="玩家无仇技能",},{nClass=20,nIcon=2758,nFrame=-1,szName="",nTime=0.01,nRefresh=2,key="宠物存在",},{nClass=20,nIcon=2758,nFrame=5,szName="宠物存在",nTime=-1,key="宠物存在",},},},</v>
      </c>
      <c r="N121" t="s">
        <v>6475</v>
      </c>
      <c r="O121" t="s">
        <v>6537</v>
      </c>
      <c r="P121" t="s">
        <v>6538</v>
      </c>
      <c r="Q121" t="s">
        <v>6539</v>
      </c>
      <c r="R121" t="s">
        <v>6479</v>
      </c>
      <c r="S121" t="s">
        <v>6480</v>
      </c>
      <c r="T121" t="s">
        <v>6481</v>
      </c>
      <c r="U121" t="s">
        <v>6482</v>
      </c>
      <c r="V121" t="s">
        <v>6483</v>
      </c>
      <c r="W121" t="s">
        <v>6484</v>
      </c>
      <c r="X121" t="s">
        <v>6485</v>
      </c>
      <c r="Y121" t="s">
        <v>6486</v>
      </c>
      <c r="Z121" t="s">
        <v>6540</v>
      </c>
      <c r="AA121" t="s">
        <v>6541</v>
      </c>
      <c r="AB121" t="s">
        <v>6513</v>
      </c>
      <c r="AC121" t="s">
        <v>6514</v>
      </c>
      <c r="AD121" t="s">
        <v>6542</v>
      </c>
      <c r="AE121" t="s">
        <v>6543</v>
      </c>
      <c r="AF121" t="s">
        <v>6544</v>
      </c>
      <c r="AG121" t="s">
        <v>6545</v>
      </c>
      <c r="AH121" t="s">
        <v>6546</v>
      </c>
      <c r="AI121" t="s">
        <v>6490</v>
      </c>
      <c r="AJ121" t="s">
        <v>6491</v>
      </c>
      <c r="AK121" t="s">
        <v>6492</v>
      </c>
      <c r="AL121" t="s">
        <v>6493</v>
      </c>
      <c r="AM121" t="s">
        <v>6494</v>
      </c>
      <c r="AN121" t="s">
        <v>6517</v>
      </c>
      <c r="AO121" t="s">
        <v>6518</v>
      </c>
      <c r="AP121" t="s">
        <v>6516</v>
      </c>
      <c r="AQ121" t="s">
        <v>6519</v>
      </c>
      <c r="AR121" t="s">
        <v>6520</v>
      </c>
      <c r="AS121" t="s">
        <v>6535</v>
      </c>
      <c r="AT121" t="s">
        <v>6512</v>
      </c>
    </row>
    <row r="122" spans="1:49" x14ac:dyDescent="0.15">
      <c r="C122" t="s">
        <v>6547</v>
      </c>
      <c r="F122">
        <v>1</v>
      </c>
      <c r="M122" t="str">
        <f t="shared" si="1"/>
        <v>{szContent="侠客晶石\n",bSearch=true,[20]={},tCountdown={{nClass=20,nIcon=904,nFrame=5,szName="KEY·左旋右转",nTime=0,key="KEY·左旋右转",},{nClass=20,nIcon=904,nFrame=-1,szName="",nTime=0.001,nRefresh=60,key="KEY·左旋右转",},{nClass=20,nIcon=904,nFrame=5,szName="KEY·左旋右转",nTime=-1,nRefresh=60,key="KEY·左旋右转",},{nClass=20,nIcon=15692,nFrame=5,szName="KEY·飘黄",nTime=0,key="KEY·飘黄",},{nClass=20,nIcon=15692,nFrame=-1,szName="",nTime=0.001,nRefresh=80,key="KEY·飘黄",},{nClass=20,nIcon=15692,nFrame=5,szName="KEY·飘黄",nTime=-1,nRefresh=80,key="KEY·飘黄",},{nClass=20,nIcon=2744,nFrame=5,szName="KEY·蛊惑众生",nTime=0,key="KEY·蛊惑众生",},{nClass=20,nIcon=403,nFrame=5,szName="KEY·秋肃",nTime=0,key="KEY·秋肃",},},},</v>
      </c>
      <c r="N122" t="s">
        <v>6548</v>
      </c>
      <c r="O122" t="s">
        <v>6549</v>
      </c>
      <c r="P122" t="s">
        <v>6550</v>
      </c>
      <c r="Q122" t="s">
        <v>6551</v>
      </c>
      <c r="R122" t="s">
        <v>6552</v>
      </c>
      <c r="S122" t="s">
        <v>6553</v>
      </c>
      <c r="T122" t="s">
        <v>6554</v>
      </c>
      <c r="U122" t="s">
        <v>6555</v>
      </c>
    </row>
    <row r="123" spans="1:49" x14ac:dyDescent="0.15">
      <c r="C123" t="s">
        <v>6556</v>
      </c>
      <c r="M123" t="str">
        <f t="shared" si="1"/>
        <v>{szContent="[剑心插件]已重置团队技能监控CD。\n",[20]={},tCountdown={{nClass=20,nIcon=904,nFrame=5,szName="KEY·左旋右转",nTime=0,key="KEY·左旋右转",},{nClass=20,nIcon=904,nFrame=-1,szName="",nTime=0.001,nRefresh=60,key="KEY·左旋右转",},{nClass=20,nIcon=904,nFrame=5,szName="KEY·左旋右转",nTime=-1,nRefresh=60,key="KEY·左旋右转",},{nClass=20,nIcon=15692,nFrame=5,szName="KEY·飘黄",nTime=0,key="KEY·飘黄",},{nClass=20,nIcon=15692,nFrame=-1,szName="",nTime=0.001,nRefresh=80,key="KEY·飘黄",},{nClass=20,nIcon=15692,nFrame=5,szName="KEY·飘黄",nTime=-1,nRefresh=80,key="KEY·飘黄",},{nClass=20,nIcon=2744,nFrame=5,szName="KEY·蛊惑众生",nTime=0,key="KEY·蛊惑众生",},{nClass=20,nIcon=403,nFrame=5,szName="KEY·秋肃",nTime=0,key="KEY·秋肃",},},},</v>
      </c>
      <c r="N123" t="s">
        <v>6548</v>
      </c>
      <c r="O123" t="s">
        <v>6549</v>
      </c>
      <c r="P123" t="s">
        <v>6550</v>
      </c>
      <c r="Q123" t="s">
        <v>6551</v>
      </c>
      <c r="R123" t="s">
        <v>6552</v>
      </c>
      <c r="S123" t="s">
        <v>6553</v>
      </c>
      <c r="T123" t="s">
        <v>6554</v>
      </c>
      <c r="U123" t="s">
        <v>6555</v>
      </c>
    </row>
    <row r="124" spans="1:49" x14ac:dyDescent="0.15">
      <c r="A124" t="s">
        <v>2324</v>
      </c>
      <c r="B124">
        <v>-2</v>
      </c>
      <c r="M124" t="str">
        <f t="shared" si="1"/>
        <v>},[-2]={</v>
      </c>
    </row>
    <row r="125" spans="1:49" x14ac:dyDescent="0.15">
      <c r="C125" t="s">
        <v>6317</v>
      </c>
      <c r="M125" t="str">
        <f t="shared" si="1"/>
        <v>{szContent="江湖快马飞报！段氏马场发布最新《九州寻驹图》消息：约五到十分钟后，将有宝马良驹在阴山大草原出没！各位侠士可以前往捕捉！切莫错过！\n",[20]={},tCountdown={{nClass=20,nIcon=1899,nFrame=5,bHold=true,szName="阴山大草原·刷马",nTime=300,key="阴山大草原",},},},</v>
      </c>
      <c r="N125" t="s">
        <v>6318</v>
      </c>
    </row>
    <row r="126" spans="1:49" x14ac:dyDescent="0.15">
      <c r="C126" t="s">
        <v>6319</v>
      </c>
      <c r="M126" t="str">
        <f t="shared" si="1"/>
        <v>{szContent="江湖快马飞报！段氏马场发布最新《九州寻驹图》消息：约五到十分钟后，将有宝马良驹在黑戈壁出没！各位侠士可以前往捕捉！切莫错过！\n",[20]={},tCountdown={{nClass=20,nIcon=1899,nFrame=5,bHold=true,szName="黑戈壁·刷马",nTime=300,key="黑戈壁",},},},</v>
      </c>
      <c r="N126" t="s">
        <v>6320</v>
      </c>
    </row>
    <row r="127" spans="1:49" x14ac:dyDescent="0.15">
      <c r="C127" t="s">
        <v>6321</v>
      </c>
      <c r="M127" t="str">
        <f t="shared" si="1"/>
        <v>{szContent="江湖快马飞报！段氏马场发布最新《九州寻驹图》消息：约五到十分钟后，将有宝马良驹在鲲鹏岛出没！各位侠士可以前往捕捉！切莫错过！\n",[20]={},tCountdown={{nClass=20,nIcon=1899,nFrame=5,bHold=true,szName="鲲鹏岛·刷马",nTime=300,key="鲲鹏岛",},},},</v>
      </c>
      <c r="N127" t="s">
        <v>6322</v>
      </c>
    </row>
    <row r="128" spans="1:49" x14ac:dyDescent="0.15">
      <c r="C128" t="s">
        <v>6323</v>
      </c>
      <c r="M128" t="str">
        <f t="shared" si="1"/>
        <v>{szContent="江湖快马飞报！段氏马场发布最新《九州寻驹图》消息：约五到十分钟后，将有宝马良驹在金水镇出没！各位侠士可以前往捕捉！切莫错过！\n",[20]={},tCountdown={{nClass=20,nIcon=1897,nFrame=5,bHold=true,szName="金水镇·刷马",nTime=300,key="金水镇",},},},</v>
      </c>
      <c r="N128" t="s">
        <v>6324</v>
      </c>
    </row>
    <row r="129" spans="3:15" x14ac:dyDescent="0.15">
      <c r="C129" t="s">
        <v>6325</v>
      </c>
      <c r="M129" t="str">
        <f t="shared" si="1"/>
        <v>{szContent="江湖快马飞报！段氏马场发布最新《九州寻驹图》消息：约五到十分钟后，将有宝马良驹在巴陵县出没！各位侠士可以前往捕捉！切莫错过！\n",[20]={},tCountdown={{nClass=20,nIcon=1897,nFrame=5,bHold=true,szName="巴陵县·刷马",nTime=300,key="巴陵县",},},},</v>
      </c>
      <c r="N129" t="s">
        <v>6326</v>
      </c>
    </row>
    <row r="130" spans="3:15" x14ac:dyDescent="0.15">
      <c r="C130" t="s">
        <v>6327</v>
      </c>
      <c r="M130" t="str">
        <f t="shared" ref="M130:M193" si="2">IF(ISBLANK(B130)=FALSE,IF(ISBLANK(B129),"},["&amp;B130&amp;"]={","["&amp;B130&amp;"]={"),IF(AND(ISBLANK(B130),ISBLANK(C130),ISBLANK(F130),ISBLANK(G130),OR(ISBLANK(B129)=FALSE,ISBLANK(C129)=FALSE,ISBLANK(F129)=FALSE,ISBLANK(G129)=FALSE)),"},},}",IF(ISBLANK(C130),"","{szContent="""&amp;C130&amp;""","&amp;IF(D130&lt;&gt;"","szNote="""&amp;D130&amp;""",","")&amp;IF(E130&lt;&gt;"","col={"&amp;E130&amp;"},","")&amp;IF(F130&gt;0,"bSearch=true,","")&amp;IF(G130&gt;0,"bReg=true,","")&amp;"[20]={"&amp;IF(H130&gt;0,"szVoice="""&amp;H130&amp;""",","")&amp;IF(I130&gt;0,"bTeamChannel=true,","")&amp;IF(J130&gt;0,"bWhisperChannel=true,","")&amp;IF(K130&gt;0,"bCenterAlarm=true,","")&amp;IF(L130&gt;0,"bScreenHead=true,","")&amp;"},"&amp;IF(N130&lt;&gt;"","tCountdown={"&amp;_xlfn.TEXTJOIN("",TRUE,N130:ZZ130)&amp;"},","")&amp;"},")))</f>
        <v>{szContent="江湖快马飞报！段氏马场发布最新《九州寻驹图》消息：约五到十分钟后，将有宝马良驹在龙门荒漠出没！各位侠士可以前往捕捉！切莫错过！\n",[20]={},tCountdown={{nClass=20,nIcon=1897,nFrame=5,bHold=true,szName="龙门荒漠·刷马",nTime=300,key="龙门荒漠",},},},</v>
      </c>
      <c r="N130" t="s">
        <v>6328</v>
      </c>
    </row>
    <row r="131" spans="3:15" x14ac:dyDescent="0.15">
      <c r="C131" t="s">
        <v>6329</v>
      </c>
      <c r="M131" t="str">
        <f t="shared" si="2"/>
        <v>{szContent="江湖快马飞报！段氏马场发布最新《九州寻驹图》消息：约五到十分钟后，将有宝马良驹在昆仑出没！各位侠士可以前往捕捉！切莫错过！\n",[20]={},tCountdown={{nClass=20,nIcon=1894,nFrame=5,bHold=true,szName="昆仑·刷马",nTime=300,key="昆仑",},},},</v>
      </c>
      <c r="N131" t="s">
        <v>6330</v>
      </c>
    </row>
    <row r="132" spans="3:15" x14ac:dyDescent="0.15">
      <c r="C132" t="s">
        <v>6331</v>
      </c>
      <c r="M132" t="str">
        <f t="shared" si="2"/>
        <v>{szContent="江湖快马飞报！段氏马场发布最新《九州寻驹图》消息：约五到十分钟后，将有宝马良驹在南屏山出没！各位侠士可以前往捕捉！切莫错过！\n",[20]={},tCountdown={{nClass=20,nIcon=1894,nFrame=5,bHold=true,szName="南屏山·刷马",nTime=300,key="南屏山",},},},</v>
      </c>
      <c r="N132" t="s">
        <v>6332</v>
      </c>
    </row>
    <row r="133" spans="3:15" x14ac:dyDescent="0.15">
      <c r="C133" t="s">
        <v>6333</v>
      </c>
      <c r="M133" t="str">
        <f t="shared" si="2"/>
        <v>{szContent="江湖快马飞报！段氏马场发布最新《九州寻驹图》消息：约五到十分钟后，将有宝马良驹在无量山出没！各位侠士可以前往捕捉！切莫错过！\n",[20]={},tCountdown={{nClass=20,nIcon=1894,nFrame=5,bHold=true,szName="无量山·刷马",nTime=300,key="无量山",},},},</v>
      </c>
      <c r="N133" t="s">
        <v>6334</v>
      </c>
    </row>
    <row r="134" spans="3:15" x14ac:dyDescent="0.15">
      <c r="C134" t="s">
        <v>6335</v>
      </c>
      <c r="M134" t="str">
        <f t="shared" si="2"/>
        <v>{szContent="江湖快马飞报！段氏马场发布最新《九州寻驹图》消息：约五到十分钟后，将有宝马良驹在白龙口出没！各位侠士可以前往捕捉！切莫错过！\n",[20]={},tCountdown={{nClass=20,nIcon=1894,nFrame=5,bHold=true,szName="白龙口·刷马",nTime=300,key="白龙口",},},},</v>
      </c>
      <c r="N134" t="s">
        <v>6336</v>
      </c>
    </row>
    <row r="135" spans="3:15" x14ac:dyDescent="0.15">
      <c r="C135" t="s">
        <v>6337</v>
      </c>
      <c r="M135" t="str">
        <f t="shared" si="2"/>
        <v>{szContent="江湖快马飞报！段氏马场发布最新《九州寻驹图》消息：约五到十分钟后，将有宝马良驹在黑龙沼出没！各位侠士可以前往捕捉！切莫错过！\n",[20]={},tCountdown={{nClass=20,nIcon=1898,nFrame=5,bHold=true,szName="黑龙沼·刷马",nTime=300,key="黑龙沼",},},},</v>
      </c>
      <c r="N135" t="s">
        <v>6338</v>
      </c>
    </row>
    <row r="136" spans="3:15" x14ac:dyDescent="0.15">
      <c r="C136" t="s">
        <v>6557</v>
      </c>
      <c r="F136">
        <v>1</v>
      </c>
      <c r="M136" t="str">
        <f t="shared" si="2"/>
        <v>{szContent="你已接受了[大战！",bSearch=true,[20]={},tCountdown={{nClass=20,nIcon=360,nFrame=2,szName="记得打包·帮会外食",nTime=20,key="大战·打包外食1",},{nClass=20,nIcon=360,nFrame=2,szName="记得打包·帮会外食",nTime=20,key="大战·打包外食2",},},},</v>
      </c>
      <c r="N136" t="s">
        <v>6558</v>
      </c>
      <c r="O136" t="s">
        <v>6559</v>
      </c>
    </row>
    <row r="137" spans="3:15" x14ac:dyDescent="0.15">
      <c r="C137" t="s">
        <v>6560</v>
      </c>
      <c r="M137" t="str">
        <f t="shared" si="2"/>
        <v>{szContent="你已接受了[江湖秘闻]。\n",[20]={},tCountdown={{nClass=20,nIcon=17135,nFrame=5,szName="选项1帮会+选项4门派合并为正确答案",nTime=15,key="茶馆·提示0",},},},</v>
      </c>
      <c r="N137" t="s">
        <v>6561</v>
      </c>
    </row>
    <row r="138" spans="3:15" x14ac:dyDescent="0.15">
      <c r="C138" t="s">
        <v>6562</v>
      </c>
      <c r="M138" t="str">
        <f t="shared" si="2"/>
        <v>{szContent="你已接受了[公平交易·阳羡茶]。\n",[20]={},tCountdown={{nClass=20,nIcon=1260,nFrame=5,szName="阳羡茶·大黄",nTime=10,key="茶馆·交易",},},},</v>
      </c>
      <c r="N138" t="s">
        <v>6563</v>
      </c>
    </row>
    <row r="139" spans="3:15" x14ac:dyDescent="0.15">
      <c r="C139" t="s">
        <v>6564</v>
      </c>
      <c r="M139" t="str">
        <f t="shared" si="2"/>
        <v>{szContent="你已接受了[公平交易·仙人掌茶]。\n",[20]={},tCountdown={{nClass=20,nIcon=659,nFrame=5,szName="仙人掌茶·碎肉",nTime=10,key="茶馆·交易",},},},</v>
      </c>
      <c r="N139" t="s">
        <v>6565</v>
      </c>
    </row>
    <row r="140" spans="3:15" x14ac:dyDescent="0.15">
      <c r="C140" t="s">
        <v>6566</v>
      </c>
      <c r="M140" t="str">
        <f t="shared" si="2"/>
        <v>{szContent="你已接受了[公平交易·庐山云雾茶]。\n",[20]={},tCountdown={{nClass=20,nIcon=1258,nFrame=5,szName="庐山云雾茶·锡矿·杂碎",nTime=10,key="茶馆·交易",},},},</v>
      </c>
      <c r="N140" t="s">
        <v>6567</v>
      </c>
    </row>
    <row r="141" spans="3:15" x14ac:dyDescent="0.15">
      <c r="C141" t="s">
        <v>6568</v>
      </c>
      <c r="M141" t="str">
        <f t="shared" si="2"/>
        <v>{szContent="你已接受了[公平交易·方山露芽]。\n",[20]={},tCountdown={{nClass=20,nIcon=1257,nFrame=5,szName="方山露芽·甘草·精肉",nTime=10,key="茶馆·交易",},},},</v>
      </c>
      <c r="N141" t="s">
        <v>6569</v>
      </c>
    </row>
    <row r="142" spans="3:15" x14ac:dyDescent="0.15">
      <c r="C142" t="s">
        <v>6570</v>
      </c>
      <c r="M142" t="str">
        <f t="shared" si="2"/>
        <v>{szContent="你已接受了[公平交易·霍山黄芽]。\n",[20]={},tCountdown={{nClass=20,nIcon=1259,nFrame=5,szName="霍山黄芽·铜矿",nTime=10,key="茶馆·交易",},},},</v>
      </c>
      <c r="N142" t="s">
        <v>6571</v>
      </c>
    </row>
    <row r="143" spans="3:15" x14ac:dyDescent="0.15">
      <c r="C143" t="s">
        <v>6572</v>
      </c>
      <c r="M143" t="str">
        <f t="shared" si="2"/>
        <v>{szContent="你已接受了[品茶鉴水·峨眉白芽]。\n",[20]={},tCountdown={{nClass=20,nIcon=1400,nFrame=5,szName="峨眉白芽·灵山妙雨",nTime=10,key="茶馆·泡茶",},},},</v>
      </c>
      <c r="N143" t="s">
        <v>6573</v>
      </c>
    </row>
    <row r="144" spans="3:15" x14ac:dyDescent="0.15">
      <c r="C144" t="s">
        <v>6574</v>
      </c>
      <c r="M144" t="str">
        <f t="shared" si="2"/>
        <v>{szContent="你已接受了[品茶鉴水·仙崖石花]。\n",[20]={},tCountdown={{nClass=20,nIcon=942,nFrame=5,szName="仙崖石花·翠竹朝露",nTime=10,key="茶馆·泡茶",},},},</v>
      </c>
      <c r="N144" t="s">
        <v>6575</v>
      </c>
    </row>
    <row r="145" spans="3:20" x14ac:dyDescent="0.15">
      <c r="C145" t="s">
        <v>6576</v>
      </c>
      <c r="M145" t="str">
        <f t="shared" si="2"/>
        <v>{szContent="你已接受了[品茶鉴水·顾渚紫笋]。\n",[20]={},tCountdown={{nClass=20,nIcon=255,nFrame=5,szName="顾渚紫笋·阳崖云泉",nTime=10,key="茶馆·泡茶",},},},</v>
      </c>
      <c r="N145" t="s">
        <v>6577</v>
      </c>
    </row>
    <row r="146" spans="3:20" x14ac:dyDescent="0.15">
      <c r="C146" t="s">
        <v>6578</v>
      </c>
      <c r="M146" t="str">
        <f t="shared" si="2"/>
        <v>{szContent="你已接受了[品茶鉴水·西山白露]。\n",[20]={},tCountdown={{nClass=20,nIcon=238,nFrame=5,szName="西山白露·无香真水",nTime=10,key="茶馆·泡茶",},},},</v>
      </c>
      <c r="N146" t="s">
        <v>6579</v>
      </c>
    </row>
    <row r="147" spans="3:20" x14ac:dyDescent="0.15">
      <c r="C147" t="s">
        <v>6580</v>
      </c>
      <c r="M147" t="str">
        <f t="shared" si="2"/>
        <v>{szContent="你已接受了[品茶鉴水·蒙顶石花]。\n",[20]={},tCountdown={{nClass=20,nIcon=965,nFrame=5,szName="蒙顶石花·月鸿仙泉",nTime=10,key="茶馆·泡茶",},},},</v>
      </c>
      <c r="N147" t="s">
        <v>6581</v>
      </c>
    </row>
    <row r="148" spans="3:20" x14ac:dyDescent="0.15">
      <c r="C148" t="s">
        <v>6582</v>
      </c>
      <c r="M148" t="str">
        <f t="shared" si="2"/>
        <v>{szContent="你已接受了[潜行狙击]。\n",[20]={},tCountdown={{nClass=20,nIcon=770,nFrame=5,szName="骑马跟随",nTime=15,key="茶馆·提示0",},},},</v>
      </c>
      <c r="N148" t="s">
        <v>6583</v>
      </c>
    </row>
    <row r="149" spans="3:20" x14ac:dyDescent="0.15">
      <c r="C149" t="s">
        <v>6350</v>
      </c>
      <c r="M149" t="str">
        <f t="shared" si="2"/>
        <v>{szContent="帮会领地唱晚池突现异常，各类鱼儿异常活跃，鱼儿上钩时间大大缩短！各路已满80级的侠士可前往一试，定能收获不菲。\n",[20]={},tCountdown={{nClass=20,nIcon=2678,nFrame=6,szName="帮会钓鱼活动·开启",nTime=15,nRefresh=1,key="帮会钓鱼",},},},</v>
      </c>
      <c r="N149" t="s">
        <v>6351</v>
      </c>
    </row>
    <row r="150" spans="3:20" x14ac:dyDescent="0.15">
      <c r="C150" t="s">
        <v>6339</v>
      </c>
      <c r="M150" t="str">
        <f t="shared" si="2"/>
        <v>{szContent="南宫麒：随着暮色降临，扬州、五毒、明教、苍云、战乱天策魂虚场景中的魂灵变得活跃起来，各位方士不妨出魂一探究竟，说不定有意外收获！\n",[20]={},tCountdown={{nClass=20,nIcon=16565,nFrame=5,szName="方士·扬州|五毒|明教",nTime=15,key="方士·提示1",},{nClass=20,nIcon=16565,nFrame=5,szName="方士·苍云|战乱·天策",nTime=15,key="方士·提示2",},},},</v>
      </c>
      <c r="N150" t="s">
        <v>6584</v>
      </c>
      <c r="O150" t="s">
        <v>6585</v>
      </c>
    </row>
    <row r="151" spans="3:20" x14ac:dyDescent="0.15">
      <c r="C151" t="s">
        <v>6344</v>
      </c>
      <c r="M151" t="str">
        <f t="shared" si="2"/>
        <v>{szContent="隐元密报：狼牙军即将押送颜氏老妇到内城西市法场斩首示众！颜氏一门满门忠烈，还望各路侠士即刻前往搭救！\n",[20]={},tCountdown={{nClass=20,nIcon=3320,nFrame=5,szName="长安城·搭救颜老太太",nTime=10,key="系统事件",},},},</v>
      </c>
      <c r="N151" t="s">
        <v>6586</v>
      </c>
    </row>
    <row r="152" spans="3:20" x14ac:dyDescent="0.15">
      <c r="C152" t="s">
        <v>6346</v>
      </c>
      <c r="M152" t="str">
        <f t="shared" si="2"/>
        <v>{szContent="交易行私货正在拍卖九寨沟·镜海7200平【万年金券】，侠士们切勿错过！\n",[20]={},tCountdown={{nClass=20,nIcon=11432,nFrame=0,szName="私货·九寨沟·镜海·万年金券",nTime=10,key="私货",},},},</v>
      </c>
      <c r="N152" t="s">
        <v>6347</v>
      </c>
    </row>
    <row r="153" spans="3:20" x14ac:dyDescent="0.15">
      <c r="C153" t="s">
        <v>6348</v>
      </c>
      <c r="M153" t="str">
        <f t="shared" si="2"/>
        <v>{szContent="交易行私货正在拍卖广陵邑7200平【园宅置业·天苑】，侠士们切勿错过！\n",[20]={},tCountdown={{nClass=20,nIcon=12461,nFrame=0,szName="私货·广陵邑·天苑·园宅置业",nTime=10,key="私货",},},},</v>
      </c>
      <c r="N153" t="s">
        <v>6349</v>
      </c>
    </row>
    <row r="154" spans="3:20" x14ac:dyDescent="0.15">
      <c r="C154" t="s">
        <v>6587</v>
      </c>
      <c r="M154" t="str">
        <f t="shared" si="2"/>
        <v>{szContent="您离开了战场的等待队列。\n",[20]={},tCountdown={{nClass=20,nIcon=17135,nFrame=5,szName="战场·排队·结束",nTime=2,key="战场·排队",},},},</v>
      </c>
      <c r="N154" t="s">
        <v>6588</v>
      </c>
    </row>
    <row r="155" spans="3:20" x14ac:dyDescent="0.15">
      <c r="C155" t="s">
        <v>6589</v>
      </c>
      <c r="M155" t="str">
        <f t="shared" si="2"/>
        <v>{szContent="您已经加入战场等待队列。\n",[20]={},tCountdown={{nClass=20,nIcon=17135,nFrame=0,szName="战场·排队·开始",nTime=10,key="战场·排队",},{nClass=20,nIcon=17135,nFrame=0,szName="检查·心法·奇穴",nTime=15,nRefresh=7200,key="战场·排队·提示1",},},},</v>
      </c>
      <c r="N155" t="s">
        <v>6590</v>
      </c>
      <c r="O155" t="s">
        <v>6591</v>
      </c>
    </row>
    <row r="156" spans="3:20" x14ac:dyDescent="0.15">
      <c r="C156" t="s">
        <v>6355</v>
      </c>
      <c r="D156" t="s">
        <v>6356</v>
      </c>
      <c r="E156" t="s">
        <v>3614</v>
      </c>
      <c r="K156">
        <v>1</v>
      </c>
      <c r="M156" t="str">
        <f t="shared" si="2"/>
        <v>{szContent="江湖快报！卫栖梧正在寻找绝世轻功之人，其友[唐文羽]已在少林举办梅花桩试炼大赛，望广大轻功能人速来少林参赛！\n",szNote="扶摇九天·开启",col={100,255,255,},[20]={bCenterAlarm=true,},tCountdown={{nClass=20,nIcon=12372,nFrame=3,szName="少林·扶摇九天·开启",nTime=20,key="扶摇九天",},},},</v>
      </c>
      <c r="N156" t="s">
        <v>6357</v>
      </c>
    </row>
    <row r="157" spans="3:20" x14ac:dyDescent="0.15">
      <c r="C157" t="s">
        <v>6372</v>
      </c>
      <c r="D157" t="s">
        <v>6373</v>
      </c>
      <c r="G157">
        <v>1</v>
      </c>
      <c r="M157" t="str">
        <f t="shared" si="2"/>
        <v>{szContent="^密探来报：\"(.-)\"(.-)出现在(跨服烂柯山)[前尘影事]-[“]-([峥嵘振武]-)[”]-([主分线]-)，",szNote="世界首领·出现",bReg=true,[20]={},tCountdown={{nClass=20,nIcon=13,nFrame=3,szName="{$1}·{$2}·{$3}·{$5}{$4}",nTime=20,nRefresh=60,key="世界首领",},},},</v>
      </c>
      <c r="N157" t="s">
        <v>6592</v>
      </c>
    </row>
    <row r="158" spans="3:20" x14ac:dyDescent="0.15">
      <c r="C158" t="s">
        <v>6593</v>
      </c>
      <c r="E158" t="s">
        <v>2718</v>
      </c>
      <c r="G158">
        <v>1</v>
      </c>
      <c r="M158" t="str">
        <f t="shared" si="2"/>
        <v>{szContent="^%[(.-)%]服务器：%[(.-)%]大侠，率领%[([浩气盟恶人谷]-)%]阵营侠士们，成功夺得【([隐樵天生赤岩关]-)】",col={255,255,100,},bReg=true,[20]={},tCountdown={{nClass=20,nIcon=1465,nFrame=-1,szName="　",nTime=0.001,nRefresh=2,key="关隘·浩气盟·{$1}",},{nClass=20,nIcon=1465,nFrame=-1,szName="关隘·浩气盟·{$1}",nTime=-1,key="关隘·浩气盟·{$1}",},{nClass=20,nIcon=1465,nFrame=-1,szName="　",nTime=0.001,nRefresh=2,key="关隘·恶人谷·{$1}",},{nClass=20,nIcon=1465,nFrame=-1,szName="关隘·恶人谷·{$1}",nTime=-1,key="关隘·恶人谷·{$1}",},{nClass=20,nIcon=13,nFrame=5,szName="关隘·{$3}·{$1}",nTime=0,key="关隘·{$3}·{$1}",},{nClass=20,nIcon=17583,nFrame=7,szName="浩气盟·[{$1}]·{$4}",nTime=10,nRefresh=1,key="关隘·浩气盟·{$1}",},{nClass=20,nIcon=17582,nFrame=3,szName="恶人谷·[{$1}]·{$4}",nTime=10,nRefresh=1,key="关隘·恶人谷·{$1}",},},},</v>
      </c>
      <c r="N158" t="s">
        <v>6594</v>
      </c>
      <c r="O158" t="s">
        <v>6595</v>
      </c>
      <c r="P158" t="s">
        <v>6596</v>
      </c>
      <c r="Q158" t="s">
        <v>6597</v>
      </c>
      <c r="R158" t="s">
        <v>6598</v>
      </c>
      <c r="S158" t="s">
        <v>6599</v>
      </c>
      <c r="T158" t="s">
        <v>6600</v>
      </c>
    </row>
    <row r="159" spans="3:20" x14ac:dyDescent="0.15">
      <c r="C159" t="s">
        <v>6601</v>
      </c>
      <c r="M159" t="str">
        <f t="shared" si="2"/>
        <v>{szContent="你无法携带更多的任务奖励道具\n",[20]={},tCountdown={{nClass=20,nIcon=13,nFrame=0,szName="无法携带更多任务奖励",nTime=10,nRefresh=600,key="道具上限",},},},</v>
      </c>
      <c r="N159" t="s">
        <v>6602</v>
      </c>
    </row>
    <row r="160" spans="3:20" x14ac:dyDescent="0.15">
      <c r="C160" t="s">
        <v>6389</v>
      </c>
      <c r="D160" t="s">
        <v>6390</v>
      </c>
      <c r="K160">
        <v>1</v>
      </c>
      <c r="M160" t="str">
        <f t="shared" si="2"/>
        <v>{szContent="援助关系绑定成功，退队可主动解除，但会受到一定惩罚。若对方离线，主动退队解除关系将不受惩罚。\n",szNote="援助·已绑定",[20]={bCenterAlarm=true,},tCountdown={{nClass=20,nIcon=13,nFrame=0,szName="援助·已绑定",nTime=10,key="援助",},},},</v>
      </c>
      <c r="N160" t="s">
        <v>6603</v>
      </c>
    </row>
    <row r="161" spans="3:32" x14ac:dyDescent="0.15">
      <c r="C161" t="s">
        <v>6397</v>
      </c>
      <c r="M161" t="str">
        <f t="shared" si="2"/>
        <v>{szContent="该玩家不存在。\n",[20]={},tCountdown={{nClass=20,nIcon=2116,nFrame=6,szName="该玩家不存在",nTime=5,key="社交",},},},</v>
      </c>
      <c r="N161" t="s">
        <v>6398</v>
      </c>
    </row>
    <row r="162" spans="3:32" x14ac:dyDescent="0.15">
      <c r="C162" t="s">
        <v>6399</v>
      </c>
      <c r="M162" t="str">
        <f t="shared" si="2"/>
        <v>{szContent="对方不在线。\n",[20]={},tCountdown={{nClass=20,nIcon=2116,nFrame=6,szName="对方不在线",nTime=5,key="社交",},},},</v>
      </c>
      <c r="N162" t="s">
        <v>6400</v>
      </c>
    </row>
    <row r="163" spans="3:32" x14ac:dyDescent="0.15">
      <c r="C163" t="s">
        <v>6394</v>
      </c>
      <c r="D163" t="s">
        <v>6395</v>
      </c>
      <c r="F163">
        <v>1</v>
      </c>
      <c r="K163">
        <v>1</v>
      </c>
      <c r="M163" t="str">
        <f t="shared" si="2"/>
        <v>{szContent="已切换到“摁键发言”模式，",szNote="麦克风·摁键发言",bSearch=true,[20]={bCenterAlarm=true,},tCountdown={{nClass=20,nIcon=13308,nFrame=5,szName="麦克风·摁键发言",nTime=2,key="麦克风",},},},</v>
      </c>
      <c r="N163" t="s">
        <v>6396</v>
      </c>
    </row>
    <row r="164" spans="3:32" x14ac:dyDescent="0.15">
      <c r="C164" t="s">
        <v>6392</v>
      </c>
      <c r="D164" t="s">
        <v>6393</v>
      </c>
      <c r="K164">
        <v>1</v>
      </c>
      <c r="M164" t="str">
        <f t="shared" si="2"/>
        <v>{szContent="您的宠物已消除忧虑，变得活泼欢快。\n",szNote="宠物已消除忧虑",[20]={bCenterAlarm=true,},},</v>
      </c>
    </row>
    <row r="165" spans="3:32" x14ac:dyDescent="0.15">
      <c r="C165" t="s">
        <v>6378</v>
      </c>
      <c r="D165" t="s">
        <v>6379</v>
      </c>
      <c r="E165" t="s">
        <v>2718</v>
      </c>
      <c r="M165" t="str">
        <f t="shared" si="2"/>
        <v>{szContent="阴山商路运输物资成功开启！请帮会有权限的侠士到黑戈壁帮会物资主簿处申请成为运货首领开始运送！\n",szNote="阴山商路·开启",col={255,255,100,},[20]={},tCountdown={{nClass=20,nIcon=17135,nFrame=0,szName="阴山商路·帮会大跑商·开启",nTime=10,nRefresh=3600,key="阴山商路",},},},</v>
      </c>
      <c r="N165" t="s">
        <v>6380</v>
      </c>
    </row>
    <row r="166" spans="3:32" x14ac:dyDescent="0.15">
      <c r="C166" t="s">
        <v>6604</v>
      </c>
      <c r="G166">
        <v>1</v>
      </c>
      <c r="M166" t="str">
        <f t="shared" si="2"/>
        <v>{szContent="你驯养的(.-)[触发]-事件“(.-)”([消除了]-)。",bReg=true,[20]={},tCountdown={{nClass=20,nIcon=6227,nFrame=-1,szName="",nTime=0.001,nRefresh=2,key="寒风入体！·",},{nClass=20,nIcon=6227,nFrame=-1,szName="寒风入体！·",nTime=-1,key="寒风入体！·",},{nClass=20,nIcon=6227,nFrame=-1,szName="",nTime=0.001,nRefresh=2,key="焦躁不安！·",},{nClass=20,nIcon=6227,nFrame=-1,szName="焦躁不安！·",nTime=-1,key="焦躁不安！·",},{nClass=20,nIcon=6227,nFrame=-1,szName="",nTime=0.001,nRefresh=2,key="野兽！野兽！·",},{nClass=20,nIcon=6227,nFrame=-1,szName="野兽！野兽！·",nTime=-1,key="野兽！野兽！·",},{nClass=20,nIcon=6227,nFrame=-1,szName="",nTime=0.001,nRefresh=2,key="受伤躁动！·",},{nClass=20,nIcon=6227,nFrame=-1,szName="受伤躁动！·",nTime=-1,key="受伤躁动！·",},{nClass=20,nIcon=6227,nFrame=-1,szName="",nTime=0.001,nRefresh=2,key="惊恐不安！·",},{nClass=20,nIcon=6227,nFrame=-1,szName="惊恐不安！·",nTime=-1,key="惊恐不安！·",},{nClass=20,nIcon=6227,nFrame=-1,szName="",nTime=0.001,nRefresh=2,key="{$2}·消除了",},{nClass=20,nIcon=6227,nFrame=-1,szName="{$2}·消除了",nTime=-1,key="{$2}·消除了",},{nClass=20,nIcon=6227,nFrame=-1,szName="{$2}·{$3}",nTime=0,key="{$2}·{$3}",},{nClass=20,nIcon=2025,nFrame=4,szName="{$1}·寒风入体·成都",nTime=10,nRefresh=1,key="寒风入体！·",},{nClass=20,nIcon=329,nFrame=4,szName="{$1}·焦躁不安·扬州",nTime=10,nRefresh=1,key="焦躁不安！·",},{nClass=20,nIcon=89,nFrame=4,szName="{$1}·野兽野兽·扬州",nTime=10,nRefresh=1,key="野兽！野兽！·",},{nClass=20,nIcon=3426,nFrame=4,szName="{$1}·受伤躁动·成都",nTime=10,nRefresh=1,key="受伤躁动！·",},{nClass=20,nIcon=643,nFrame=4,szName="{$1}·惊恐不安·成都",nTime=10,nRefresh=1,key="惊恐不安！·",},{nClass=20,nIcon=6227,nFrame=6,szName="{$1}·{$2}·消除了",nTime=5,nRefresh=1,key="{$2}·消除了",},},},</v>
      </c>
      <c r="N166" t="s">
        <v>6605</v>
      </c>
      <c r="O166" t="s">
        <v>6606</v>
      </c>
      <c r="P166" t="s">
        <v>6607</v>
      </c>
      <c r="Q166" t="s">
        <v>6608</v>
      </c>
      <c r="R166" t="s">
        <v>6609</v>
      </c>
      <c r="S166" t="s">
        <v>6610</v>
      </c>
      <c r="T166" t="s">
        <v>6611</v>
      </c>
      <c r="U166" t="s">
        <v>6612</v>
      </c>
      <c r="V166" t="s">
        <v>6613</v>
      </c>
      <c r="W166" t="s">
        <v>6614</v>
      </c>
      <c r="X166" t="s">
        <v>6615</v>
      </c>
      <c r="Y166" t="s">
        <v>6616</v>
      </c>
      <c r="Z166" t="s">
        <v>6617</v>
      </c>
      <c r="AA166" t="s">
        <v>6618</v>
      </c>
      <c r="AB166" t="s">
        <v>6619</v>
      </c>
      <c r="AC166" t="s">
        <v>6620</v>
      </c>
      <c r="AD166" t="s">
        <v>6621</v>
      </c>
      <c r="AE166" t="s">
        <v>6622</v>
      </c>
      <c r="AF166" t="s">
        <v>6623</v>
      </c>
    </row>
    <row r="167" spans="3:32" x14ac:dyDescent="0.15">
      <c r="C167" t="s">
        <v>6401</v>
      </c>
      <c r="F167">
        <v>1</v>
      </c>
      <c r="M167" t="str">
        <f t="shared" si="2"/>
        <v>{szContent="你已进入地图",bSearch=true,[20]={},tCountdown={{nClass=20,nIcon=13,nFrame=5,szName="浪客笺",nTime=0,key="浪客笺",},{nClass=20,nIcon=13,nFrame=5,szName="金水镇",nTime=-2,key="金水镇",},{nClass=20,nIcon=13,nFrame=5,szName="巴陵县",nTime=-2,key="巴陵县",},{nClass=20,nIcon=13,nFrame=5,szName="龙门荒漠",nTime=-2,key="龙门荒漠",},{nClass=20,nIcon=13,nFrame=5,szName="南屏山",nTime=-2,key="南屏山",},{nClass=20,nIcon=13,nFrame=5,szName="昆仑",nTime=-2,key="昆仑",},{nClass=20,nIcon=13,nFrame=5,szName="白龙口",nTime=-2,key="白龙口",},{nClass=20,nIcon=13,nFrame=5,szName="无量山",nTime=-2,key="无量山",},{nClass=20,nIcon=13,nFrame=5,szName="黑龙沼",nTime=-2,key="黑龙沼",},{nClass=20,nIcon=13,nFrame=5,szName="阴山大草原",nTime=-2,key="阴山大草原",},{nClass=20,nIcon=13,nFrame=5,szName="黑戈壁",nTime=-2,key="黑戈壁",},{nClass=20,nIcon=13,nFrame=5,szName="鲲鹏岛",nTime=-2,key="鲲鹏岛",},{nClass=20,nIcon=1465,nFrame=-1,szName="　",nTime=0.001,nRefresh=2,key="炊事",},{nClass=20,nIcon=13,nFrame=5,szName="炊事",nTime=-1,key="炊事",},},},</v>
      </c>
      <c r="N167" t="s">
        <v>6624</v>
      </c>
      <c r="O167" t="s">
        <v>6402</v>
      </c>
      <c r="P167" t="s">
        <v>6403</v>
      </c>
      <c r="Q167" t="s">
        <v>6404</v>
      </c>
      <c r="R167" t="s">
        <v>6405</v>
      </c>
      <c r="S167" t="s">
        <v>6406</v>
      </c>
      <c r="T167" t="s">
        <v>6407</v>
      </c>
      <c r="U167" t="s">
        <v>6408</v>
      </c>
      <c r="V167" t="s">
        <v>6409</v>
      </c>
      <c r="W167" t="s">
        <v>6410</v>
      </c>
      <c r="X167" t="s">
        <v>6411</v>
      </c>
      <c r="Y167" t="s">
        <v>6412</v>
      </c>
      <c r="Z167" t="s">
        <v>6413</v>
      </c>
      <c r="AA167" t="s">
        <v>6414</v>
      </c>
    </row>
    <row r="168" spans="3:32" x14ac:dyDescent="0.15">
      <c r="C168" t="s">
        <v>6438</v>
      </c>
      <c r="E168" t="s">
        <v>2524</v>
      </c>
      <c r="M168" t="str">
        <f t="shared" si="2"/>
        <v>{szContent="浩气盟前线战况空前激烈！未能进入浩气盟前线据点争夺场景参与战斗的侠士，可前往黑戈壁助本阵营后方物资运送一臂之力！只需完成增援任务，也可以参与本日逐鹿中原结算奖励发放。\n",col={100,100,255,},[20]={},tCountdown={{nClass=20,nIcon=18784,nFrame=7,szName="浩气盟·小攻防·黑戈壁分流",nTime=30,nRefresh=3600,key="浩气盟·小攻防·黑戈壁分流",},},},</v>
      </c>
      <c r="N168" t="s">
        <v>6439</v>
      </c>
    </row>
    <row r="169" spans="3:32" x14ac:dyDescent="0.15">
      <c r="C169" t="s">
        <v>6440</v>
      </c>
      <c r="E169" t="s">
        <v>2529</v>
      </c>
      <c r="M169" t="str">
        <f t="shared" si="2"/>
        <v>{szContent="恶人谷前线战况空前激烈！未能进入恶人谷前线据点争夺场景参与战斗的侠士，可前往黑戈壁助本阵营后方物资运送一臂之力！只需完成增援任务，也可以参与本日逐鹿中原结算奖励发放。\n",col={255,100,100,},[20]={},tCountdown={{nClass=20,nIcon=18783,nFrame=3,szName="恶人谷·小攻防·黑戈壁分流",nTime=30,nRefresh=3600,key="恶人谷·小攻防·黑戈壁分流",},},},</v>
      </c>
      <c r="N169" t="s">
        <v>6441</v>
      </c>
    </row>
    <row r="170" spans="3:32" x14ac:dyDescent="0.15">
      <c r="C170" t="s">
        <v>6442</v>
      </c>
      <c r="E170" t="s">
        <v>2718</v>
      </c>
      <c r="M170" t="str">
        <f t="shared" si="2"/>
        <v>{szContent="阴山大草原·分线据点争夺正式开始，场景内交通已中断。\n",col={255,255,100,},[20]={},tCountdown={{nClass=20,nIcon=3536,nFrame=3,szName="小攻防·阴山大草原·分流",nTime=10,nRefresh=3600,key="小攻防·阴山大草原·分流",},},},</v>
      </c>
      <c r="N170" t="s">
        <v>6443</v>
      </c>
    </row>
    <row r="171" spans="3:32" x14ac:dyDescent="0.15">
      <c r="C171" t="s">
        <v>6444</v>
      </c>
      <c r="E171" t="s">
        <v>2718</v>
      </c>
      <c r="M171" t="str">
        <f t="shared" si="2"/>
        <v>{szContent="前线战况空前激烈！未能进入前线据点争夺场景参与战斗的侠士，可前往阴山大草原助本阵营后方物资运送一臂之力！只需完成增援任务，也可以参与本日逐鹿中原结算奖励发放。\n",col={255,255,100,},[20]={},tCountdown={{nClass=20,nIcon=3536,nFrame=3,szName="小攻防·阴山大草原·分流",nTime=10,nRefresh=3600,key="小攻防·阴山大草原·分流",},},},</v>
      </c>
      <c r="N171" t="s">
        <v>6443</v>
      </c>
    </row>
    <row r="172" spans="3:32" x14ac:dyDescent="0.15">
      <c r="C172" t="s">
        <v>6445</v>
      </c>
      <c r="E172" t="s">
        <v>2718</v>
      </c>
      <c r="M172" t="str">
        <f t="shared" si="2"/>
        <v>{szContent="逐鹿中原前线战况空前激烈，位于阴山大草原的分线据点争夺将于5分钟后开启！未能进入前线据点争夺场景的侠士可从沙盘地图（Ctrl + M）动态分线入口，或主城战场区小曾和小珍处进入分线场景。\n",col={255,255,100,},[20]={},tCountdown={{nClass=20,nIcon=3536,nFrame=3,szName="小攻防·阴山大草原·分流",nTime=10,nRefresh=3600,key="小攻防·阴山大草原·分流",},},},</v>
      </c>
      <c r="N172" t="s">
        <v>6443</v>
      </c>
    </row>
    <row r="173" spans="3:32" x14ac:dyDescent="0.15">
      <c r="C173" t="s">
        <v>6451</v>
      </c>
      <c r="E173" t="s">
        <v>2718</v>
      </c>
      <c r="M173" t="str">
        <f t="shared" si="2"/>
        <v>{szContent="据点争夺战即将开始，为防弄虚作假者，即将对据点活动地图进行清场操作，请各阵营侠士做好准备。拥有据点地图优先进入权的帮众可提前进入地图以作防守准备，不会被清出地图。\n",col={255,255,100,},[20]={},tCountdown={{nClass=20,nIcon=3536,nFrame=0,szName="据点争夺战·开始排队",nTime=10,key="攻防活动",},},},</v>
      </c>
      <c r="N173" t="s">
        <v>6452</v>
      </c>
    </row>
    <row r="174" spans="3:32" x14ac:dyDescent="0.15">
      <c r="C174" t="s">
        <v>6454</v>
      </c>
      <c r="E174" t="s">
        <v>2718</v>
      </c>
      <c r="M174" t="str">
        <f t="shared" si="2"/>
        <v>{szContent="阵营攻防首领战奇袭场分线已经开启，现可前往本日奇袭场分线参与争夺，也可通过主城战场区分线接引人前往各个奇袭场分线参与。\n",col={255,255,100,},[20]={},tCountdown={{nClass=20,nIcon=3536,nFrame=3,szName="攻防·奇袭场·分线·开启",nTime=10,nRefresh=7200,key="大攻防·分流",},},},</v>
      </c>
      <c r="N174" t="s">
        <v>6455</v>
      </c>
    </row>
    <row r="175" spans="3:32" x14ac:dyDescent="0.15">
      <c r="C175" t="s">
        <v>6456</v>
      </c>
      <c r="E175" t="s">
        <v>2529</v>
      </c>
      <c r="M175" t="str">
        <f t="shared" si="2"/>
        <v>{szContent="阵营攻防排队正式开始，侠士们速速前往恶人谷地图参与排队，亦可与主城战场的冷倪之、冷允之对话进行排队。\n",col={255,100,100,},[20]={},tCountdown={{nClass=20,nIcon=14889,nFrame=3,szName="阵营攻防排队·正式开始",nTime=60,key="攻防活动",},{nClass=20,nIcon=17582,nFrame=3,szName="主战场·恶人谷",nTime=60,key="大攻防·主战场",},{nClass=20,nIcon=17583,nFrame=7,szName="奇袭场·浩气盟",nTime=60,key="大攻防·奇袭场",},},},</v>
      </c>
      <c r="N175" t="s">
        <v>6457</v>
      </c>
      <c r="O175" t="s">
        <v>6458</v>
      </c>
      <c r="P175" t="s">
        <v>6459</v>
      </c>
    </row>
    <row r="176" spans="3:32" x14ac:dyDescent="0.15">
      <c r="C176" t="s">
        <v>6460</v>
      </c>
      <c r="E176" t="s">
        <v>2524</v>
      </c>
      <c r="M176" t="str">
        <f t="shared" si="2"/>
        <v>{szContent="阵营攻防排队正式开始，侠士们速速前往浩气盟地图参与排队，亦可与主城战场的冷倪之、冷允之对话进行排队。\n",col={100,100,255,},[20]={},tCountdown={{nClass=20,nIcon=14890,nFrame=7,szName="阵营攻防排队·正式开始",nTime=60,key="攻防活动",},{nClass=20,nIcon=17583,nFrame=7,szName="主战场·浩气盟",nTime=60,key="大攻防·主战场",},{nClass=20,nIcon=17582,nFrame=3,szName="奇袭场·恶人谷",nTime=60,key="大攻防·奇袭场",},},},</v>
      </c>
      <c r="N176" t="s">
        <v>6461</v>
      </c>
      <c r="O176" t="s">
        <v>6462</v>
      </c>
      <c r="P176" t="s">
        <v>6463</v>
      </c>
    </row>
    <row r="177" spans="1:14" x14ac:dyDescent="0.15">
      <c r="C177" t="s">
        <v>6464</v>
      </c>
      <c r="E177" t="s">
        <v>2529</v>
      </c>
      <c r="M177" t="str">
        <f t="shared" si="2"/>
        <v>{szContent="阵营攻防战即将开始，为防弄虚作假者，即将对“恶人谷”地图进行清场操作，并在“下午六点三十分”开始攻防排队，请侠士们做好准备。请勿在下午六点三十分前排队，将被视为无效。\n",col={255,100,100,},[20]={},tCountdown={{nClass=20,nIcon=14887,nFrame=0,bHold=true,szName="阵营攻防·恶人谷·18:30排队",nTime=600,key="攻防活动",},},},</v>
      </c>
      <c r="N177" t="s">
        <v>6465</v>
      </c>
    </row>
    <row r="178" spans="1:14" x14ac:dyDescent="0.15">
      <c r="C178" t="s">
        <v>6466</v>
      </c>
      <c r="E178" t="s">
        <v>2529</v>
      </c>
      <c r="M178" t="str">
        <f t="shared" si="2"/>
        <v>{szContent="阵营攻防战即将开始，为防弄虚作假者，即将对“恶人谷”地图进行清场操作，并在“中午十二点三十分”开始攻防排队，请侠士们做好准备。请勿在中午十二点三十分前排队，将被视为无效。\n",col={255,100,100,},[20]={},tCountdown={{nClass=20,nIcon=14887,nFrame=0,bHold=true,szName="阵营攻防·恶人谷·12:30排队",nTime=600,key="攻防活动",},},},</v>
      </c>
      <c r="N178" t="s">
        <v>6467</v>
      </c>
    </row>
    <row r="179" spans="1:14" x14ac:dyDescent="0.15">
      <c r="C179" t="s">
        <v>6468</v>
      </c>
      <c r="E179" t="s">
        <v>2524</v>
      </c>
      <c r="M179" t="str">
        <f t="shared" si="2"/>
        <v>{szContent="阵营攻防战即将开始，为防弄虚作假者，即将对“浩气盟”地图进行清场操作，并在“下午六点三十分”开始攻防排队，请侠士们做好准备。请勿在下午六点三十分前排队，将被视为无效。\n",col={100,100,255,},[20]={},tCountdown={{nClass=20,nIcon=14888,nFrame=0,bHold=true,szName="阵营攻防·浩气盟·18:30排队",nTime=600,key="攻防活动",},},},</v>
      </c>
      <c r="N179" t="s">
        <v>6469</v>
      </c>
    </row>
    <row r="180" spans="1:14" x14ac:dyDescent="0.15">
      <c r="C180" t="s">
        <v>6470</v>
      </c>
      <c r="E180" t="s">
        <v>2524</v>
      </c>
      <c r="M180" t="str">
        <f t="shared" si="2"/>
        <v>{szContent="阵营攻防战即将开始，为防弄虚作假者，即将对“浩气盟”地图进行清场操作，并在“中午十二点三十分”开始攻防排队，请侠士们做好准备。请勿在中午十二点三十分前排队，将被视为无效。\n",col={100,100,255,},[20]={},tCountdown={{nClass=20,nIcon=14888,nFrame=0,bHold=true,szName="阵营攻防·浩气盟·12:30排队",nTime=600,key="攻防活动",},},},</v>
      </c>
      <c r="N180" t="s">
        <v>6471</v>
      </c>
    </row>
    <row r="181" spans="1:14" x14ac:dyDescent="0.15">
      <c r="A181" t="s">
        <v>2327</v>
      </c>
      <c r="B181">
        <v>-1</v>
      </c>
      <c r="M181" t="str">
        <f t="shared" si="2"/>
        <v>},[-1]={</v>
      </c>
    </row>
    <row r="182" spans="1:14" x14ac:dyDescent="0.15">
      <c r="C182" t="s">
        <v>6625</v>
      </c>
      <c r="D182" t="s">
        <v>6626</v>
      </c>
      <c r="E182" t="s">
        <v>2152</v>
      </c>
      <c r="G182">
        <v>1</v>
      </c>
      <c r="K182">
        <v>1</v>
      </c>
      <c r="M182" t="str">
        <f t="shared" si="2"/>
        <v>{szContent="“{$me}”.-触发[了]-奇遇【(.-)】",szNote="【{$receiver}】触发奇遇【{$1}】",col={0,255,255,},bReg=true,[20]={bCenterAlarm=true,},tCountdown={{nClass=20,nIcon=12372,nFrame=7,szName="【{$receiver}】触发奇遇【{$1}】",nTime=10,key="{$receiver}·触发奇遇",},},},</v>
      </c>
      <c r="N182" t="s">
        <v>6627</v>
      </c>
    </row>
    <row r="183" spans="1:14" x14ac:dyDescent="0.15">
      <c r="C183" t="s">
        <v>6628</v>
      </c>
      <c r="G183">
        <v>1</v>
      </c>
      <c r="M183" t="str">
        <f t="shared" si="2"/>
        <v>{szContent="[%[帮会%]]*([邀请]-)%[(.-)%]([从婉拒发出的邀请你加入退出被移除踢了本已经在一个帮会中好友敌对列表不再是黑名单成]+)[^团队][，。]+",bReg=true,[20]={},tCountdown={{nClass=20,nIcon=2116,nFrame=2,szName="{$1}【{$2}】{$3}",nTime=2,key="{$2}",},},},</v>
      </c>
      <c r="N183" t="s">
        <v>6629</v>
      </c>
    </row>
    <row r="184" spans="1:14" x14ac:dyDescent="0.15">
      <c r="C184" t="s">
        <v>6630</v>
      </c>
      <c r="G184">
        <v>1</v>
      </c>
      <c r="M184" t="str">
        <f t="shared" si="2"/>
        <v>{szContent="[你邀请的]*([向对方该玩家加入谢绝]-)[了]*\"(.-)\"[的]*([已经在其他的队伍中人数满发出谢绝了你组邀请不线存是长]+)[，。]+",bReg=true,[20]={},tCountdown={{nClass=20,nIcon=2116,nFrame=6,szName="{$1}【{$2}】{$3}",nTime=2,key="社交",},},},</v>
      </c>
      <c r="N184" t="s">
        <v>6631</v>
      </c>
    </row>
    <row r="185" spans="1:14" x14ac:dyDescent="0.15">
      <c r="C185" t="s">
        <v>6532</v>
      </c>
      <c r="G185">
        <v>1</v>
      </c>
      <c r="M185" t="str">
        <f t="shared" si="2"/>
        <v>{szContent="^诛恶事件触发！(.*)众侠士可前往【(.*)】一探究竟。\n",bReg=true,[20]={},tCountdown={{nClass=20,nIcon=334,nFrame=6,szName="诛恶事件·{$2}",nTime=300,key="诛恶事件",},},},</v>
      </c>
      <c r="N185" t="s">
        <v>6632</v>
      </c>
    </row>
    <row r="186" spans="1:14" x14ac:dyDescent="0.15">
      <c r="C186" t="s">
        <v>6633</v>
      </c>
      <c r="D186" t="s">
        <v>6634</v>
      </c>
      <c r="E186" t="s">
        <v>2718</v>
      </c>
      <c r="G186">
        <v>1</v>
      </c>
      <c r="M186" t="str">
        <f t="shared" si="2"/>
        <v>{szContent="^的卢已经出现在(.*)中，浩气盟和恶人谷的侠士可前去尝试抓捕！\n",szNote="的卢·已刷新",col={255,255,100,},bReg=true,[20]={},tCountdown={{nClass=20,nIcon=21034,nFrame=3,szName="的卢·{$1}",nTime=30,key="的卢",},},},</v>
      </c>
      <c r="N186" t="s">
        <v>6635</v>
      </c>
    </row>
    <row r="187" spans="1:14" x14ac:dyDescent="0.15">
      <c r="C187" t="s">
        <v>6636</v>
      </c>
      <c r="G187">
        <v>1</v>
      </c>
      <c r="M187" t="str">
        <f t="shared" si="2"/>
        <v>{szContent="^你已累计翻阅了(.*)次《(.*)传》。\n",bReg=true,[20]={},tCountdown={{nClass=20,nIcon=13,nFrame=6,szName="{$2}·尝试{$1}次",nTime=15,key="{$2}",},},},</v>
      </c>
      <c r="N187" t="s">
        <v>6637</v>
      </c>
    </row>
    <row r="188" spans="1:14" x14ac:dyDescent="0.15">
      <c r="C188" t="s">
        <v>6638</v>
      </c>
      <c r="D188" t="s">
        <v>6639</v>
      </c>
      <c r="K188">
        <v>1</v>
      </c>
      <c r="M188" t="str">
        <f t="shared" si="2"/>
        <v>{szContent="少侠奇穴重置，特补偿九花玉露散200个已通过邮件发送，请注意查收。\n",szNote="奇穴重置",[20]={bCenterAlarm=true,},tCountdown={{nClass=20,nIcon=1351,nFrame=3,szName="记得重新点奇穴！",nTime=30,key="奇穴重置",},},},</v>
      </c>
      <c r="N188" t="s">
        <v>6640</v>
      </c>
    </row>
    <row r="189" spans="1:14" x14ac:dyDescent="0.15">
      <c r="C189" t="s">
        <v>6641</v>
      </c>
      <c r="D189" t="s">
        <v>6642</v>
      </c>
      <c r="K189">
        <v>1</v>
      </c>
      <c r="M189" t="str">
        <f t="shared" si="2"/>
        <v>{szContent="已切换到“自由发言”模式\n",szNote="麦克风·自由发言",[20]={bCenterAlarm=true,},tCountdown={{nClass=20,nIcon=13308,nFrame=5,szName="麦克风·自由发言",nTime=2,key="麦克风",},},},</v>
      </c>
      <c r="N189" t="s">
        <v>6643</v>
      </c>
    </row>
    <row r="190" spans="1:14" x14ac:dyDescent="0.15">
      <c r="C190" t="s">
        <v>6644</v>
      </c>
      <c r="D190" t="s">
        <v>6645</v>
      </c>
      <c r="K190">
        <v>1</v>
      </c>
      <c r="M190" t="str">
        <f t="shared" si="2"/>
        <v>{szContent="已关闭麦克风\n",szNote="麦克风·已关闭",[20]={bCenterAlarm=true,},tCountdown={{nClass=20,nIcon=13308,nFrame=5,szName="麦克风·关闭",nTime=2,key="麦克风",},},},</v>
      </c>
      <c r="N190" t="s">
        <v>6646</v>
      </c>
    </row>
    <row r="191" spans="1:14" x14ac:dyDescent="0.15">
      <c r="C191" t="s">
        <v>6647</v>
      </c>
      <c r="D191" t="s">
        <v>6648</v>
      </c>
      <c r="I191">
        <v>1</v>
      </c>
      <c r="M191" t="str">
        <f t="shared" si="2"/>
        <v>{szContent="重置自身秘境成功。\n",szNote="重置自身秘境成功",[20]={bTeamChannel=true,},tCountdown={{nClass=20,nIcon=6233,nFrame=7,szName="重置自身秘境成功。",nTime=5,key="重置秘境",},},},</v>
      </c>
      <c r="N191" t="s">
        <v>6649</v>
      </c>
    </row>
    <row r="192" spans="1:14" x14ac:dyDescent="0.15">
      <c r="C192" t="s">
        <v>6650</v>
      </c>
      <c r="F192">
        <v>1</v>
      </c>
      <c r="M192" t="str">
        <f t="shared" si="2"/>
        <v>{szContent="你在挖掘宝藏时消耗了",bSearch=true,[20]={},tCountdown={{nClass=20,nIcon=2409,nFrame=5,szName="挖宝·CD",nTime=60,key="挖宝·CD",},},},</v>
      </c>
      <c r="N192" t="s">
        <v>6651</v>
      </c>
    </row>
    <row r="193" spans="1:14" x14ac:dyDescent="0.15">
      <c r="C193" t="s">
        <v>6652</v>
      </c>
      <c r="M193" t="str">
        <f t="shared" si="2"/>
        <v>{szContent="侠客召请成功\n",[20]={},tCountdown={{nClass=20,nIcon=13,nFrame=2,szName="侠客召请·CD",nTime=2,key="侠客召请",},},},</v>
      </c>
      <c r="N193" t="s">
        <v>6653</v>
      </c>
    </row>
    <row r="194" spans="1:14" x14ac:dyDescent="0.15">
      <c r="C194" t="s">
        <v>6654</v>
      </c>
      <c r="K194">
        <v>1</v>
      </c>
      <c r="M194" t="str">
        <f t="shared" ref="M194:M257" si="3">IF(ISBLANK(B194)=FALSE,IF(ISBLANK(B193),"},["&amp;B194&amp;"]={","["&amp;B194&amp;"]={"),IF(AND(ISBLANK(B194),ISBLANK(C194),ISBLANK(F194),ISBLANK(G194),OR(ISBLANK(B193)=FALSE,ISBLANK(C193)=FALSE,ISBLANK(F193)=FALSE,ISBLANK(G193)=FALSE)),"},},}",IF(ISBLANK(C194),"","{szContent="""&amp;C194&amp;""","&amp;IF(D194&lt;&gt;"","szNote="""&amp;D194&amp;""",","")&amp;IF(E194&lt;&gt;"","col={"&amp;E194&amp;"},","")&amp;IF(F194&gt;0,"bSearch=true,","")&amp;IF(G194&gt;0,"bReg=true,","")&amp;"[20]={"&amp;IF(H194&gt;0,"szVoice="""&amp;H194&amp;""",","")&amp;IF(I194&gt;0,"bTeamChannel=true,","")&amp;IF(J194&gt;0,"bWhisperChannel=true,","")&amp;IF(K194&gt;0,"bCenterAlarm=true,","")&amp;IF(L194&gt;0,"bScreenHead=true,","")&amp;"},"&amp;IF(N194&lt;&gt;"","tCountdown={"&amp;_xlfn.TEXTJOIN("",TRUE,N194:ZZ194)&amp;"},","")&amp;"},")))</f>
        <v>{szContent="目前队伍分配模式为：分配者分配。\n",[20]={bCenterAlarm=true,},},</v>
      </c>
    </row>
    <row r="195" spans="1:14" x14ac:dyDescent="0.15">
      <c r="C195" t="s">
        <v>6655</v>
      </c>
      <c r="K195">
        <v>1</v>
      </c>
      <c r="M195" t="str">
        <f t="shared" si="3"/>
        <v>{szContent="目前队伍分配模式为：拍团分配。\n",[20]={bCenterAlarm=true,},},</v>
      </c>
    </row>
    <row r="196" spans="1:14" x14ac:dyDescent="0.15">
      <c r="C196" t="s">
        <v>6656</v>
      </c>
      <c r="K196">
        <v>1</v>
      </c>
      <c r="M196" t="str">
        <f t="shared" si="3"/>
        <v>{szContent="目前队伍分配模式为：队伍拾取。\n",[20]={bCenterAlarm=true,},},</v>
      </c>
    </row>
    <row r="197" spans="1:14" x14ac:dyDescent="0.15">
      <c r="C197" t="s">
        <v>6657</v>
      </c>
      <c r="K197">
        <v>1</v>
      </c>
      <c r="M197" t="str">
        <f t="shared" si="3"/>
        <v>{szContent="目前队伍分配模式为：自由拾取。\n",[20]={bCenterAlarm=true,},},</v>
      </c>
    </row>
    <row r="198" spans="1:14" x14ac:dyDescent="0.15">
      <c r="C198" t="s">
        <v>6658</v>
      </c>
      <c r="D198" t="s">
        <v>6659</v>
      </c>
      <c r="F198">
        <v>1</v>
      </c>
      <c r="K198">
        <v>1</v>
      </c>
      <c r="M198" t="str">
        <f t="shared" si="3"/>
        <v>{szContent="小队的 {$team} 率先攻击了",szNote="【{$receiver}】开怪了！",bSearch=true,[20]={bCenterAlarm=true,},},</v>
      </c>
    </row>
    <row r="199" spans="1:14" x14ac:dyDescent="0.15">
      <c r="C199" t="s">
        <v>6660</v>
      </c>
      <c r="D199" t="s">
        <v>5500</v>
      </c>
      <c r="K199">
        <v>1</v>
      </c>
      <c r="M199" t="str">
        <f t="shared" si="3"/>
        <v>{szContent="好像有鱼咬钩了，快收杆！\n",szNote="有鱼咬钩",[20]={bCenterAlarm=true,},tCountdown={{nClass=20,nIcon=2678,nFrame=5,szName="快收杆",nTime=5,key="钓鱼提示",},},},</v>
      </c>
      <c r="N199" t="s">
        <v>6661</v>
      </c>
    </row>
    <row r="200" spans="1:14" x14ac:dyDescent="0.15">
      <c r="A200" t="s">
        <v>232</v>
      </c>
      <c r="B200">
        <v>2</v>
      </c>
      <c r="M200" t="str">
        <f t="shared" si="3"/>
        <v>},[2]={</v>
      </c>
    </row>
    <row r="201" spans="1:14" x14ac:dyDescent="0.15">
      <c r="C201" t="s">
        <v>6662</v>
      </c>
      <c r="M201" t="str">
        <f t="shared" si="3"/>
        <v>{szContent="中原战乱数年未休，东方谷主感于天下不宁，百姓罹难，病症者缺医少药，朝不保夕。决定在今日开放万花谷，让百姓入谷就医。以一谷之清静，换万千百姓之安宁。万花药王孙思邈在此宣布：万花门派事件“开谷济苍生”正式开始，各位侠士可前来青岩万花施以援手！\n",[20]={},tCountdown={{nClass=20,nIcon=17135,nFrame=0,szName="万花·门派事件·星落湖",nTime=10,key="门派事件1",},},},</v>
      </c>
      <c r="N201" t="s">
        <v>6663</v>
      </c>
    </row>
    <row r="202" spans="1:14" x14ac:dyDescent="0.15">
      <c r="C202" t="s">
        <v>6664</v>
      </c>
      <c r="M202" t="str">
        <f t="shared" si="3"/>
        <v>{szContent="万花昨日开谷，毒人来犯，晴昼海意外被毁，狼牙贼心不死再度来袭，万花开谷能否顺利进行？花圣宇晴发起委托，各侠士可前往万花与万花弟子一起修复花海，抵御狼牙。\n",[20]={},tCountdown={{nClass=20,nIcon=17135,nFrame=0,szName="万花·门派事件·星落湖",nTime=10,key="门派事件1",},},},</v>
      </c>
      <c r="N202" t="s">
        <v>6663</v>
      </c>
    </row>
    <row r="203" spans="1:14" x14ac:dyDescent="0.15">
      <c r="A203" t="s">
        <v>665</v>
      </c>
      <c r="B203">
        <v>5</v>
      </c>
      <c r="M203" t="str">
        <f t="shared" si="3"/>
        <v>},[5]={</v>
      </c>
    </row>
    <row r="204" spans="1:14" x14ac:dyDescent="0.15">
      <c r="C204" t="s">
        <v>6665</v>
      </c>
      <c r="M204" t="str">
        <f t="shared" si="3"/>
        <v>{szContent="东瀛使团已上少林，两国高僧禅武相较。众侠士请速至少林寺观摩盛会，必能获益匪浅。\n",[20]={},tCountdown={{nClass=20,nIcon=17135,nFrame=0,szName="少林·门派事件·少林寺前门",nTime=10,key="门派事件1",},},},</v>
      </c>
      <c r="N204" t="s">
        <v>6666</v>
      </c>
    </row>
    <row r="205" spans="1:14" x14ac:dyDescent="0.15">
      <c r="C205" t="s">
        <v>6667</v>
      </c>
      <c r="M205" t="str">
        <f t="shared" si="3"/>
        <v>{szContent="少林众僧慈悲为怀，正设法救治重伤的虚念大师，众侠士请速至少林与会，共结善缘。\n",[20]={},tCountdown={{nClass=20,nIcon=17135,nFrame=0,szName="少林·门派事件·少林寺",nTime=10,key="门派事件1",},},},</v>
      </c>
      <c r="N205" t="s">
        <v>6668</v>
      </c>
    </row>
    <row r="206" spans="1:14" x14ac:dyDescent="0.15">
      <c r="C206" t="s">
        <v>6669</v>
      </c>
      <c r="M206" t="str">
        <f t="shared" si="3"/>
        <v>{szContent="你已接受了[鸿鹄·灵霄险恶]。\n",[20]={},tCountdown={{nClass=20,nIcon=17135,nFrame=5,szName="秘境·灵霄峡·五人普通",nTime=2,key="任务·提示1",},},},</v>
      </c>
      <c r="N206" t="s">
        <v>6670</v>
      </c>
    </row>
    <row r="207" spans="1:14" x14ac:dyDescent="0.15">
      <c r="A207" t="s">
        <v>675</v>
      </c>
      <c r="B207">
        <v>7</v>
      </c>
      <c r="M207" t="str">
        <f t="shared" si="3"/>
        <v>},[7]={</v>
      </c>
    </row>
    <row r="208" spans="1:14" x14ac:dyDescent="0.15">
      <c r="C208" t="s">
        <v>6671</v>
      </c>
      <c r="M208" t="str">
        <f t="shared" si="3"/>
        <v>{szContent="你在【纯阳·星野剑阵·布阵】公共事件中的个人贡献度增加了10分。\n",[20]={},tCountdown={{nClass=20,nIcon=17135,nFrame=3,szName="门派事件·星野剑阵·布阵+10分",nTime=2,key="门派事件1",},},},</v>
      </c>
      <c r="N208" t="s">
        <v>6672</v>
      </c>
    </row>
    <row r="209" spans="1:14" x14ac:dyDescent="0.15">
      <c r="C209" t="s">
        <v>6673</v>
      </c>
      <c r="M209" t="str">
        <f t="shared" si="3"/>
        <v>{szContent="纯阳观在太极广场搭起多座祭坛、并设香炉数座，侠士可焚香供奉老祖，亦或观摩、助纯阳炼丹，亦或是为族人、挚友刻下祈福锁祈福，纯阳观均有好礼相赠。此外，诸位侠士还可通过太极广场中三个祭坛，体验纯阳轻身秘术，若有能者摘得空中纸符，便可得老祖护佑。\n",[20]={},tCountdown={{nClass=20,nIcon=17135,nFrame=5,szName="纯阳·门派事件·太极广场",nTime=10,key="门派事件1",},},},</v>
      </c>
      <c r="N209" t="s">
        <v>6674</v>
      </c>
    </row>
    <row r="210" spans="1:14" x14ac:dyDescent="0.15">
      <c r="C210" t="s">
        <v>6675</v>
      </c>
      <c r="D210" t="s">
        <v>6676</v>
      </c>
      <c r="M210" t="str">
        <f t="shared" si="3"/>
        <v>{szContent="诸侠士需协助纯阳修复、完成剑阵，并协力抵御星宿老仙的进攻。星宿老仙千秋子于小星宿海中获得武侯移星术以及上古毒经残卷的另外版本后，闭关潜心修炼秘术多年，如今实力更胜从先，侠士须得小心行事。\n",szNote="纯阳·门派事件",[20]={},tCountdown={{nClass=20,nIcon=17135,nFrame=5,szName="纯阳·门派事件·太极广场",nTime=10,key="门派事件1",},},},</v>
      </c>
      <c r="N210" t="s">
        <v>6674</v>
      </c>
    </row>
    <row r="211" spans="1:14" x14ac:dyDescent="0.15">
      <c r="C211" t="s">
        <v>6677</v>
      </c>
      <c r="M211" t="str">
        <f t="shared" si="3"/>
        <v>{szContent="你已接受了[鸿鹄·空雾风云]。\n",[20]={},tCountdown={{nClass=20,nIcon=17135,nFrame=5,szName="秘境·空雾峰·五人普通",nTime=2,key="任务·提示1",},},},</v>
      </c>
      <c r="N211" t="s">
        <v>6678</v>
      </c>
    </row>
    <row r="212" spans="1:14" x14ac:dyDescent="0.15">
      <c r="A212" t="s">
        <v>679</v>
      </c>
      <c r="B212">
        <v>8</v>
      </c>
      <c r="M212" t="str">
        <f t="shared" si="3"/>
        <v>},[8]={</v>
      </c>
    </row>
    <row r="213" spans="1:14" x14ac:dyDescent="0.15">
      <c r="C213" t="s">
        <v>6574</v>
      </c>
      <c r="M213" t="str">
        <f t="shared" si="3"/>
        <v>{szContent="你已接受了[品茶鉴水·仙崖石花]。\n",[20]={},tCountdown={{nClass=20,nIcon=942,nFrame=5,szName="仙崖石花·翠竹朝露",nTime=10,key="茶馆·泡茶",},},},</v>
      </c>
      <c r="N213" t="s">
        <v>6575</v>
      </c>
    </row>
    <row r="214" spans="1:14" x14ac:dyDescent="0.15">
      <c r="C214" t="s">
        <v>6572</v>
      </c>
      <c r="M214" t="str">
        <f t="shared" si="3"/>
        <v>{szContent="你已接受了[品茶鉴水·峨眉白芽]。\n",[20]={},tCountdown={{nClass=20,nIcon=1400,nFrame=5,szName="峨眉白芽·灵山妙雨",nTime=10,key="茶馆·泡茶",},},},</v>
      </c>
      <c r="N214" t="s">
        <v>6573</v>
      </c>
    </row>
    <row r="215" spans="1:14" x14ac:dyDescent="0.15">
      <c r="C215" t="s">
        <v>6580</v>
      </c>
      <c r="M215" t="str">
        <f t="shared" si="3"/>
        <v>{szContent="你已接受了[品茶鉴水·蒙顶石花]。\n",[20]={},tCountdown={{nClass=20,nIcon=965,nFrame=5,szName="蒙顶石花·月鸿仙泉",nTime=10,key="茶馆·泡茶",},},},</v>
      </c>
      <c r="N215" t="s">
        <v>6581</v>
      </c>
    </row>
    <row r="216" spans="1:14" x14ac:dyDescent="0.15">
      <c r="C216" t="s">
        <v>6578</v>
      </c>
      <c r="M216" t="str">
        <f t="shared" si="3"/>
        <v>{szContent="你已接受了[品茶鉴水·西山白露]。\n",[20]={},tCountdown={{nClass=20,nIcon=238,nFrame=5,szName="西山白露·无香真水",nTime=10,key="茶馆·泡茶",},},},</v>
      </c>
      <c r="N216" t="s">
        <v>6579</v>
      </c>
    </row>
    <row r="217" spans="1:14" x14ac:dyDescent="0.15">
      <c r="C217" t="s">
        <v>6576</v>
      </c>
      <c r="M217" t="str">
        <f t="shared" si="3"/>
        <v>{szContent="你已接受了[品茶鉴水·顾渚紫笋]。\n",[20]={},tCountdown={{nClass=20,nIcon=255,nFrame=5,szName="顾渚紫笋·阳崖云泉",nTime=10,key="茶馆·泡茶",},},},</v>
      </c>
      <c r="N217" t="s">
        <v>6577</v>
      </c>
    </row>
    <row r="218" spans="1:14" x14ac:dyDescent="0.15">
      <c r="C218" t="s">
        <v>6568</v>
      </c>
      <c r="M218" t="str">
        <f t="shared" si="3"/>
        <v>{szContent="你已接受了[公平交易·方山露芽]。\n",[20]={},tCountdown={{nClass=20,nIcon=1257,nFrame=5,szName="方山露芽·甘草·精肉",nTime=10,key="茶馆·交易",},},},</v>
      </c>
      <c r="N218" t="s">
        <v>6569</v>
      </c>
    </row>
    <row r="219" spans="1:14" x14ac:dyDescent="0.15">
      <c r="C219" t="s">
        <v>6564</v>
      </c>
      <c r="M219" t="str">
        <f t="shared" si="3"/>
        <v>{szContent="你已接受了[公平交易·仙人掌茶]。\n",[20]={},tCountdown={{nClass=20,nIcon=659,nFrame=5,szName="仙人掌茶·碎肉",nTime=10,key="茶馆·交易",},},},</v>
      </c>
      <c r="N219" t="s">
        <v>6565</v>
      </c>
    </row>
    <row r="220" spans="1:14" x14ac:dyDescent="0.15">
      <c r="C220" t="s">
        <v>6562</v>
      </c>
      <c r="M220" t="str">
        <f t="shared" si="3"/>
        <v>{szContent="你已接受了[公平交易·阳羡茶]。\n",[20]={},tCountdown={{nClass=20,nIcon=1260,nFrame=5,szName="阳羡茶·大黄",nTime=10,key="茶馆·交易",},},},</v>
      </c>
      <c r="N220" t="s">
        <v>6563</v>
      </c>
    </row>
    <row r="221" spans="1:14" x14ac:dyDescent="0.15">
      <c r="C221" t="s">
        <v>6566</v>
      </c>
      <c r="M221" t="str">
        <f t="shared" si="3"/>
        <v>{szContent="你已接受了[公平交易·庐山云雾茶]。\n",[20]={},tCountdown={{nClass=20,nIcon=1258,nFrame=5,szName="庐山云雾茶·锡矿·杂碎",nTime=10,key="茶馆·交易",},},},</v>
      </c>
      <c r="N221" t="s">
        <v>6567</v>
      </c>
    </row>
    <row r="222" spans="1:14" x14ac:dyDescent="0.15">
      <c r="C222" t="s">
        <v>6570</v>
      </c>
      <c r="M222" t="str">
        <f t="shared" si="3"/>
        <v>{szContent="你已接受了[公平交易·霍山黄芽]。\n",[20]={},tCountdown={{nClass=20,nIcon=1259,nFrame=5,szName="霍山黄芽·铜矿",nTime=10,key="茶馆·交易",},},},</v>
      </c>
      <c r="N222" t="s">
        <v>6571</v>
      </c>
    </row>
    <row r="223" spans="1:14" x14ac:dyDescent="0.15">
      <c r="C223" t="s">
        <v>6560</v>
      </c>
      <c r="M223" t="str">
        <f t="shared" si="3"/>
        <v>{szContent="你已接受了[江湖秘闻]。\n",[20]={},tCountdown={{nClass=20,nIcon=17135,nFrame=5,szName="选项1帮会+选项4门派合并为正确答案",nTime=15,key="茶馆·提示0",},},},</v>
      </c>
      <c r="N223" t="s">
        <v>6561</v>
      </c>
    </row>
    <row r="224" spans="1:14" x14ac:dyDescent="0.15">
      <c r="C224" t="s">
        <v>6582</v>
      </c>
      <c r="M224" t="str">
        <f t="shared" si="3"/>
        <v>{szContent="你已接受了[潜行狙击]。\n",[20]={},tCountdown={{nClass=20,nIcon=770,nFrame=5,szName="骑马跟随",nTime=15,key="茶馆",},},},</v>
      </c>
      <c r="N224" t="s">
        <v>6679</v>
      </c>
    </row>
    <row r="225" spans="1:20" x14ac:dyDescent="0.15">
      <c r="C225" t="s">
        <v>6593</v>
      </c>
      <c r="E225" t="s">
        <v>2718</v>
      </c>
      <c r="G225">
        <v>1</v>
      </c>
      <c r="M225" t="str">
        <f t="shared" si="3"/>
        <v>{szContent="^%[(.-)%]服务器：%[(.-)%]大侠，率领%[([浩气盟恶人谷]-)%]阵营侠士们，成功夺得【([隐樵天生赤岩关]-)】",col={255,255,100,},bReg=true,[20]={},tCountdown={{nClass=20,nIcon=1465,nFrame=-1,szName="　",nTime=0.001,nRefresh=2,key="关隘·浩气盟·{$1}",},{nClass=20,nIcon=1465,nFrame=-1,szName="关隘·浩气盟·{$1}",nTime=-1,key="关隘·浩气盟·{$1}",},{nClass=20,nIcon=1465,nFrame=-1,szName="　",nTime=0.001,nRefresh=2,key="关隘·恶人谷·{$1}",},{nClass=20,nIcon=1465,nFrame=-1,szName="关隘·恶人谷·{$1}",nTime=-1,key="关隘·恶人谷·{$1}",},{nClass=20,nIcon=13,nFrame=5,szName="关隘·{$3}·{$1}",nTime=0,key="关隘·{$3}·{$1}",},{nClass=20,nIcon=17583,nFrame=7,szName="浩气盟·[{$1}]·{$4}",nTime=10,nRefresh=1,key="关隘·浩气盟·{$1}",},{nClass=20,nIcon=17582,nFrame=3,szName="恶人谷·[{$1}]·{$4}",nTime=10,nRefresh=1,key="关隘·恶人谷·{$1}",},},},</v>
      </c>
      <c r="N225" t="s">
        <v>6594</v>
      </c>
      <c r="O225" t="s">
        <v>6595</v>
      </c>
      <c r="P225" t="s">
        <v>6596</v>
      </c>
      <c r="Q225" t="s">
        <v>6597</v>
      </c>
      <c r="R225" t="s">
        <v>6598</v>
      </c>
      <c r="S225" t="s">
        <v>6599</v>
      </c>
      <c r="T225" t="s">
        <v>6600</v>
      </c>
    </row>
    <row r="226" spans="1:20" x14ac:dyDescent="0.15">
      <c r="A226" t="s">
        <v>684</v>
      </c>
      <c r="B226">
        <v>9</v>
      </c>
      <c r="M226" t="str">
        <f t="shared" si="3"/>
        <v>},[9]={</v>
      </c>
    </row>
    <row r="227" spans="1:20" x14ac:dyDescent="0.15">
      <c r="C227" t="s">
        <v>6423</v>
      </c>
      <c r="D227" t="s">
        <v>6424</v>
      </c>
      <c r="E227" t="s">
        <v>2718</v>
      </c>
      <c r="G227">
        <v>1</v>
      </c>
      <c r="M227" t="str">
        <f t="shared" si="3"/>
        <v>{szContent="([浩气恶人]+)[盟谷]-的【(.-)】帮会成功占领【(.-)】据点！",szNote="{$3}·{$1}占领",col={255,255,100,},bReg=true,[20]={},tCountdown={{nClass=20,nIcon=2397,nFrame=-1,szName="",nTime=0.001,nRefresh=2,key="{$3}·浩气占领",},{nClass=20,nIcon=2397,nFrame=-1,szName="{$3}·浩气占领",nTime=-1,key="{$3}·浩气占领",},{nClass=20,nIcon=2398,nFrame=-1,szName="",nTime=0.001,nRefresh=2,key="{$3}·恶人占领",},{nClass=20,nIcon=2398,nFrame=-1,szName="{$3}·恶人占领",nTime=-1,key="{$3}·恶人占领",},{nClass=20,nIcon=2400,nFrame=7,szName="{$3}·{$1}占领",nTime=0,key="{$3}·{$1}占领",},{nClass=20,nIcon=20122,nFrame=7,szName="【{$3}】·浩气占领",nTime=30,nRefresh=1,key="{$3}·浩气占领",},{nClass=20,nIcon=20114,nFrame=3,szName="【{$3}】·恶人占领",nTime=30,nRefresh=1,key="{$3}·恶人占领",},},},</v>
      </c>
      <c r="N227" t="s">
        <v>6680</v>
      </c>
      <c r="O227" t="s">
        <v>6681</v>
      </c>
      <c r="P227" t="s">
        <v>6682</v>
      </c>
      <c r="Q227" t="s">
        <v>6683</v>
      </c>
      <c r="R227" t="s">
        <v>6684</v>
      </c>
      <c r="S227" t="s">
        <v>6685</v>
      </c>
      <c r="T227" t="s">
        <v>6686</v>
      </c>
    </row>
    <row r="228" spans="1:20" x14ac:dyDescent="0.15">
      <c r="C228" t="s">
        <v>6687</v>
      </c>
      <c r="D228" t="s">
        <v>6688</v>
      </c>
      <c r="E228" t="s">
        <v>2718</v>
      </c>
      <c r="G228">
        <v>1</v>
      </c>
      <c r="M228" t="str">
        <f t="shared" si="3"/>
        <v>{szContent="([浩气恶人]+)[盟谷]-位于(.-)的【(.-)据点】大旗被夺",szNote="{$3}·{$1}大旗被夺",col={255,255,100,},bReg=true,[20]={},tCountdown={{nClass=20,nIcon=2397,nFrame=-1,szName="",nTime=0.001,nRefresh=2,key="{$3}·浩气大旗被夺",},{nClass=20,nIcon=2397,nFrame=-1,szName="{$3}·浩气大旗被夺",nTime=-1,key="{$3}·浩气大旗被夺",},{nClass=20,nIcon=2398,nFrame=-1,szName="",nTime=0.001,nRefresh=2,key="{$3}·恶人大旗被夺",},{nClass=20,nIcon=2398,nFrame=-1,szName="{$3}·恶人大旗被夺",nTime=-1,key="{$3}·恶人大旗被夺",},{nClass=20,nIcon=2400,nFrame=7,szName="{$3}·{$1}大旗被夺",nTime=0,key="{$3}·{$1}大旗被夺",},{nClass=20,nIcon=4837,nFrame=7,szName="{$2}【{$3}】浩气大旗被夺",nTime=30,nRefresh=1,key="{$3}·浩气大旗被夺",},{nClass=20,nIcon=4838,nFrame=3,szName="{$2}【{$3}】恶人大旗被夺",nTime=30,nRefresh=1,key="{$3}·恶人大旗被夺",},},},</v>
      </c>
      <c r="N228" t="s">
        <v>6689</v>
      </c>
      <c r="O228" t="s">
        <v>6690</v>
      </c>
      <c r="P228" t="s">
        <v>6691</v>
      </c>
      <c r="Q228" t="s">
        <v>6692</v>
      </c>
      <c r="R228" t="s">
        <v>6693</v>
      </c>
      <c r="S228" t="s">
        <v>6694</v>
      </c>
      <c r="T228" t="s">
        <v>6695</v>
      </c>
    </row>
    <row r="229" spans="1:20" x14ac:dyDescent="0.15">
      <c r="C229" t="s">
        <v>6696</v>
      </c>
      <c r="D229" t="s">
        <v>6697</v>
      </c>
      <c r="E229" t="s">
        <v>2718</v>
      </c>
      <c r="G229">
        <v>1</v>
      </c>
      <c r="M229" t="str">
        <f t="shared" si="3"/>
        <v>{szContent="^【(.*)】据点大旗.*重置回初始位置！",szNote="{$1}大旗重置",col={255,255,100,},bReg=true,[20]={},tCountdown={{nClass=20,nIcon=592,nFrame=4,szName="【{$1}】大旗重置",nTime=180,key="{$1}·大旗重置",},},},</v>
      </c>
      <c r="N229" t="s">
        <v>6698</v>
      </c>
    </row>
    <row r="230" spans="1:20" x14ac:dyDescent="0.15">
      <c r="C230" t="s">
        <v>6699</v>
      </c>
      <c r="D230" t="s">
        <v>6700</v>
      </c>
      <c r="E230" t="s">
        <v>2718</v>
      </c>
      <c r="G230">
        <v>1</v>
      </c>
      <c r="M230" t="str">
        <f t="shared" si="3"/>
        <v>{szContent="^江湖快报！(.-)据点粮仓被一群([浩气恶人]+)[盟谷]-人士洗劫，损失一半据点资金。",szNote="{$1}·{$2}劫粮",col={255,255,100,},bReg=true,[20]={},tCountdown={{nClass=20,nIcon=2397,nFrame=-1,szName="",nTime=0.001,nRefresh=2,key="{$1}·浩气劫粮",},{nClass=20,nIcon=2397,nFrame=-1,szName="{$1}·浩气劫粮",nTime=-1,key="{$1}·浩气劫粮",},{nClass=20,nIcon=2398,nFrame=-1,szName="",nTime=0.001,nRefresh=2,key="{$1}·恶人劫粮",},{nClass=20,nIcon=2398,nFrame=-1,szName="{$1}·恶人劫粮",nTime=-1,key="{$1}·恶人劫粮",},{nClass=20,nIcon=2400,nFrame=7,szName="{$1}·{$2}劫粮",nTime=0,key="{$1}·{$2}劫粮",},{nClass=20,nIcon=15387,nFrame=7,szName="【{$1}】浩气劫粮",nTime=30,nRefresh=1,key="{$1}·浩气劫粮",},{nClass=20,nIcon=15383,nFrame=3,szName="【{$1}】恶人劫粮",nTime=30,nRefresh=1,key="{$1}·恶人劫粮",},},},</v>
      </c>
      <c r="N230" t="s">
        <v>6701</v>
      </c>
      <c r="O230" t="s">
        <v>6702</v>
      </c>
      <c r="P230" t="s">
        <v>6703</v>
      </c>
      <c r="Q230" t="s">
        <v>6704</v>
      </c>
      <c r="R230" t="s">
        <v>6705</v>
      </c>
      <c r="S230" t="s">
        <v>6706</v>
      </c>
      <c r="T230" t="s">
        <v>6707</v>
      </c>
    </row>
    <row r="231" spans="1:20" x14ac:dyDescent="0.15">
      <c r="A231" t="s">
        <v>697</v>
      </c>
      <c r="B231">
        <v>13</v>
      </c>
      <c r="M231" t="str">
        <f t="shared" si="3"/>
        <v>},[13]={</v>
      </c>
    </row>
    <row r="232" spans="1:20" x14ac:dyDescent="0.15">
      <c r="C232" t="s">
        <v>6708</v>
      </c>
      <c r="F232">
        <v>1</v>
      </c>
      <c r="M232" t="str">
        <f t="shared" si="3"/>
        <v>{szContent="在金水镇捕获8级",bSearch=true,[20]={},tCountdown={{nClass=20,nIcon=1897,nFrame=5,szName="【龙子】已被捕获",nTime=10,key="金水镇",},},},</v>
      </c>
      <c r="N232" t="s">
        <v>6709</v>
      </c>
    </row>
    <row r="233" spans="1:20" x14ac:dyDescent="0.15">
      <c r="C233" t="s">
        <v>6710</v>
      </c>
      <c r="F233">
        <v>1</v>
      </c>
      <c r="M233" t="str">
        <f t="shared" si="3"/>
        <v>{szContent="在金水镇捕获9级",bSearch=true,[20]={},tCountdown={{nClass=20,nIcon=1897,nFrame=5,szName="【麟驹】已被捕获",nTime=10,key="金水镇",},},},</v>
      </c>
      <c r="N233" t="s">
        <v>6711</v>
      </c>
    </row>
    <row r="234" spans="1:20" x14ac:dyDescent="0.15">
      <c r="C234" t="s">
        <v>6423</v>
      </c>
      <c r="D234" t="s">
        <v>6424</v>
      </c>
      <c r="E234" t="s">
        <v>2718</v>
      </c>
      <c r="G234">
        <v>1</v>
      </c>
      <c r="M234" t="str">
        <f t="shared" si="3"/>
        <v>{szContent="([浩气恶人]+)[盟谷]-的【(.-)】帮会成功占领【(.-)】据点！",szNote="{$3}·{$1}占领",col={255,255,100,},bReg=true,[20]={},tCountdown={{nClass=20,nIcon=2397,nFrame=-1,szName="",nTime=0.001,nRefresh=2,key="{$3}·浩气占领",},{nClass=20,nIcon=2397,nFrame=-1,szName="{$3}·浩气占领",nTime=-1,key="{$3}·浩气占领",},{nClass=20,nIcon=2398,nFrame=-1,szName="",nTime=0.001,nRefresh=2,key="{$3}·恶人占领",},{nClass=20,nIcon=2398,nFrame=-1,szName="{$3}·恶人占领",nTime=-1,key="{$3}·恶人占领",},{nClass=20,nIcon=2400,nFrame=7,szName="{$3}·{$1}占领",nTime=0,key="{$3}·{$1}占领",},{nClass=20,nIcon=20122,nFrame=7,szName="【{$3}】·浩气占领",nTime=30,nRefresh=1,key="{$3}·浩气占领",},{nClass=20,nIcon=20114,nFrame=3,szName="【{$3}】·恶人占领",nTime=30,nRefresh=1,key="{$3}·恶人占领",},},},</v>
      </c>
      <c r="N234" t="s">
        <v>6680</v>
      </c>
      <c r="O234" t="s">
        <v>6681</v>
      </c>
      <c r="P234" t="s">
        <v>6682</v>
      </c>
      <c r="Q234" t="s">
        <v>6683</v>
      </c>
      <c r="R234" t="s">
        <v>6684</v>
      </c>
      <c r="S234" t="s">
        <v>6685</v>
      </c>
      <c r="T234" t="s">
        <v>6686</v>
      </c>
    </row>
    <row r="235" spans="1:20" x14ac:dyDescent="0.15">
      <c r="C235" t="s">
        <v>6687</v>
      </c>
      <c r="D235" t="s">
        <v>6688</v>
      </c>
      <c r="E235" t="s">
        <v>2718</v>
      </c>
      <c r="G235">
        <v>1</v>
      </c>
      <c r="M235" t="str">
        <f t="shared" si="3"/>
        <v>{szContent="([浩气恶人]+)[盟谷]-位于(.-)的【(.-)据点】大旗被夺",szNote="{$3}·{$1}大旗被夺",col={255,255,100,},bReg=true,[20]={},tCountdown={{nClass=20,nIcon=2397,nFrame=-1,szName="",nTime=0.001,nRefresh=2,key="{$3}·浩气大旗被夺",},{nClass=20,nIcon=2397,nFrame=-1,szName="{$3}·浩气大旗被夺",nTime=-1,key="{$3}·浩气大旗被夺",},{nClass=20,nIcon=2398,nFrame=-1,szName="",nTime=0.001,nRefresh=2,key="{$3}·恶人大旗被夺",},{nClass=20,nIcon=2398,nFrame=-1,szName="{$3}·恶人大旗被夺",nTime=-1,key="{$3}·恶人大旗被夺",},{nClass=20,nIcon=2400,nFrame=7,szName="{$3}·{$1}大旗被夺",nTime=0,key="{$3}·{$1}大旗被夺",},{nClass=20,nIcon=4837,nFrame=7,szName="{$2}【{$3}】浩气大旗被夺",nTime=30,nRefresh=1,key="{$3}·浩气大旗被夺",},{nClass=20,nIcon=4838,nFrame=3,szName="{$2}【{$3}】恶人大旗被夺",nTime=30,nRefresh=1,key="{$3}·恶人大旗被夺",},},},</v>
      </c>
      <c r="N235" t="s">
        <v>6689</v>
      </c>
      <c r="O235" t="s">
        <v>6690</v>
      </c>
      <c r="P235" t="s">
        <v>6691</v>
      </c>
      <c r="Q235" t="s">
        <v>6692</v>
      </c>
      <c r="R235" t="s">
        <v>6693</v>
      </c>
      <c r="S235" t="s">
        <v>6694</v>
      </c>
      <c r="T235" t="s">
        <v>6695</v>
      </c>
    </row>
    <row r="236" spans="1:20" x14ac:dyDescent="0.15">
      <c r="C236" t="s">
        <v>6696</v>
      </c>
      <c r="D236" t="s">
        <v>6697</v>
      </c>
      <c r="E236" t="s">
        <v>2718</v>
      </c>
      <c r="G236">
        <v>1</v>
      </c>
      <c r="M236" t="str">
        <f t="shared" si="3"/>
        <v>{szContent="^【(.*)】据点大旗.*重置回初始位置！",szNote="{$1}大旗重置",col={255,255,100,},bReg=true,[20]={},tCountdown={{nClass=20,nIcon=592,nFrame=4,szName="【{$1}】大旗重置",nTime=180,key="{$1}·大旗重置",},},},</v>
      </c>
      <c r="N236" t="s">
        <v>6698</v>
      </c>
    </row>
    <row r="237" spans="1:20" x14ac:dyDescent="0.15">
      <c r="C237" t="s">
        <v>6699</v>
      </c>
      <c r="D237" t="s">
        <v>6700</v>
      </c>
      <c r="E237" t="s">
        <v>2718</v>
      </c>
      <c r="G237">
        <v>1</v>
      </c>
      <c r="M237" t="str">
        <f t="shared" si="3"/>
        <v>{szContent="^江湖快报！(.-)据点粮仓被一群([浩气恶人]+)[盟谷]-人士洗劫，损失一半据点资金。",szNote="{$1}·{$2}劫粮",col={255,255,100,},bReg=true,[20]={},tCountdown={{nClass=20,nIcon=2397,nFrame=-1,szName="",nTime=0.001,nRefresh=2,key="{$1}·浩气劫粮",},{nClass=20,nIcon=2397,nFrame=-1,szName="{$1}·浩气劫粮",nTime=-1,key="{$1}·浩气劫粮",},{nClass=20,nIcon=2398,nFrame=-1,szName="",nTime=0.001,nRefresh=2,key="{$1}·恶人劫粮",},{nClass=20,nIcon=2398,nFrame=-1,szName="{$1}·恶人劫粮",nTime=-1,key="{$1}·恶人劫粮",},{nClass=20,nIcon=2400,nFrame=7,szName="{$1}·{$2}劫粮",nTime=0,key="{$1}·{$2}劫粮",},{nClass=20,nIcon=15387,nFrame=7,szName="【{$1}】浩气劫粮",nTime=30,nRefresh=1,key="{$1}·浩气劫粮",},{nClass=20,nIcon=15383,nFrame=3,szName="【{$1}】恶人劫粮",nTime=30,nRefresh=1,key="{$1}·恶人劫粮",},},},</v>
      </c>
      <c r="N237" t="s">
        <v>6701</v>
      </c>
      <c r="O237" t="s">
        <v>6702</v>
      </c>
      <c r="P237" t="s">
        <v>6703</v>
      </c>
      <c r="Q237" t="s">
        <v>6704</v>
      </c>
      <c r="R237" t="s">
        <v>6705</v>
      </c>
      <c r="S237" t="s">
        <v>6706</v>
      </c>
      <c r="T237" t="s">
        <v>6707</v>
      </c>
    </row>
    <row r="238" spans="1:20" x14ac:dyDescent="0.15">
      <c r="A238" t="s">
        <v>702</v>
      </c>
      <c r="B238">
        <v>15</v>
      </c>
      <c r="M238" t="str">
        <f t="shared" si="3"/>
        <v>},[15]={</v>
      </c>
    </row>
    <row r="239" spans="1:20" x14ac:dyDescent="0.15">
      <c r="C239" t="s">
        <v>6560</v>
      </c>
      <c r="M239" t="str">
        <f t="shared" si="3"/>
        <v>{szContent="你已接受了[江湖秘闻]。\n",[20]={},tCountdown={{nClass=20,nIcon=17135,nFrame=5,szName="选项1帮会+选项4门派合并为正确答案",nTime=15,key="茶馆·提示0",},},},</v>
      </c>
      <c r="N239" t="s">
        <v>6561</v>
      </c>
    </row>
    <row r="240" spans="1:20" x14ac:dyDescent="0.15">
      <c r="C240" t="s">
        <v>6576</v>
      </c>
      <c r="M240" t="str">
        <f t="shared" si="3"/>
        <v>{szContent="你已接受了[品茶鉴水·顾渚紫笋]。\n",[20]={},tCountdown={{nClass=20,nIcon=255,nFrame=5,szName="顾渚紫笋·阳崖云泉",nTime=10,key="茶馆·泡茶",},},},</v>
      </c>
      <c r="N240" t="s">
        <v>6577</v>
      </c>
    </row>
    <row r="241" spans="1:20" x14ac:dyDescent="0.15">
      <c r="C241" t="s">
        <v>6574</v>
      </c>
      <c r="M241" t="str">
        <f t="shared" si="3"/>
        <v>{szContent="你已接受了[品茶鉴水·仙崖石花]。\n",[20]={},tCountdown={{nClass=20,nIcon=942,nFrame=5,szName="仙崖石花·翠竹朝露",nTime=10,key="茶馆·泡茶",},},},</v>
      </c>
      <c r="N241" t="s">
        <v>6575</v>
      </c>
    </row>
    <row r="242" spans="1:20" x14ac:dyDescent="0.15">
      <c r="C242" t="s">
        <v>6572</v>
      </c>
      <c r="M242" t="str">
        <f t="shared" si="3"/>
        <v>{szContent="你已接受了[品茶鉴水·峨眉白芽]。\n",[20]={},tCountdown={{nClass=20,nIcon=1400,nFrame=5,szName="峨眉白芽·灵山妙雨",nTime=10,key="茶馆·泡茶",},},},</v>
      </c>
      <c r="N242" t="s">
        <v>6573</v>
      </c>
    </row>
    <row r="243" spans="1:20" x14ac:dyDescent="0.15">
      <c r="C243" t="s">
        <v>6580</v>
      </c>
      <c r="M243" t="str">
        <f t="shared" si="3"/>
        <v>{szContent="你已接受了[品茶鉴水·蒙顶石花]。\n",[20]={},tCountdown={{nClass=20,nIcon=965,nFrame=5,szName="蒙顶石花·月鸿仙泉",nTime=10,key="茶馆·泡茶",},},},</v>
      </c>
      <c r="N243" t="s">
        <v>6581</v>
      </c>
    </row>
    <row r="244" spans="1:20" x14ac:dyDescent="0.15">
      <c r="C244" t="s">
        <v>6578</v>
      </c>
      <c r="M244" t="str">
        <f t="shared" si="3"/>
        <v>{szContent="你已接受了[品茶鉴水·西山白露]。\n",[20]={},tCountdown={{nClass=20,nIcon=238,nFrame=5,szName="西山白露·无香真水",nTime=10,key="茶馆·泡茶",},},},</v>
      </c>
      <c r="N244" t="s">
        <v>6579</v>
      </c>
    </row>
    <row r="245" spans="1:20" x14ac:dyDescent="0.15">
      <c r="C245" t="s">
        <v>6570</v>
      </c>
      <c r="M245" t="str">
        <f t="shared" si="3"/>
        <v>{szContent="你已接受了[公平交易·霍山黄芽]。\n",[20]={},tCountdown={{nClass=20,nIcon=1259,nFrame=5,szName="霍山黄芽·铜矿",nTime=10,key="茶馆·交易",},},},</v>
      </c>
      <c r="N245" t="s">
        <v>6571</v>
      </c>
    </row>
    <row r="246" spans="1:20" x14ac:dyDescent="0.15">
      <c r="C246" t="s">
        <v>6568</v>
      </c>
      <c r="M246" t="str">
        <f t="shared" si="3"/>
        <v>{szContent="你已接受了[公平交易·方山露芽]。\n",[20]={},tCountdown={{nClass=20,nIcon=1257,nFrame=5,szName="方山露芽·甘草·精肉",nTime=10,key="茶馆·交易",},},},</v>
      </c>
      <c r="N246" t="s">
        <v>6569</v>
      </c>
    </row>
    <row r="247" spans="1:20" x14ac:dyDescent="0.15">
      <c r="C247" t="s">
        <v>6564</v>
      </c>
      <c r="M247" t="str">
        <f t="shared" si="3"/>
        <v>{szContent="你已接受了[公平交易·仙人掌茶]。\n",[20]={},tCountdown={{nClass=20,nIcon=659,nFrame=5,szName="仙人掌茶·碎肉",nTime=10,key="茶馆·交易",},},},</v>
      </c>
      <c r="N247" t="s">
        <v>6565</v>
      </c>
    </row>
    <row r="248" spans="1:20" x14ac:dyDescent="0.15">
      <c r="C248" t="s">
        <v>6562</v>
      </c>
      <c r="M248" t="str">
        <f t="shared" si="3"/>
        <v>{szContent="你已接受了[公平交易·阳羡茶]。\n",[20]={},tCountdown={{nClass=20,nIcon=1260,nFrame=5,szName="阳羡茶·大黄",nTime=10,key="茶馆·交易",},},},</v>
      </c>
      <c r="N248" t="s">
        <v>6563</v>
      </c>
    </row>
    <row r="249" spans="1:20" x14ac:dyDescent="0.15">
      <c r="C249" t="s">
        <v>6566</v>
      </c>
      <c r="M249" t="str">
        <f t="shared" si="3"/>
        <v>{szContent="你已接受了[公平交易·庐山云雾茶]。\n",[20]={},tCountdown={{nClass=20,nIcon=1258,nFrame=5,szName="庐山云雾茶·锡矿·杂碎",nTime=10,key="茶馆·交易",},},},</v>
      </c>
      <c r="N249" t="s">
        <v>6567</v>
      </c>
    </row>
    <row r="250" spans="1:20" x14ac:dyDescent="0.15">
      <c r="C250" t="s">
        <v>6582</v>
      </c>
      <c r="M250" t="str">
        <f t="shared" si="3"/>
        <v>{szContent="你已接受了[潜行狙击]。\n",[20]={},tCountdown={{nClass=20,nIcon=770,nFrame=5,szName="骑马跟随",nTime=15,key="茶馆",},},},</v>
      </c>
      <c r="N250" t="s">
        <v>6679</v>
      </c>
    </row>
    <row r="251" spans="1:20" x14ac:dyDescent="0.15">
      <c r="C251" t="s">
        <v>6593</v>
      </c>
      <c r="E251" t="s">
        <v>2718</v>
      </c>
      <c r="G251">
        <v>1</v>
      </c>
      <c r="M251" t="str">
        <f t="shared" si="3"/>
        <v>{szContent="^%[(.-)%]服务器：%[(.-)%]大侠，率领%[([浩气盟恶人谷]-)%]阵营侠士们，成功夺得【([隐樵天生赤岩关]-)】",col={255,255,100,},bReg=true,[20]={},tCountdown={{nClass=20,nIcon=1465,nFrame=-1,szName="　",nTime=0.001,nRefresh=2,key="关隘·浩气盟·{$1}",},{nClass=20,nIcon=1465,nFrame=-1,szName="关隘·浩气盟·{$1}",nTime=-1,key="关隘·浩气盟·{$1}",},{nClass=20,nIcon=1465,nFrame=-1,szName="　",nTime=0.001,nRefresh=2,key="关隘·恶人谷·{$1}",},{nClass=20,nIcon=1465,nFrame=-1,szName="关隘·恶人谷·{$1}",nTime=-1,key="关隘·恶人谷·{$1}",},{nClass=20,nIcon=13,nFrame=5,szName="关隘·{$3}·{$1}",nTime=0,key="关隘·{$3}·{$1}",},{nClass=20,nIcon=17583,nFrame=7,szName="浩气盟·[{$1}]·{$4}",nTime=10,nRefresh=1,key="关隘·浩气盟·{$1}",},{nClass=20,nIcon=17582,nFrame=3,szName="恶人谷·[{$1}]·{$4}",nTime=10,nRefresh=1,key="关隘·恶人谷·{$1}",},},},</v>
      </c>
      <c r="N251" t="s">
        <v>6594</v>
      </c>
      <c r="O251" t="s">
        <v>6595</v>
      </c>
      <c r="P251" t="s">
        <v>6596</v>
      </c>
      <c r="Q251" t="s">
        <v>6597</v>
      </c>
      <c r="R251" t="s">
        <v>6598</v>
      </c>
      <c r="S251" t="s">
        <v>6599</v>
      </c>
      <c r="T251" t="s">
        <v>6600</v>
      </c>
    </row>
    <row r="252" spans="1:20" x14ac:dyDescent="0.15">
      <c r="A252" t="s">
        <v>233</v>
      </c>
      <c r="B252">
        <v>16</v>
      </c>
      <c r="M252" t="str">
        <f t="shared" si="3"/>
        <v>},[16]={</v>
      </c>
    </row>
    <row r="253" spans="1:20" x14ac:dyDescent="0.15">
      <c r="C253" t="s">
        <v>6712</v>
      </c>
      <c r="M253" t="str">
        <f t="shared" si="3"/>
        <v>{szContent="七秀正举行剑舞考核，侠士可前往七秀听香坊东侧水上舞台参与，观赏七秀剑舞考核。侠士可通过参与楚秀弟子夏年、绮秀弟子佟雅辰、燕秀弟子慕容晚的考核来获得奖励。\n",[20]={},tCountdown={{nClass=20,nIcon=17135,nFrame=0,szName="七秀·门派事件·水上舞台",nTime=10,key="门派事件1",},},},</v>
      </c>
      <c r="N253" t="s">
        <v>6713</v>
      </c>
    </row>
    <row r="254" spans="1:20" x14ac:dyDescent="0.15">
      <c r="C254" t="s">
        <v>6714</v>
      </c>
      <c r="M254" t="str">
        <f t="shared" si="3"/>
        <v>{szContent="七秀坊坊主叶芷青邀请诸位侠士见证其为三位弟子授剑出师，侠士可前往七秀听香坊东侧水上舞台参与。中途若是遇上寻衅滋事之人，侠士可与三位弟子联手制伏。\n",[20]={},tCountdown={{nClass=20,nIcon=17135,nFrame=0,szName="七秀·门派事件·水上舞台",nTime=10,key="门派事件1",},},},</v>
      </c>
      <c r="N254" t="s">
        <v>6713</v>
      </c>
    </row>
    <row r="255" spans="1:20" x14ac:dyDescent="0.15">
      <c r="C255" t="s">
        <v>6715</v>
      </c>
      <c r="M255" t="str">
        <f t="shared" si="3"/>
        <v>{szContent="你已接受了[鸿鹄·无盐恶枭]。\n",[20]={},tCountdown={{nClass=20,nIcon=17135,nFrame=5,szName="秘境·无盐岛·五人普通",nTime=2,key="任务·提示1",},},},</v>
      </c>
      <c r="N255" t="s">
        <v>6716</v>
      </c>
    </row>
    <row r="256" spans="1:20" x14ac:dyDescent="0.15">
      <c r="A256" t="s">
        <v>711</v>
      </c>
      <c r="B256">
        <v>21</v>
      </c>
      <c r="M256" t="str">
        <f t="shared" si="3"/>
        <v>},[21]={</v>
      </c>
    </row>
    <row r="257" spans="1:20" x14ac:dyDescent="0.15">
      <c r="C257" t="s">
        <v>6717</v>
      </c>
      <c r="F257">
        <v>1</v>
      </c>
      <c r="M257" t="str">
        <f t="shared" si="3"/>
        <v>{szContent="在巴陵县捕获8级",bSearch=true,[20]={},tCountdown={{nClass=20,nIcon=1897,nFrame=5,szName="【龙子】已被捕获",nTime=10,key="巴陵县",},},},</v>
      </c>
      <c r="N257" t="s">
        <v>6718</v>
      </c>
    </row>
    <row r="258" spans="1:20" x14ac:dyDescent="0.15">
      <c r="C258" t="s">
        <v>6719</v>
      </c>
      <c r="F258">
        <v>1</v>
      </c>
      <c r="M258" t="str">
        <f t="shared" ref="M258:M321" si="4">IF(ISBLANK(B258)=FALSE,IF(ISBLANK(B257),"},["&amp;B258&amp;"]={","["&amp;B258&amp;"]={"),IF(AND(ISBLANK(B258),ISBLANK(C258),ISBLANK(F258),ISBLANK(G258),OR(ISBLANK(B257)=FALSE,ISBLANK(C257)=FALSE,ISBLANK(F257)=FALSE,ISBLANK(G257)=FALSE)),"},},}",IF(ISBLANK(C258),"","{szContent="""&amp;C258&amp;""","&amp;IF(D258&lt;&gt;"","szNote="""&amp;D258&amp;""",","")&amp;IF(E258&lt;&gt;"","col={"&amp;E258&amp;"},","")&amp;IF(F258&gt;0,"bSearch=true,","")&amp;IF(G258&gt;0,"bReg=true,","")&amp;"[20]={"&amp;IF(H258&gt;0,"szVoice="""&amp;H258&amp;""",","")&amp;IF(I258&gt;0,"bTeamChannel=true,","")&amp;IF(J258&gt;0,"bWhisperChannel=true,","")&amp;IF(K258&gt;0,"bCenterAlarm=true,","")&amp;IF(L258&gt;0,"bScreenHead=true,","")&amp;"},"&amp;IF(N258&lt;&gt;"","tCountdown={"&amp;_xlfn.TEXTJOIN("",TRUE,N258:ZZ258)&amp;"},","")&amp;"},")))</f>
        <v>{szContent="在巴陵县捕获9级",bSearch=true,[20]={},tCountdown={{nClass=20,nIcon=1897,nFrame=5,szName="【麟驹】已被捕获",nTime=10,key="巴陵县",},},},</v>
      </c>
      <c r="N258" t="s">
        <v>6720</v>
      </c>
    </row>
    <row r="259" spans="1:20" x14ac:dyDescent="0.15">
      <c r="C259" t="s">
        <v>6423</v>
      </c>
      <c r="D259" t="s">
        <v>6424</v>
      </c>
      <c r="E259" t="s">
        <v>2718</v>
      </c>
      <c r="G259">
        <v>1</v>
      </c>
      <c r="M259" t="str">
        <f t="shared" si="4"/>
        <v>{szContent="([浩气恶人]+)[盟谷]-的【(.-)】帮会成功占领【(.-)】据点！",szNote="{$3}·{$1}占领",col={255,255,100,},bReg=true,[20]={},tCountdown={{nClass=20,nIcon=2397,nFrame=-1,szName="",nTime=0.001,nRefresh=2,key="{$3}·浩气占领",},{nClass=20,nIcon=2397,nFrame=-1,szName="{$3}·浩气占领",nTime=-1,key="{$3}·浩气占领",},{nClass=20,nIcon=2398,nFrame=-1,szName="",nTime=0.001,nRefresh=2,key="{$3}·恶人占领",},{nClass=20,nIcon=2398,nFrame=-1,szName="{$3}·恶人占领",nTime=-1,key="{$3}·恶人占领",},{nClass=20,nIcon=2400,nFrame=7,szName="{$3}·{$1}占领",nTime=0,key="{$3}·{$1}占领",},{nClass=20,nIcon=20122,nFrame=7,szName="【{$3}】·浩气占领",nTime=30,nRefresh=1,key="{$3}·浩气占领",},{nClass=20,nIcon=20114,nFrame=3,szName="【{$3}】·恶人占领",nTime=30,nRefresh=1,key="{$3}·恶人占领",},},},</v>
      </c>
      <c r="N259" t="s">
        <v>6680</v>
      </c>
      <c r="O259" t="s">
        <v>6681</v>
      </c>
      <c r="P259" t="s">
        <v>6682</v>
      </c>
      <c r="Q259" t="s">
        <v>6683</v>
      </c>
      <c r="R259" t="s">
        <v>6684</v>
      </c>
      <c r="S259" t="s">
        <v>6685</v>
      </c>
      <c r="T259" t="s">
        <v>6686</v>
      </c>
    </row>
    <row r="260" spans="1:20" x14ac:dyDescent="0.15">
      <c r="C260" t="s">
        <v>6687</v>
      </c>
      <c r="D260" t="s">
        <v>6688</v>
      </c>
      <c r="E260" t="s">
        <v>2718</v>
      </c>
      <c r="G260">
        <v>1</v>
      </c>
      <c r="M260" t="str">
        <f t="shared" si="4"/>
        <v>{szContent="([浩气恶人]+)[盟谷]-位于(.-)的【(.-)据点】大旗被夺",szNote="{$3}·{$1}大旗被夺",col={255,255,100,},bReg=true,[20]={},tCountdown={{nClass=20,nIcon=2397,nFrame=-1,szName="",nTime=0.001,nRefresh=2,key="{$3}·浩气大旗被夺",},{nClass=20,nIcon=2397,nFrame=-1,szName="{$3}·浩气大旗被夺",nTime=-1,key="{$3}·浩气大旗被夺",},{nClass=20,nIcon=2398,nFrame=-1,szName="",nTime=0.001,nRefresh=2,key="{$3}·恶人大旗被夺",},{nClass=20,nIcon=2398,nFrame=-1,szName="{$3}·恶人大旗被夺",nTime=-1,key="{$3}·恶人大旗被夺",},{nClass=20,nIcon=2400,nFrame=7,szName="{$3}·{$1}大旗被夺",nTime=0,key="{$3}·{$1}大旗被夺",},{nClass=20,nIcon=4837,nFrame=7,szName="{$2}【{$3}】浩气大旗被夺",nTime=30,nRefresh=1,key="{$3}·浩气大旗被夺",},{nClass=20,nIcon=4838,nFrame=3,szName="{$2}【{$3}】恶人大旗被夺",nTime=30,nRefresh=1,key="{$3}·恶人大旗被夺",},},},</v>
      </c>
      <c r="N260" t="s">
        <v>6689</v>
      </c>
      <c r="O260" t="s">
        <v>6690</v>
      </c>
      <c r="P260" t="s">
        <v>6691</v>
      </c>
      <c r="Q260" t="s">
        <v>6692</v>
      </c>
      <c r="R260" t="s">
        <v>6693</v>
      </c>
      <c r="S260" t="s">
        <v>6694</v>
      </c>
      <c r="T260" t="s">
        <v>6695</v>
      </c>
    </row>
    <row r="261" spans="1:20" x14ac:dyDescent="0.15">
      <c r="C261" t="s">
        <v>6696</v>
      </c>
      <c r="D261" t="s">
        <v>6697</v>
      </c>
      <c r="E261" t="s">
        <v>2718</v>
      </c>
      <c r="G261">
        <v>1</v>
      </c>
      <c r="M261" t="str">
        <f t="shared" si="4"/>
        <v>{szContent="^【(.*)】据点大旗.*重置回初始位置！",szNote="{$1}大旗重置",col={255,255,100,},bReg=true,[20]={},tCountdown={{nClass=20,nIcon=592,nFrame=4,szName="【{$1}】大旗重置",nTime=180,key="{$1}·大旗重置",},},},</v>
      </c>
      <c r="N261" t="s">
        <v>6698</v>
      </c>
    </row>
    <row r="262" spans="1:20" x14ac:dyDescent="0.15">
      <c r="C262" t="s">
        <v>6699</v>
      </c>
      <c r="D262" t="s">
        <v>6700</v>
      </c>
      <c r="E262" t="s">
        <v>2718</v>
      </c>
      <c r="G262">
        <v>1</v>
      </c>
      <c r="M262" t="str">
        <f t="shared" si="4"/>
        <v>{szContent="^江湖快报！(.-)据点粮仓被一群([浩气恶人]+)[盟谷]-人士洗劫，损失一半据点资金。",szNote="{$1}·{$2}劫粮",col={255,255,100,},bReg=true,[20]={},tCountdown={{nClass=20,nIcon=2397,nFrame=-1,szName="",nTime=0.001,nRefresh=2,key="{$1}·浩气劫粮",},{nClass=20,nIcon=2397,nFrame=-1,szName="{$1}·浩气劫粮",nTime=-1,key="{$1}·浩气劫粮",},{nClass=20,nIcon=2398,nFrame=-1,szName="",nTime=0.001,nRefresh=2,key="{$1}·恶人劫粮",},{nClass=20,nIcon=2398,nFrame=-1,szName="{$1}·恶人劫粮",nTime=-1,key="{$1}·恶人劫粮",},{nClass=20,nIcon=2400,nFrame=7,szName="{$1}·{$2}劫粮",nTime=0,key="{$1}·{$2}劫粮",},{nClass=20,nIcon=15387,nFrame=7,szName="【{$1}】浩气劫粮",nTime=30,nRefresh=1,key="{$1}·浩气劫粮",},{nClass=20,nIcon=15383,nFrame=3,szName="【{$1}】恶人劫粮",nTime=30,nRefresh=1,key="{$1}·恶人劫粮",},},},</v>
      </c>
      <c r="N262" t="s">
        <v>6701</v>
      </c>
      <c r="O262" t="s">
        <v>6702</v>
      </c>
      <c r="P262" t="s">
        <v>6703</v>
      </c>
      <c r="Q262" t="s">
        <v>6704</v>
      </c>
      <c r="R262" t="s">
        <v>6705</v>
      </c>
      <c r="S262" t="s">
        <v>6706</v>
      </c>
      <c r="T262" t="s">
        <v>6707</v>
      </c>
    </row>
    <row r="263" spans="1:20" x14ac:dyDescent="0.15">
      <c r="C263" t="s">
        <v>6721</v>
      </c>
      <c r="E263" t="s">
        <v>2529</v>
      </c>
      <c r="M263" t="str">
        <f t="shared" si="4"/>
        <v>{szContent="赵新宇死亡时，从他身上遗落一把短笛，貌似是他的随身信物。\n",col={255,100,100,},[20]={},tCountdown={{nClass=20,nIcon=589,nFrame=7,szName="赵新宇",nTime=0,key="赵新宇",},{nClass=20,nIcon=589,nFrame=7,szName="",nTime="60,赵新宇的信物;302,赵新宇·刷新剩余",nRefresh=60,key="赵新宇",},},},</v>
      </c>
      <c r="N263" t="s">
        <v>6722</v>
      </c>
      <c r="O263" t="s">
        <v>6723</v>
      </c>
    </row>
    <row r="264" spans="1:20" x14ac:dyDescent="0.15">
      <c r="C264" t="s">
        <v>6724</v>
      </c>
      <c r="E264" t="s">
        <v>2524</v>
      </c>
      <c r="M264" t="str">
        <f t="shared" si="4"/>
        <v>{szContent="随着方超的死亡，一把短笛掉了出来，貌似是他的随身信物。\n",col={100,100,255,},[20]={},tCountdown={{nClass=20,nIcon=308,nFrame=3,szName="方超",nTime=0,key="方超",},{nClass=20,nIcon=308,nFrame=3,szName="",nTime="60,方超的信物;302,方超·刷新剩余",nRefresh=60,key="方超",},},},</v>
      </c>
      <c r="N264" t="s">
        <v>6725</v>
      </c>
      <c r="O264" t="s">
        <v>6726</v>
      </c>
    </row>
    <row r="265" spans="1:20" x14ac:dyDescent="0.15">
      <c r="A265" t="s">
        <v>712</v>
      </c>
      <c r="B265">
        <v>22</v>
      </c>
      <c r="M265" t="str">
        <f t="shared" si="4"/>
        <v>},[22]={</v>
      </c>
    </row>
    <row r="266" spans="1:20" x14ac:dyDescent="0.15">
      <c r="C266" t="s">
        <v>6727</v>
      </c>
      <c r="F266">
        <v>1</v>
      </c>
      <c r="M266" t="str">
        <f t="shared" si="4"/>
        <v>{szContent="”在南屏山捕获",bSearch=true,[20]={},tCountdown={{nClass=20,nIcon=1899,nFrame=5,szName="马驹·已被捕获",nTime=10,key="南屏山",},},},</v>
      </c>
      <c r="N266" t="s">
        <v>6728</v>
      </c>
    </row>
    <row r="267" spans="1:20" x14ac:dyDescent="0.15">
      <c r="C267" t="s">
        <v>6423</v>
      </c>
      <c r="D267" t="s">
        <v>6424</v>
      </c>
      <c r="E267" t="s">
        <v>2718</v>
      </c>
      <c r="G267">
        <v>1</v>
      </c>
      <c r="M267" t="str">
        <f t="shared" si="4"/>
        <v>{szContent="([浩气恶人]+)[盟谷]-的【(.-)】帮会成功占领【(.-)】据点！",szNote="{$3}·{$1}占领",col={255,255,100,},bReg=true,[20]={},tCountdown={{nClass=20,nIcon=2397,nFrame=-1,szName="",nTime=0.001,nRefresh=2,key="{$3}·浩气占领",},{nClass=20,nIcon=2397,nFrame=-1,szName="{$3}·浩气占领",nTime=-1,key="{$3}·浩气占领",},{nClass=20,nIcon=2398,nFrame=-1,szName="",nTime=0.001,nRefresh=2,key="{$3}·恶人占领",},{nClass=20,nIcon=2398,nFrame=-1,szName="{$3}·恶人占领",nTime=-1,key="{$3}·恶人占领",},{nClass=20,nIcon=2400,nFrame=7,szName="{$3}·{$1}占领",nTime=0,key="{$3}·{$1}占领",},{nClass=20,nIcon=20122,nFrame=7,szName="【{$3}】·浩气占领",nTime=30,nRefresh=1,key="{$3}·浩气占领",},{nClass=20,nIcon=20114,nFrame=3,szName="【{$3}】·恶人占领",nTime=30,nRefresh=1,key="{$3}·恶人占领",},},},</v>
      </c>
      <c r="N267" t="s">
        <v>6680</v>
      </c>
      <c r="O267" t="s">
        <v>6681</v>
      </c>
      <c r="P267" t="s">
        <v>6682</v>
      </c>
      <c r="Q267" t="s">
        <v>6683</v>
      </c>
      <c r="R267" t="s">
        <v>6684</v>
      </c>
      <c r="S267" t="s">
        <v>6685</v>
      </c>
      <c r="T267" t="s">
        <v>6686</v>
      </c>
    </row>
    <row r="268" spans="1:20" x14ac:dyDescent="0.15">
      <c r="C268" t="s">
        <v>6687</v>
      </c>
      <c r="D268" t="s">
        <v>6688</v>
      </c>
      <c r="E268" t="s">
        <v>2718</v>
      </c>
      <c r="G268">
        <v>1</v>
      </c>
      <c r="M268" t="str">
        <f t="shared" si="4"/>
        <v>{szContent="([浩气恶人]+)[盟谷]-位于(.-)的【(.-)据点】大旗被夺",szNote="{$3}·{$1}大旗被夺",col={255,255,100,},bReg=true,[20]={},tCountdown={{nClass=20,nIcon=2397,nFrame=-1,szName="",nTime=0.001,nRefresh=2,key="{$3}·浩气大旗被夺",},{nClass=20,nIcon=2397,nFrame=-1,szName="{$3}·浩气大旗被夺",nTime=-1,key="{$3}·浩气大旗被夺",},{nClass=20,nIcon=2398,nFrame=-1,szName="",nTime=0.001,nRefresh=2,key="{$3}·恶人大旗被夺",},{nClass=20,nIcon=2398,nFrame=-1,szName="{$3}·恶人大旗被夺",nTime=-1,key="{$3}·恶人大旗被夺",},{nClass=20,nIcon=2400,nFrame=7,szName="{$3}·{$1}大旗被夺",nTime=0,key="{$3}·{$1}大旗被夺",},{nClass=20,nIcon=4837,nFrame=7,szName="{$2}【{$3}】浩气大旗被夺",nTime=30,nRefresh=1,key="{$3}·浩气大旗被夺",},{nClass=20,nIcon=4838,nFrame=3,szName="{$2}【{$3}】恶人大旗被夺",nTime=30,nRefresh=1,key="{$3}·恶人大旗被夺",},},},</v>
      </c>
      <c r="N268" t="s">
        <v>6689</v>
      </c>
      <c r="O268" t="s">
        <v>6690</v>
      </c>
      <c r="P268" t="s">
        <v>6691</v>
      </c>
      <c r="Q268" t="s">
        <v>6692</v>
      </c>
      <c r="R268" t="s">
        <v>6693</v>
      </c>
      <c r="S268" t="s">
        <v>6694</v>
      </c>
      <c r="T268" t="s">
        <v>6695</v>
      </c>
    </row>
    <row r="269" spans="1:20" x14ac:dyDescent="0.15">
      <c r="C269" t="s">
        <v>6696</v>
      </c>
      <c r="D269" t="s">
        <v>6697</v>
      </c>
      <c r="E269" t="s">
        <v>2718</v>
      </c>
      <c r="G269">
        <v>1</v>
      </c>
      <c r="M269" t="str">
        <f t="shared" si="4"/>
        <v>{szContent="^【(.*)】据点大旗.*重置回初始位置！",szNote="{$1}大旗重置",col={255,255,100,},bReg=true,[20]={},tCountdown={{nClass=20,nIcon=592,nFrame=4,szName="【{$1}】大旗重置",nTime=180,key="{$1}·大旗重置",},},},</v>
      </c>
      <c r="N269" t="s">
        <v>6698</v>
      </c>
    </row>
    <row r="270" spans="1:20" x14ac:dyDescent="0.15">
      <c r="C270" t="s">
        <v>6699</v>
      </c>
      <c r="D270" t="s">
        <v>6700</v>
      </c>
      <c r="E270" t="s">
        <v>2718</v>
      </c>
      <c r="G270">
        <v>1</v>
      </c>
      <c r="M270" t="str">
        <f t="shared" si="4"/>
        <v>{szContent="^江湖快报！(.-)据点粮仓被一群([浩气恶人]+)[盟谷]-人士洗劫，损失一半据点资金。",szNote="{$1}·{$2}劫粮",col={255,255,100,},bReg=true,[20]={},tCountdown={{nClass=20,nIcon=2397,nFrame=-1,szName="",nTime=0.001,nRefresh=2,key="{$1}·浩气劫粮",},{nClass=20,nIcon=2397,nFrame=-1,szName="{$1}·浩气劫粮",nTime=-1,key="{$1}·浩气劫粮",},{nClass=20,nIcon=2398,nFrame=-1,szName="",nTime=0.001,nRefresh=2,key="{$1}·恶人劫粮",},{nClass=20,nIcon=2398,nFrame=-1,szName="{$1}·恶人劫粮",nTime=-1,key="{$1}·恶人劫粮",},{nClass=20,nIcon=2400,nFrame=7,szName="{$1}·{$2}劫粮",nTime=0,key="{$1}·{$2}劫粮",},{nClass=20,nIcon=15387,nFrame=7,szName="【{$1}】浩气劫粮",nTime=30,nRefresh=1,key="{$1}·浩气劫粮",},{nClass=20,nIcon=15383,nFrame=3,szName="【{$1}】恶人劫粮",nTime=30,nRefresh=1,key="{$1}·恶人劫粮",},},},</v>
      </c>
      <c r="N270" t="s">
        <v>6701</v>
      </c>
      <c r="O270" t="s">
        <v>6702</v>
      </c>
      <c r="P270" t="s">
        <v>6703</v>
      </c>
      <c r="Q270" t="s">
        <v>6704</v>
      </c>
      <c r="R270" t="s">
        <v>6705</v>
      </c>
      <c r="S270" t="s">
        <v>6706</v>
      </c>
      <c r="T270" t="s">
        <v>6707</v>
      </c>
    </row>
    <row r="271" spans="1:20" x14ac:dyDescent="0.15">
      <c r="C271" t="s">
        <v>6152</v>
      </c>
      <c r="E271" t="s">
        <v>2718</v>
      </c>
      <c r="M271" t="str">
        <f t="shared" si="4"/>
        <v>{szContent="本场浩气盟攻防即将结束，南屏山物资运送暂且休整，等待下一场攻防开启！\n",col={255,255,100,},[20]={},tCountdown={{nClass=20,nIcon=17135,nFrame=0,szName="粮草先行·活动结束",nTime=5,key="粮草先行·浩气盟",},{nClass=20,nIcon=17135,nFrame=0,szName="粮草先行·恶人谷",nTime=0,key="粮草先行·恶人谷",},},},</v>
      </c>
      <c r="N271" t="s">
        <v>6729</v>
      </c>
      <c r="O271" t="s">
        <v>6730</v>
      </c>
    </row>
    <row r="272" spans="1:20" x14ac:dyDescent="0.15">
      <c r="C272" t="s">
        <v>6721</v>
      </c>
      <c r="E272" t="s">
        <v>2529</v>
      </c>
      <c r="M272" t="str">
        <f t="shared" si="4"/>
        <v>{szContent="赵新宇死亡时，从他身上遗落一把短笛，貌似是他的随身信物。\n",col={255,100,100,},[20]={},tCountdown={{nClass=20,nIcon=589,nFrame=7,szName="赵新宇",nTime=0,key="赵新宇",},{nClass=20,nIcon=589,nFrame=7,szName="",nTime="60,赵新宇的信物;300,赵新宇·刷新剩余;310,赵新宇·即将刷新",nRefresh=60,key="赵新宇",},},},</v>
      </c>
      <c r="N272" t="s">
        <v>6722</v>
      </c>
      <c r="O272" t="s">
        <v>6731</v>
      </c>
    </row>
    <row r="273" spans="1:56" x14ac:dyDescent="0.15">
      <c r="C273" t="s">
        <v>6724</v>
      </c>
      <c r="E273" t="s">
        <v>2524</v>
      </c>
      <c r="M273" t="str">
        <f t="shared" si="4"/>
        <v>{szContent="随着方超的死亡，一把短笛掉了出来，貌似是他的随身信物。\n",col={100,100,255,},[20]={},tCountdown={{nClass=20,nIcon=308,nFrame=3,szName="方超",nTime=0,key="方超",},{nClass=20,nIcon=308,nFrame=3,szName="",nTime="60,方超的信物;300,方超·刷新剩余;310,方超·即将刷新",nRefresh=60,key="方超",},},},</v>
      </c>
      <c r="N273" t="s">
        <v>6725</v>
      </c>
      <c r="O273" t="s">
        <v>6732</v>
      </c>
    </row>
    <row r="274" spans="1:56" x14ac:dyDescent="0.15">
      <c r="C274" t="s">
        <v>6733</v>
      </c>
      <c r="E274" t="s">
        <v>2529</v>
      </c>
      <c r="M274" t="str">
        <f t="shared" si="4"/>
        <v>{szContent="南屏山恶人谷伴江村援军已到，营地夺回，交通恢复！\n",col={255,100,100,},[20]={},tCountdown={{nClass=20,nIcon=589,nFrame=7,szName="赵新宇·已刷新",nTime=10,nRefresh=600,key="赵新宇",},},},</v>
      </c>
      <c r="N274" t="s">
        <v>6734</v>
      </c>
    </row>
    <row r="275" spans="1:56" x14ac:dyDescent="0.15">
      <c r="C275" t="s">
        <v>6735</v>
      </c>
      <c r="E275" t="s">
        <v>2524</v>
      </c>
      <c r="M275" t="str">
        <f t="shared" si="4"/>
        <v>{szContent="南屏山浩气盟望北村援军已到，营地夺回，交通恢复！\n",col={100,100,255,},[20]={},tCountdown={{nClass=20,nIcon=308,nFrame=3,szName="方超·已刷新",nTime=10,nRefresh=600,key="方超",},},},</v>
      </c>
      <c r="N275" t="s">
        <v>6736</v>
      </c>
    </row>
    <row r="276" spans="1:56" x14ac:dyDescent="0.15">
      <c r="A276" t="s">
        <v>234</v>
      </c>
      <c r="B276">
        <v>23</v>
      </c>
      <c r="M276" t="str">
        <f t="shared" si="4"/>
        <v>},[23]={</v>
      </c>
    </row>
    <row r="277" spans="1:56" x14ac:dyDescent="0.15">
      <c r="C277" t="s">
        <v>6737</v>
      </c>
      <c r="F277">
        <v>1</v>
      </c>
      <c r="M277" t="str">
        <f t="shared" si="4"/>
        <v>{szContent="在龙门荒漠捕获8级",bSearch=true,[20]={},tCountdown={{nClass=20,nIcon=1897,nFrame=5,szName="【龙子】已被捕获",nTime=10,key="龙门荒漠",},},},</v>
      </c>
      <c r="N277" t="s">
        <v>6738</v>
      </c>
    </row>
    <row r="278" spans="1:56" x14ac:dyDescent="0.15">
      <c r="C278" t="s">
        <v>6739</v>
      </c>
      <c r="F278">
        <v>1</v>
      </c>
      <c r="M278" t="str">
        <f t="shared" si="4"/>
        <v>{szContent="在龙门荒漠捕获9级",bSearch=true,[20]={},tCountdown={{nClass=20,nIcon=1897,nFrame=5,szName="【麟驹】已被捕获",nTime=10,key="龙门荒漠",},},},</v>
      </c>
      <c r="N278" t="s">
        <v>6740</v>
      </c>
    </row>
    <row r="279" spans="1:56" x14ac:dyDescent="0.15">
      <c r="C279" t="s">
        <v>6423</v>
      </c>
      <c r="D279" t="s">
        <v>6424</v>
      </c>
      <c r="E279" t="s">
        <v>2718</v>
      </c>
      <c r="G279">
        <v>1</v>
      </c>
      <c r="M279" t="str">
        <f t="shared" si="4"/>
        <v>{szContent="([浩气恶人]+)[盟谷]-的【(.-)】帮会成功占领【(.-)】据点！",szNote="{$3}·{$1}占领",col={255,255,100,},bReg=true,[20]={},tCountdown={{nClass=20,nIcon=2397,nFrame=-1,szName="",nTime=0.001,nRefresh=2,key="{$3}·浩气占领",},{nClass=20,nIcon=2397,nFrame=-1,szName="{$3}·浩气占领",nTime=-1,key="{$3}·浩气占领",},{nClass=20,nIcon=2398,nFrame=-1,szName="",nTime=0.001,nRefresh=2,key="{$3}·恶人占领",},{nClass=20,nIcon=2398,nFrame=-1,szName="{$3}·恶人占领",nTime=-1,key="{$3}·恶人占领",},{nClass=20,nIcon=2400,nFrame=7,szName="{$3}·{$1}占领",nTime=0,key="{$3}·{$1}占领",},{nClass=20,nIcon=20122,nFrame=7,szName="【{$3}】·浩气占领",nTime=30,nRefresh=1,key="{$3}·浩气占领",},{nClass=20,nIcon=20114,nFrame=3,szName="【{$3}】·恶人占领",nTime=30,nRefresh=1,key="{$3}·恶人占领",},},},</v>
      </c>
      <c r="N279" t="s">
        <v>6680</v>
      </c>
      <c r="O279" t="s">
        <v>6681</v>
      </c>
      <c r="P279" t="s">
        <v>6682</v>
      </c>
      <c r="Q279" t="s">
        <v>6683</v>
      </c>
      <c r="R279" t="s">
        <v>6684</v>
      </c>
      <c r="S279" t="s">
        <v>6685</v>
      </c>
      <c r="T279" t="s">
        <v>6686</v>
      </c>
    </row>
    <row r="280" spans="1:56" x14ac:dyDescent="0.15">
      <c r="C280" t="s">
        <v>6687</v>
      </c>
      <c r="D280" t="s">
        <v>6688</v>
      </c>
      <c r="E280" t="s">
        <v>2718</v>
      </c>
      <c r="G280">
        <v>1</v>
      </c>
      <c r="M280" t="str">
        <f t="shared" si="4"/>
        <v>{szContent="([浩气恶人]+)[盟谷]-位于(.-)的【(.-)据点】大旗被夺",szNote="{$3}·{$1}大旗被夺",col={255,255,100,},bReg=true,[20]={},tCountdown={{nClass=20,nIcon=2397,nFrame=-1,szName="",nTime=0.001,nRefresh=2,key="{$3}·浩气大旗被夺",},{nClass=20,nIcon=2397,nFrame=-1,szName="{$3}·浩气大旗被夺",nTime=-1,key="{$3}·浩气大旗被夺",},{nClass=20,nIcon=2398,nFrame=-1,szName="",nTime=0.001,nRefresh=2,key="{$3}·恶人大旗被夺",},{nClass=20,nIcon=2398,nFrame=-1,szName="{$3}·恶人大旗被夺",nTime=-1,key="{$3}·恶人大旗被夺",},{nClass=20,nIcon=2400,nFrame=7,szName="{$3}·{$1}大旗被夺",nTime=0,key="{$3}·{$1}大旗被夺",},{nClass=20,nIcon=4837,nFrame=7,szName="{$2}【{$3}】浩气大旗被夺",nTime=30,nRefresh=1,key="{$3}·浩气大旗被夺",},{nClass=20,nIcon=4838,nFrame=3,szName="{$2}【{$3}】恶人大旗被夺",nTime=30,nRefresh=1,key="{$3}·恶人大旗被夺",},},},</v>
      </c>
      <c r="N280" t="s">
        <v>6689</v>
      </c>
      <c r="O280" t="s">
        <v>6690</v>
      </c>
      <c r="P280" t="s">
        <v>6691</v>
      </c>
      <c r="Q280" t="s">
        <v>6692</v>
      </c>
      <c r="R280" t="s">
        <v>6693</v>
      </c>
      <c r="S280" t="s">
        <v>6694</v>
      </c>
      <c r="T280" t="s">
        <v>6695</v>
      </c>
    </row>
    <row r="281" spans="1:56" x14ac:dyDescent="0.15">
      <c r="C281" t="s">
        <v>6696</v>
      </c>
      <c r="D281" t="s">
        <v>6697</v>
      </c>
      <c r="E281" t="s">
        <v>2718</v>
      </c>
      <c r="G281">
        <v>1</v>
      </c>
      <c r="M281" t="str">
        <f t="shared" si="4"/>
        <v>{szContent="^【(.*)】据点大旗.*重置回初始位置！",szNote="{$1}大旗重置",col={255,255,100,},bReg=true,[20]={},tCountdown={{nClass=20,nIcon=592,nFrame=4,szName="【{$1}】大旗重置",nTime=180,key="{$1}·大旗重置",},},},</v>
      </c>
      <c r="N281" t="s">
        <v>6698</v>
      </c>
    </row>
    <row r="282" spans="1:56" x14ac:dyDescent="0.15">
      <c r="C282" t="s">
        <v>6699</v>
      </c>
      <c r="D282" t="s">
        <v>6700</v>
      </c>
      <c r="E282" t="s">
        <v>2718</v>
      </c>
      <c r="G282">
        <v>1</v>
      </c>
      <c r="M282" t="str">
        <f t="shared" si="4"/>
        <v>{szContent="^江湖快报！(.-)据点粮仓被一群([浩气恶人]+)[盟谷]-人士洗劫，损失一半据点资金。",szNote="{$1}·{$2}劫粮",col={255,255,100,},bReg=true,[20]={},tCountdown={{nClass=20,nIcon=2397,nFrame=-1,szName="",nTime=0.001,nRefresh=2,key="{$1}·浩气劫粮",},{nClass=20,nIcon=2397,nFrame=-1,szName="{$1}·浩气劫粮",nTime=-1,key="{$1}·浩气劫粮",},{nClass=20,nIcon=2398,nFrame=-1,szName="",nTime=0.001,nRefresh=2,key="{$1}·恶人劫粮",},{nClass=20,nIcon=2398,nFrame=-1,szName="{$1}·恶人劫粮",nTime=-1,key="{$1}·恶人劫粮",},{nClass=20,nIcon=2400,nFrame=7,szName="{$1}·{$2}劫粮",nTime=0,key="{$1}·{$2}劫粮",},{nClass=20,nIcon=15387,nFrame=7,szName="【{$1}】浩气劫粮",nTime=30,nRefresh=1,key="{$1}·浩气劫粮",},{nClass=20,nIcon=15383,nFrame=3,szName="【{$1}】恶人劫粮",nTime=30,nRefresh=1,key="{$1}·恶人劫粮",},},},</v>
      </c>
      <c r="N282" t="s">
        <v>6701</v>
      </c>
      <c r="O282" t="s">
        <v>6702</v>
      </c>
      <c r="P282" t="s">
        <v>6703</v>
      </c>
      <c r="Q282" t="s">
        <v>6704</v>
      </c>
      <c r="R282" t="s">
        <v>6705</v>
      </c>
      <c r="S282" t="s">
        <v>6706</v>
      </c>
      <c r="T282" t="s">
        <v>6707</v>
      </c>
    </row>
    <row r="283" spans="1:56" x14ac:dyDescent="0.15">
      <c r="C283" t="s">
        <v>6741</v>
      </c>
      <c r="E283" t="s">
        <v>2529</v>
      </c>
      <c r="M283" t="str">
        <f t="shared" si="4"/>
        <v>{szContent="随着霸图的死亡，一柄钢刀从他身上滑落，似乎是他的随身信物。\n",col={255,100,100,},[20]={},tCountdown={{nClass=20,nIcon=2864,nFrame=7,szName="霸图",nTime=0,key="霸图",},{nClass=20,nIcon=2864,nFrame=7,szName="",nTime="60,霸图的信物;302,霸图·刷新剩余",nRefresh=60,key="霸图",},},},</v>
      </c>
      <c r="N283" t="s">
        <v>6742</v>
      </c>
      <c r="O283" t="s">
        <v>6743</v>
      </c>
    </row>
    <row r="284" spans="1:56" x14ac:dyDescent="0.15">
      <c r="C284" t="s">
        <v>6744</v>
      </c>
      <c r="E284" t="s">
        <v>2524</v>
      </c>
      <c r="M284" t="str">
        <f t="shared" si="4"/>
        <v>{szContent="随着孙永恒的死亡，一柄短剑从他身上滑落，似乎是他的随身信物。\n",col={100,100,255,},[20]={},tCountdown={{nClass=20,nIcon=845,nFrame=3,szName="孙永恒",nTime=0,key="孙永恒",},{nClass=20,nIcon=845,nFrame=3,szName="",nTime="60,孙永恒的信物;302,孙永恒·刷新剩余",nRefresh=60,key="孙永恒",},},},</v>
      </c>
      <c r="N284" t="s">
        <v>6745</v>
      </c>
      <c r="O284" t="s">
        <v>6746</v>
      </c>
    </row>
    <row r="285" spans="1:56" x14ac:dyDescent="0.15">
      <c r="A285" t="s">
        <v>240</v>
      </c>
      <c r="B285">
        <v>25</v>
      </c>
      <c r="M285" t="str">
        <f t="shared" si="4"/>
        <v>},[25]={</v>
      </c>
    </row>
    <row r="286" spans="1:56" x14ac:dyDescent="0.15">
      <c r="C286" t="s">
        <v>6747</v>
      </c>
      <c r="D286" t="s">
        <v>6094</v>
      </c>
      <c r="M286" t="str">
        <f t="shared" si="4"/>
        <v>{szContent="你已进入地图【浩气盟】。",szNote="关闭主场首领计时条·开启奇袭首领计时条",[20]={},tCountdown={{nClass=20,nIcon=13,nFrame=-1,szName="",nTime=0.001,nRefresh=9999,key="谢渊·月弄痕·减伤",},{nClass=20,nIcon=13,nFrame=-1,szName="谢渊·月弄痕·减伤",nTime=-1,key="谢渊·月弄痕·减伤",},{nClass=20,nIcon=13,nFrame=-1,szName="",nTime=0.001,nRefresh=9999,key="谢渊·游驹·减伤",},{nClass=20,nIcon=13,nFrame=-1,szName="谢渊·游驹·减伤",nTime=-1,key="谢渊·游驹·减伤",},{nClass=20,nIcon=13,nFrame=-1,szName="",nTime=0.001,nRefresh=9999,key="谢渊·小七·减伤",},{nClass=20,nIcon=13,nFrame=-1,szName="谢渊·小七·减伤",nTime=-1,key="谢渊·小七·减伤",},{nClass=20,nIcon=13,nFrame=-1,szName="",nTime=0.001,nRefresh=9999,key="谢渊·张桎辕·减伤",},{nClass=20,nIcon=13,nFrame=-1,szName="谢渊·张桎辕·减伤",nTime=-1,key="谢渊·张桎辕·减伤",},{nClass=20,nIcon=13,nFrame=-1,szName="",nTime=0.001,nRefresh=9999,key="谢渊·司空仲平·减伤",},{nClass=20,nIcon=13,nFrame=-1,szName="谢渊·司空仲平·减伤",nTime=-1,key="谢渊·司空仲平·减伤",},{nClass=20,nIcon=13,nFrame=-1,szName="",nTime=0.001,nRefresh=9999,key="王遗风·司徒一一·减伤",},{nClass=20,nIcon=13,nFrame=-1,szName="王遗风·司徒一一·减伤",nTime=-1,key="王遗风·司徒一一·减伤",},{nClass=20,nIcon=13,nFrame=-1,szName="",nTime=0.001,nRefresh=9999,key="王遗风·白某·减伤",},{nClass=20,nIcon=13,nFrame=-1,szName="王遗风·白某·减伤",nTime=-1,key="王遗风·白某·减伤",},{nClass=20,nIcon=13,nFrame=-1,szName="",nTime=0.001,nRefresh=9999,key="王遗风·米丽古丽·减伤",},{nClass=20,nIcon=13,nFrame=-1,szName="王遗风·米丽古丽·减伤",nTime=-1,key="王遗风·米丽古丽·减伤",},{nClass=20,nIcon=13,nFrame=-1,szName="",nTime=0.001,nRefresh=9999,key="王遗风·陶寒亭·减伤",},{nClass=20,nIcon=13,nFrame=-1,szName="王遗风·陶寒亭·减伤",nTime=-1,key="王遗风·陶寒亭·减伤",},{nClass=20,nIcon=13,nFrame=-1,szName="",nTime=0.001,nRefresh=9999,key="王遗风·肖药儿·减伤",},{nClass=20,nIcon=13,nFrame=-1,szName="王遗风·肖药儿·减伤",nTime=-1,key="王遗风·肖药儿·减伤",},{nClass=20,nIcon=13,nFrame=-1,szName="王遗风·伊夜·减伤",nTime=0,key="王遗风·伊夜·减伤",},{nClass=20,nIcon=13,nFrame=-1,szName="王遗风·丁丁·减伤",nTime=0,key="王遗风·丁丁·减伤",},{nClass=20,nIcon=13,nFrame=-1,szName="王遗风·岳琅·减伤",nTime=0,key="王遗风·岳琅·减伤",},{nClass=20,nIcon=13,nFrame=-1,szName="王遗风·毕罗巴·减伤",nTime=0,key="王遗风·毕罗巴·减伤",},{nClass=20,nIcon=13,nFrame=-1,szName="王遗风·烟·减伤",nTime=0,key="王遗风·烟·减伤",},{nClass=20,nIcon=13,nFrame=-1,szName="王遗风·独孤修·减伤",nTime=0,key="王遗风·独孤修·减伤",},{nClass=20,nIcon=13,nFrame=-1,szName="谢渊·韩非池·减伤",nTime=0,key="谢渊·韩非池·减伤",},{nClass=20,nIcon=13,nFrame=-1,szName="谢渊·赵紫儿·减伤",nTime=0,key="谢渊·赵紫儿·减伤",},{nClass=20,nIcon=13,nFrame=-1,szName="谢渊·叶镜池·减伤",nTime=0,key="谢渊·叶镜池·减伤",},{nClass=20,nIcon=13,nFrame=-1,szName="谢渊·郭珠·减伤",nTime=0,key="谢渊·郭珠·减伤",},{nClass=20,nIcon=13,nFrame=-1,szName="谢渊·穆玄英·减伤",nTime=0,key="谢渊·穆玄英·减伤",},{nClass=20,nIcon=13,nFrame=-1,szName="谢渊·影·减伤",nTime=0,key="谢渊·影·减伤",},{nClass=20,nIcon=13,nFrame=5,szName="金水镇",nTime=-1,key="金水镇",},{nClass=20,nIcon=13,nFrame=5,szName="巴陵县",nTime=-1,key="巴陵县",},{nClass=20,nIcon=13,nFrame=5,szName="龙门荒漠",nTime=-1,key="龙门荒漠",},{nClass=20,nIcon=13,nFrame=5,szName="南屏山",nTime=-1,key="南屏山",},{nClass=20,nIcon=13,nFrame=5,szName="昆仑",nTime=-1,key="昆仑",},{nClass=20,nIcon=13,nFrame=5,szName="白龙口",nTime=-1,key="白龙口",},{nClass=20,nIcon=13,nFrame=5,szName="无量山",nTime=-1,key="无量山",},{nClass=20,nIcon=13,nFrame=5,szName="黑龙沼",nTime=-1,key="黑龙沼",},{nClass=20,nIcon=13,nFrame=5,szName="阴山大草原",nTime=-1,key="阴山大草原",},{nClass=20,nIcon=13,nFrame=5,szName="黑戈壁",nTime=-1,key="黑戈壁",},{nClass=20,nIcon=13,nFrame=5,szName="鲲鹏岛",nTime=-1,key="鲲鹏岛",},},},</v>
      </c>
      <c r="N286" t="s">
        <v>6095</v>
      </c>
      <c r="O286" t="s">
        <v>6096</v>
      </c>
      <c r="P286" t="s">
        <v>6097</v>
      </c>
      <c r="Q286" t="s">
        <v>6098</v>
      </c>
      <c r="R286" t="s">
        <v>6099</v>
      </c>
      <c r="S286" t="s">
        <v>6100</v>
      </c>
      <c r="T286" t="s">
        <v>6101</v>
      </c>
      <c r="U286" t="s">
        <v>6102</v>
      </c>
      <c r="V286" t="s">
        <v>6103</v>
      </c>
      <c r="W286" t="s">
        <v>6104</v>
      </c>
      <c r="X286" t="s">
        <v>6105</v>
      </c>
      <c r="Y286" t="s">
        <v>6106</v>
      </c>
      <c r="Z286" t="s">
        <v>6107</v>
      </c>
      <c r="AA286" t="s">
        <v>6108</v>
      </c>
      <c r="AB286" t="s">
        <v>6109</v>
      </c>
      <c r="AC286" t="s">
        <v>6110</v>
      </c>
      <c r="AD286" t="s">
        <v>6111</v>
      </c>
      <c r="AE286" t="s">
        <v>6112</v>
      </c>
      <c r="AF286" t="s">
        <v>6113</v>
      </c>
      <c r="AG286" t="s">
        <v>6114</v>
      </c>
      <c r="AH286" t="s">
        <v>6748</v>
      </c>
      <c r="AI286" t="s">
        <v>6749</v>
      </c>
      <c r="AJ286" t="s">
        <v>6750</v>
      </c>
      <c r="AK286" t="s">
        <v>6751</v>
      </c>
      <c r="AL286" t="s">
        <v>6752</v>
      </c>
      <c r="AM286" t="s">
        <v>6753</v>
      </c>
      <c r="AN286" t="s">
        <v>6754</v>
      </c>
      <c r="AO286" t="s">
        <v>6755</v>
      </c>
      <c r="AP286" t="s">
        <v>6756</v>
      </c>
      <c r="AQ286" t="s">
        <v>6757</v>
      </c>
      <c r="AR286" t="s">
        <v>6758</v>
      </c>
      <c r="AS286" t="s">
        <v>6759</v>
      </c>
      <c r="AT286" t="s">
        <v>6127</v>
      </c>
      <c r="AU286" t="s">
        <v>6128</v>
      </c>
      <c r="AV286" t="s">
        <v>6129</v>
      </c>
      <c r="AW286" t="s">
        <v>6130</v>
      </c>
      <c r="AX286" t="s">
        <v>6131</v>
      </c>
      <c r="AY286" t="s">
        <v>6132</v>
      </c>
      <c r="AZ286" t="s">
        <v>6133</v>
      </c>
      <c r="BA286" t="s">
        <v>6134</v>
      </c>
      <c r="BB286" t="s">
        <v>6135</v>
      </c>
      <c r="BC286" t="s">
        <v>6136</v>
      </c>
      <c r="BD286" t="s">
        <v>6137</v>
      </c>
    </row>
    <row r="287" spans="1:56" x14ac:dyDescent="0.15">
      <c r="C287" t="s">
        <v>6760</v>
      </c>
      <c r="D287" t="s">
        <v>6761</v>
      </c>
      <c r="E287" t="s">
        <v>2718</v>
      </c>
      <c r="K287">
        <v>1</v>
      </c>
      <c r="M287" t="str">
        <f t="shared" si="4"/>
        <v>{szContent="王遗风已率恶人谷众首领抵达浩气盟，请各位恶人谷侠士速到浩气盟支援。浩气盟侠士也请速回浩气盟防御！\n",szNote="阵营攻防开始",col={255,255,100,},[20]={bCenterAlarm=true,},tCountdown={{nClass=20,nIcon=2401,nFrame=0,szName="本场攻防·正式开始",nTime=60,nRefresh=2,key="攻防活动",},{nClass=20,nIcon=13,nFrame=-1,szName="",nTime=0.001,nRefresh=7200,key="谢渊·穆玄英·减伤",},{nClass=20,nIcon=13,nFrame=-1,szName="谢渊·穆玄英·减伤",nTime=-1,key="谢渊·穆玄英·减伤",},{nClass=20,nIcon=13,nFrame=-1,szName="",nTime=0.001,nRefresh=7200,key="谢渊·叶镜池·减伤",},{nClass=20,nIcon=13,nFrame=-1,szName="谢渊·叶镜池·减伤",nTime=-1,key="谢渊·叶镜池·减伤",},{nClass=20,nIcon=13,nFrame=-1,szName="",nTime=0.001,nRefresh=7200,key="谢渊·赵紫儿·减伤",},{nClass=20,nIcon=13,nFrame=-1,szName="谢渊·赵紫儿·减伤",nTime=-1,key="谢渊·赵紫儿·减伤",},{nClass=20,nIcon=13,nFrame=-1,szName="",nTime=0.001,nRefresh=7200,key="谢渊·郭珠·减伤",},{nClass=20,nIcon=13,nFrame=-1,szName="谢渊·郭珠·减伤",nTime=-1,key="谢渊·郭珠·减伤",},{nClass=20,nIcon=13,nFrame=-1,szName="",nTime=0.001,nRefresh=7200,key="谢渊·影·减伤",},{nClass=20,nIcon=13,nFrame=-1,szName="谢渊·影·减伤",nTime=-1,key="谢渊·影·减伤",},{nClass=20,nIcon=13,nFrame=-1,szName="",nTime=0.001,nRefresh=7200,key="王遗风·烟·减伤",},{nClass=20,nIcon=13,nFrame=-1,szName="王遗风·烟·减伤",nTime=-1,key="王遗风·烟·减伤",},{nClass=20,nIcon=13,nFrame=-1,szName="",nTime=0.001,nRefresh=7200,key="王遗风·岳琅·减伤",},{nClass=20,nIcon=13,nFrame=-1,szName="王遗风·岳琅·减伤",nTime=-1,key="王遗风·岳琅·减伤",},{nClass=20,nIcon=13,nFrame=-1,szName="",nTime=0.001,nRefresh=7200,key="王遗风·丁丁·减伤",},{nClass=20,nIcon=13,nFrame=-1,szName="王遗风·丁丁·减伤",nTime=-1,key="王遗风·丁丁·减伤",},{nClass=20,nIcon=13,nFrame=-1,szName="",nTime=0.001,nRefresh=7200,key="王遗风·毕罗巴·减伤",},{nClass=20,nIcon=13,nFrame=-1,szName="王遗风·毕罗巴·减伤",nTime=-1,key="王遗风·毕罗巴·减伤",},{nClass=20,nIcon=13,nFrame=-1,szName="",nTime=0.001,nRefresh=7200,key="王遗风·独孤修·减伤",},{nClass=20,nIcon=13,nFrame=-1,szName="王遗风·独孤修·减伤",nTime=-1,key="王遗风·独孤修·减伤",},{nClass=20,nIcon=13,nFrame=-1,szName="",nTime=0.001,nRefresh=7200,key="王遗风·伊夜·减伤",},{nClass=20,nIcon=13,nFrame=-1,szName="王遗风·伊夜·减伤",nTime=-1,key="王遗风·伊夜·减伤",},{nClass=20,nIcon=13,nFrame=-1,szName="",nTime=0.001,nRefresh=7200,key="谢渊·韩非池·减伤",},{nClass=20,nIcon=13,nFrame=-1,szName="谢渊·韩非池·减伤",nTime=-1,key="谢渊·韩非池·减伤",},{nClass=20,nIcon=13,nFrame=-1,szName="谢渊·月弄痕·减伤",nTime=-2,key="谢渊·月弄痕·减伤",},{nClass=20,nIcon=13,nFrame=-1,szName="谢渊·游驹·减伤",nTime=-2,key="谢渊·游驹·减伤",},{nClass=20,nIcon=13,nFrame=-1,szName="谢渊·小七·减伤",nTime=-2,key="谢渊·小七·减伤",},{nClass=20,nIcon=13,nFrame=-1,szName="谢渊·张桎辕·减伤",nTime=-2,key="谢渊·张桎辕·减伤",},{nClass=20,nIcon=13,nFrame=-1,szName="谢渊·司空仲平·减伤",nTime=-2,key="谢渊·司空仲平·减伤",},{nClass=20,nIcon=13,nFrame=-1,szName="王遗风·司徒一一·减伤",nTime=-2,key="王遗风·司徒一一·减伤",},{nClass=20,nIcon=13,nFrame=-1,szName="王遗风·白某·减伤",nTime=-2,key="王遗风·白某·减伤",},{nClass=20,nIcon=13,nFrame=-1,szName="王遗风·米丽古丽·减伤",nTime=-2,key="王遗风·米丽古丽·减伤",},{nClass=20,nIcon=13,nFrame=-1,szName="王遗风·陶寒亭·减伤",nTime=-2,key="王遗风·陶寒亭·减伤",},{nClass=20,nIcon=13,nFrame=-1,szName="王遗风·肖药儿·减伤",nTime=-2,key="王遗风·肖药儿·减伤",},},},</v>
      </c>
      <c r="N287" t="s">
        <v>6762</v>
      </c>
      <c r="O287" t="s">
        <v>6763</v>
      </c>
      <c r="P287" t="s">
        <v>6764</v>
      </c>
      <c r="Q287" t="s">
        <v>6765</v>
      </c>
      <c r="R287" t="s">
        <v>6766</v>
      </c>
      <c r="S287" t="s">
        <v>6767</v>
      </c>
      <c r="T287" t="s">
        <v>6768</v>
      </c>
      <c r="U287" t="s">
        <v>6769</v>
      </c>
      <c r="V287" t="s">
        <v>6770</v>
      </c>
      <c r="W287" t="s">
        <v>6771</v>
      </c>
      <c r="X287" t="s">
        <v>6772</v>
      </c>
      <c r="Y287" t="s">
        <v>6773</v>
      </c>
      <c r="Z287" t="s">
        <v>6774</v>
      </c>
      <c r="AA287" t="s">
        <v>6775</v>
      </c>
      <c r="AB287" t="s">
        <v>6776</v>
      </c>
      <c r="AC287" t="s">
        <v>6777</v>
      </c>
      <c r="AD287" t="s">
        <v>6778</v>
      </c>
      <c r="AE287" t="s">
        <v>6779</v>
      </c>
      <c r="AF287" t="s">
        <v>6780</v>
      </c>
      <c r="AG287" t="s">
        <v>6781</v>
      </c>
      <c r="AH287" t="s">
        <v>6782</v>
      </c>
      <c r="AI287" t="s">
        <v>6783</v>
      </c>
      <c r="AJ287" t="s">
        <v>6784</v>
      </c>
      <c r="AK287" t="s">
        <v>6785</v>
      </c>
      <c r="AL287" t="s">
        <v>6786</v>
      </c>
      <c r="AM287" t="s">
        <v>6787</v>
      </c>
      <c r="AN287" t="s">
        <v>6788</v>
      </c>
      <c r="AO287" t="s">
        <v>6789</v>
      </c>
      <c r="AP287" t="s">
        <v>6790</v>
      </c>
      <c r="AQ287" t="s">
        <v>6791</v>
      </c>
      <c r="AR287" t="s">
        <v>6792</v>
      </c>
      <c r="AS287" t="s">
        <v>6793</v>
      </c>
      <c r="AT287" t="s">
        <v>6794</v>
      </c>
      <c r="AU287" t="s">
        <v>6795</v>
      </c>
      <c r="AV287" t="s">
        <v>6796</v>
      </c>
    </row>
    <row r="288" spans="1:56" x14ac:dyDescent="0.15">
      <c r="C288" t="s">
        <v>6797</v>
      </c>
      <c r="E288" t="s">
        <v>2524</v>
      </c>
      <c r="M288" t="str">
        <f t="shared" si="4"/>
        <v>{szContent="军情速递！浩气盟物资官传来消息，现有一批新物资运至各复活点，望浩气侠士们前来领取，以便增强战斗实力。\n",col={100,100,255,},[20]={},tCountdown={{nClass=20,nIcon=2397,nFrame=7,szName="浩气盟·复活点物资·刷新",nTime=10,nRefresh=2,key="浩气·复活点·运达",},{nClass=20,nIcon=2398,nFrame=3,szName="恶人谷·复活点物资·刷新",nTime=10,nRefresh=2,key="恶人·复活点·运达",},},},</v>
      </c>
      <c r="N288" t="s">
        <v>6798</v>
      </c>
      <c r="O288" t="s">
        <v>6799</v>
      </c>
    </row>
    <row r="289" spans="1:56" x14ac:dyDescent="0.15">
      <c r="C289" t="s">
        <v>6800</v>
      </c>
      <c r="E289" t="s">
        <v>2529</v>
      </c>
      <c r="M289" t="str">
        <f t="shared" si="4"/>
        <v>{szContent="军情速递！恶人谷物资车已运达，车内装有大量物资，望侠士们前来拾取，切莫错过。\n",col={255,100,100,},[20]={},tCountdown={{nClass=20,nIcon=2398,nFrame=3,szName="恶人谷·营地物资·刷新",nTime=10,nRefresh=2,key="恶人·物资车·运达",},},},</v>
      </c>
      <c r="N289" t="s">
        <v>6801</v>
      </c>
    </row>
    <row r="290" spans="1:56" x14ac:dyDescent="0.15">
      <c r="C290" t="s">
        <v>6802</v>
      </c>
      <c r="E290" t="s">
        <v>2524</v>
      </c>
      <c r="M290" t="str">
        <f t="shared" si="4"/>
        <v>{szContent="军情速递！浩气盟物资车已运达，车内装有大量物资，望侠士们前来拾取，切莫错过。\n",col={100,100,255,},[20]={},tCountdown={{nClass=20,nIcon=2397,nFrame=7,szName="浩气盟·内城物资·刷新",nTime=10,nRefresh=2,key="浩气·物资车·运达",},},},</v>
      </c>
      <c r="N290" t="s">
        <v>6803</v>
      </c>
    </row>
    <row r="291" spans="1:56" x14ac:dyDescent="0.15">
      <c r="A291" t="s">
        <v>241</v>
      </c>
      <c r="B291">
        <v>27</v>
      </c>
      <c r="M291" t="str">
        <f t="shared" si="4"/>
        <v>},[27]={</v>
      </c>
    </row>
    <row r="292" spans="1:56" x14ac:dyDescent="0.15">
      <c r="C292" t="s">
        <v>6804</v>
      </c>
      <c r="D292" t="s">
        <v>6094</v>
      </c>
      <c r="M292" t="str">
        <f t="shared" si="4"/>
        <v>{szContent="你已进入地图【恶人谷】。",szNote="关闭主场首领计时条·开启奇袭首领计时条",[20]={},tCountdown={{nClass=20,nIcon=13,nFrame=-1,szName="",nTime=0.001,nRefresh=9999,key="谢渊·月弄痕·减伤",},{nClass=20,nIcon=13,nFrame=-1,szName="谢渊·月弄痕·减伤",nTime=-1,key="谢渊·月弄痕·减伤",},{nClass=20,nIcon=13,nFrame=-1,szName="",nTime=0.001,nRefresh=9999,key="谢渊·游驹·减伤",},{nClass=20,nIcon=13,nFrame=-1,szName="谢渊·游驹·减伤",nTime=-1,key="谢渊·游驹·减伤",},{nClass=20,nIcon=13,nFrame=-1,szName="",nTime=0.001,nRefresh=9999,key="谢渊·小七·减伤",},{nClass=20,nIcon=13,nFrame=-1,szName="谢渊·小七·减伤",nTime=-1,key="谢渊·小七·减伤",},{nClass=20,nIcon=13,nFrame=-1,szName="",nTime=0.001,nRefresh=9999,key="谢渊·张桎辕·减伤",},{nClass=20,nIcon=13,nFrame=-1,szName="谢渊·张桎辕·减伤",nTime=-1,key="谢渊·张桎辕·减伤",},{nClass=20,nIcon=13,nFrame=-1,szName="",nTime=0.001,nRefresh=9999,key="谢渊·司空仲平·减伤",},{nClass=20,nIcon=13,nFrame=-1,szName="谢渊·司空仲平·减伤",nTime=-1,key="谢渊·司空仲平·减伤",},{nClass=20,nIcon=13,nFrame=-1,szName="",nTime=0.001,nRefresh=9999,key="王遗风·司徒一一·减伤",},{nClass=20,nIcon=13,nFrame=-1,szName="王遗风·司徒一一·减伤",nTime=-1,key="王遗风·司徒一一·减伤",},{nClass=20,nIcon=13,nFrame=-1,szName="",nTime=0.001,nRefresh=9999,key="王遗风·白某·减伤",},{nClass=20,nIcon=13,nFrame=-1,szName="王遗风·白某·减伤",nTime=-1,key="王遗风·白某·减伤",},{nClass=20,nIcon=13,nFrame=-1,szName="",nTime=0.001,nRefresh=9999,key="王遗风·米丽古丽·减伤",},{nClass=20,nIcon=13,nFrame=-1,szName="王遗风·米丽古丽·减伤",nTime=-1,key="王遗风·米丽古丽·减伤",},{nClass=20,nIcon=13,nFrame=-1,szName="",nTime=0.001,nRefresh=9999,key="王遗风·陶寒亭·减伤",},{nClass=20,nIcon=13,nFrame=-1,szName="王遗风·陶寒亭·减伤",nTime=-1,key="王遗风·陶寒亭·减伤",},{nClass=20,nIcon=13,nFrame=-1,szName="",nTime=0.001,nRefresh=9999,key="王遗风·肖药儿·减伤",},{nClass=20,nIcon=13,nFrame=-1,szName="王遗风·肖药儿·减伤",nTime=-1,key="王遗风·肖药儿·减伤",},{nClass=20,nIcon=13,nFrame=-1,szName="王遗风·伊夜·减伤",nTime=0,key="王遗风·伊夜·减伤",},{nClass=20,nIcon=13,nFrame=-1,szName="王遗风·丁丁·减伤",nTime=0,key="王遗风·丁丁·减伤",},{nClass=20,nIcon=13,nFrame=-1,szName="王遗风·岳琅·减伤",nTime=0,key="王遗风·岳琅·减伤",},{nClass=20,nIcon=13,nFrame=-1,szName="王遗风·毕罗巴·减伤",nTime=0,key="王遗风·毕罗巴·减伤",},{nClass=20,nIcon=13,nFrame=-1,szName="王遗风·烟·减伤",nTime=0,key="王遗风·烟·减伤",},{nClass=20,nIcon=13,nFrame=-1,szName="王遗风·独孤修·减伤",nTime=0,key="王遗风·独孤修·减伤",},{nClass=20,nIcon=13,nFrame=-1,szName="谢渊·韩非池·减伤",nTime=0,key="谢渊·韩非池·减伤",},{nClass=20,nIcon=13,nFrame=-1,szName="谢渊·赵紫儿·减伤",nTime=0,key="谢渊·赵紫儿·减伤",},{nClass=20,nIcon=13,nFrame=-1,szName="谢渊·叶镜池·减伤",nTime=0,key="谢渊·叶镜池·减伤",},{nClass=20,nIcon=13,nFrame=-1,szName="谢渊·郭珠·减伤",nTime=0,key="谢渊·郭珠·减伤",},{nClass=20,nIcon=13,nFrame=-1,szName="谢渊·穆玄英·减伤",nTime=0,key="谢渊·穆玄英·减伤",},{nClass=20,nIcon=13,nFrame=-1,szName="谢渊·影·减伤",nTime=0,key="谢渊·影·减伤",},{nClass=20,nIcon=13,nFrame=5,szName="金水镇",nTime=-1,key="金水镇",},{nClass=20,nIcon=13,nFrame=5,szName="巴陵县",nTime=-1,key="巴陵县",},{nClass=20,nIcon=13,nFrame=5,szName="龙门荒漠",nTime=-1,key="龙门荒漠",},{nClass=20,nIcon=13,nFrame=5,szName="南屏山",nTime=-1,key="南屏山",},{nClass=20,nIcon=13,nFrame=5,szName="昆仑",nTime=-1,key="昆仑",},{nClass=20,nIcon=13,nFrame=5,szName="白龙口",nTime=-1,key="白龙口",},{nClass=20,nIcon=13,nFrame=5,szName="无量山",nTime=-1,key="无量山",},{nClass=20,nIcon=13,nFrame=5,szName="黑龙沼",nTime=-1,key="黑龙沼",},{nClass=20,nIcon=13,nFrame=5,szName="阴山大草原",nTime=-1,key="阴山大草原",},{nClass=20,nIcon=13,nFrame=5,szName="黑戈壁",nTime=-1,key="黑戈壁",},{nClass=20,nIcon=13,nFrame=5,szName="鲲鹏岛",nTime=-1,key="鲲鹏岛",},},},</v>
      </c>
      <c r="N292" t="s">
        <v>6095</v>
      </c>
      <c r="O292" t="s">
        <v>6096</v>
      </c>
      <c r="P292" t="s">
        <v>6097</v>
      </c>
      <c r="Q292" t="s">
        <v>6098</v>
      </c>
      <c r="R292" t="s">
        <v>6099</v>
      </c>
      <c r="S292" t="s">
        <v>6100</v>
      </c>
      <c r="T292" t="s">
        <v>6101</v>
      </c>
      <c r="U292" t="s">
        <v>6102</v>
      </c>
      <c r="V292" t="s">
        <v>6103</v>
      </c>
      <c r="W292" t="s">
        <v>6104</v>
      </c>
      <c r="X292" t="s">
        <v>6105</v>
      </c>
      <c r="Y292" t="s">
        <v>6106</v>
      </c>
      <c r="Z292" t="s">
        <v>6107</v>
      </c>
      <c r="AA292" t="s">
        <v>6108</v>
      </c>
      <c r="AB292" t="s">
        <v>6109</v>
      </c>
      <c r="AC292" t="s">
        <v>6110</v>
      </c>
      <c r="AD292" t="s">
        <v>6111</v>
      </c>
      <c r="AE292" t="s">
        <v>6112</v>
      </c>
      <c r="AF292" t="s">
        <v>6113</v>
      </c>
      <c r="AG292" t="s">
        <v>6114</v>
      </c>
      <c r="AH292" t="s">
        <v>6748</v>
      </c>
      <c r="AI292" t="s">
        <v>6749</v>
      </c>
      <c r="AJ292" t="s">
        <v>6750</v>
      </c>
      <c r="AK292" t="s">
        <v>6751</v>
      </c>
      <c r="AL292" t="s">
        <v>6752</v>
      </c>
      <c r="AM292" t="s">
        <v>6753</v>
      </c>
      <c r="AN292" t="s">
        <v>6754</v>
      </c>
      <c r="AO292" t="s">
        <v>6755</v>
      </c>
      <c r="AP292" t="s">
        <v>6756</v>
      </c>
      <c r="AQ292" t="s">
        <v>6757</v>
      </c>
      <c r="AR292" t="s">
        <v>6758</v>
      </c>
      <c r="AS292" t="s">
        <v>6759</v>
      </c>
      <c r="AT292" t="s">
        <v>6127</v>
      </c>
      <c r="AU292" t="s">
        <v>6128</v>
      </c>
      <c r="AV292" t="s">
        <v>6129</v>
      </c>
      <c r="AW292" t="s">
        <v>6130</v>
      </c>
      <c r="AX292" t="s">
        <v>6131</v>
      </c>
      <c r="AY292" t="s">
        <v>6132</v>
      </c>
      <c r="AZ292" t="s">
        <v>6133</v>
      </c>
      <c r="BA292" t="s">
        <v>6134</v>
      </c>
      <c r="BB292" t="s">
        <v>6135</v>
      </c>
      <c r="BC292" t="s">
        <v>6136</v>
      </c>
      <c r="BD292" t="s">
        <v>6137</v>
      </c>
    </row>
    <row r="293" spans="1:56" x14ac:dyDescent="0.15">
      <c r="C293" t="s">
        <v>6805</v>
      </c>
      <c r="D293" t="s">
        <v>6761</v>
      </c>
      <c r="E293" t="s">
        <v>2718</v>
      </c>
      <c r="K293">
        <v>1</v>
      </c>
      <c r="M293" t="str">
        <f t="shared" si="4"/>
        <v>{szContent="谢渊已率浩气盟众首领抵达恶人谷，请各位浩气盟侠士速到恶人谷支援。恶人谷侠士也请速回恶人谷防御！\n",szNote="阵营攻防开始",col={255,255,100,},[20]={bCenterAlarm=true,},tCountdown={{nClass=20,nIcon=2401,nFrame=0,szName="本场攻防·正式开始",nTime=60,nRefresh=2,key="攻防活动",},{nClass=20,nIcon=13,nFrame=-1,szName="",nTime=0.001,nRefresh=7200,key="谢渊·穆玄英·减伤",},{nClass=20,nIcon=13,nFrame=-1,szName="谢渊·穆玄英·减伤",nTime=-1,key="谢渊·穆玄英·减伤",},{nClass=20,nIcon=13,nFrame=-1,szName="",nTime=0.001,nRefresh=7200,key="谢渊·叶镜池·减伤",},{nClass=20,nIcon=13,nFrame=-1,szName="谢渊·叶镜池·减伤",nTime=-1,key="谢渊·叶镜池·减伤",},{nClass=20,nIcon=13,nFrame=-1,szName="",nTime=0.001,nRefresh=7200,key="谢渊·赵紫儿·减伤",},{nClass=20,nIcon=13,nFrame=-1,szName="谢渊·赵紫儿·减伤",nTime=-1,key="谢渊·赵紫儿·减伤",},{nClass=20,nIcon=13,nFrame=-1,szName="",nTime=0.001,nRefresh=7200,key="谢渊·郭珠·减伤",},{nClass=20,nIcon=13,nFrame=-1,szName="谢渊·郭珠·减伤",nTime=-1,key="谢渊·郭珠·减伤",},{nClass=20,nIcon=13,nFrame=-1,szName="",nTime=0.001,nRefresh=7200,key="谢渊·影·减伤",},{nClass=20,nIcon=13,nFrame=-1,szName="谢渊·影·减伤",nTime=-1,key="谢渊·影·减伤",},{nClass=20,nIcon=13,nFrame=-1,szName="",nTime=0.001,nRefresh=7200,key="王遗风·烟·减伤",},{nClass=20,nIcon=13,nFrame=-1,szName="王遗风·烟·减伤",nTime=-1,key="王遗风·烟·减伤",},{nClass=20,nIcon=13,nFrame=-1,szName="",nTime=0.001,nRefresh=7200,key="王遗风·岳琅·减伤",},{nClass=20,nIcon=13,nFrame=-1,szName="王遗风·岳琅·减伤",nTime=-1,key="王遗风·岳琅·减伤",},{nClass=20,nIcon=13,nFrame=-1,szName="",nTime=0.001,nRefresh=7200,key="王遗风·丁丁·减伤",},{nClass=20,nIcon=13,nFrame=-1,szName="王遗风·丁丁·减伤",nTime=-1,key="王遗风·丁丁·减伤",},{nClass=20,nIcon=13,nFrame=-1,szName="",nTime=0.001,nRefresh=7200,key="王遗风·毕罗巴·减伤",},{nClass=20,nIcon=13,nFrame=-1,szName="王遗风·毕罗巴·减伤",nTime=-1,key="王遗风·毕罗巴·减伤",},{nClass=20,nIcon=13,nFrame=-1,szName="",nTime=0.001,nRefresh=7200,key="王遗风·独孤修·减伤",},{nClass=20,nIcon=13,nFrame=-1,szName="王遗风·独孤修·减伤",nTime=-1,key="王遗风·独孤修·减伤",},{nClass=20,nIcon=13,nFrame=-1,szName="",nTime=0.001,nRefresh=7200,key="王遗风·伊夜·减伤",},{nClass=20,nIcon=13,nFrame=-1,szName="王遗风·伊夜·减伤",nTime=-1,key="王遗风·伊夜·减伤",},{nClass=20,nIcon=13,nFrame=-1,szName="",nTime=0.001,nRefresh=7200,key="谢渊·韩非池·减伤",},{nClass=20,nIcon=13,nFrame=-1,szName="谢渊·韩非池·减伤",nTime=-1,key="谢渊·韩非池·减伤",},{nClass=20,nIcon=13,nFrame=-1,szName="谢渊·月弄痕·减伤",nTime=-2,key="谢渊·月弄痕·减伤",},{nClass=20,nIcon=13,nFrame=-1,szName="谢渊·游驹·减伤",nTime=-2,key="谢渊·游驹·减伤",},{nClass=20,nIcon=13,nFrame=-1,szName="谢渊·小七·减伤",nTime=-2,key="谢渊·小七·减伤",},{nClass=20,nIcon=13,nFrame=-1,szName="谢渊·张桎辕·减伤",nTime=-2,key="谢渊·张桎辕·减伤",},{nClass=20,nIcon=13,nFrame=-1,szName="谢渊·司空仲平·减伤",nTime=-2,key="谢渊·司空仲平·减伤",},{nClass=20,nIcon=13,nFrame=-1,szName="王遗风·司徒一一·减伤",nTime=-2,key="王遗风·司徒一一·减伤",},{nClass=20,nIcon=13,nFrame=-1,szName="王遗风·白某·减伤",nTime=-2,key="王遗风·白某·减伤",},{nClass=20,nIcon=13,nFrame=-1,szName="王遗风·米丽古丽·减伤",nTime=-2,key="王遗风·米丽古丽·减伤",},{nClass=20,nIcon=13,nFrame=-1,szName="王遗风·陶寒亭·减伤",nTime=-2,key="王遗风·陶寒亭·减伤",},{nClass=20,nIcon=13,nFrame=-1,szName="王遗风·肖药儿·减伤",nTime=-2,key="王遗风·肖药儿·减伤",},},},</v>
      </c>
      <c r="N293" t="s">
        <v>6762</v>
      </c>
      <c r="O293" t="s">
        <v>6763</v>
      </c>
      <c r="P293" t="s">
        <v>6764</v>
      </c>
      <c r="Q293" t="s">
        <v>6765</v>
      </c>
      <c r="R293" t="s">
        <v>6766</v>
      </c>
      <c r="S293" t="s">
        <v>6767</v>
      </c>
      <c r="T293" t="s">
        <v>6768</v>
      </c>
      <c r="U293" t="s">
        <v>6769</v>
      </c>
      <c r="V293" t="s">
        <v>6770</v>
      </c>
      <c r="W293" t="s">
        <v>6771</v>
      </c>
      <c r="X293" t="s">
        <v>6772</v>
      </c>
      <c r="Y293" t="s">
        <v>6773</v>
      </c>
      <c r="Z293" t="s">
        <v>6774</v>
      </c>
      <c r="AA293" t="s">
        <v>6775</v>
      </c>
      <c r="AB293" t="s">
        <v>6776</v>
      </c>
      <c r="AC293" t="s">
        <v>6777</v>
      </c>
      <c r="AD293" t="s">
        <v>6778</v>
      </c>
      <c r="AE293" t="s">
        <v>6779</v>
      </c>
      <c r="AF293" t="s">
        <v>6780</v>
      </c>
      <c r="AG293" t="s">
        <v>6781</v>
      </c>
      <c r="AH293" t="s">
        <v>6782</v>
      </c>
      <c r="AI293" t="s">
        <v>6783</v>
      </c>
      <c r="AJ293" t="s">
        <v>6784</v>
      </c>
      <c r="AK293" t="s">
        <v>6785</v>
      </c>
      <c r="AL293" t="s">
        <v>6786</v>
      </c>
      <c r="AM293" t="s">
        <v>6787</v>
      </c>
      <c r="AN293" t="s">
        <v>6788</v>
      </c>
      <c r="AO293" t="s">
        <v>6789</v>
      </c>
      <c r="AP293" t="s">
        <v>6790</v>
      </c>
      <c r="AQ293" t="s">
        <v>6791</v>
      </c>
      <c r="AR293" t="s">
        <v>6792</v>
      </c>
      <c r="AS293" t="s">
        <v>6793</v>
      </c>
      <c r="AT293" t="s">
        <v>6794</v>
      </c>
      <c r="AU293" t="s">
        <v>6795</v>
      </c>
      <c r="AV293" t="s">
        <v>6796</v>
      </c>
    </row>
    <row r="294" spans="1:56" x14ac:dyDescent="0.15">
      <c r="C294" t="s">
        <v>6806</v>
      </c>
      <c r="E294" t="s">
        <v>2529</v>
      </c>
      <c r="M294" t="str">
        <f t="shared" si="4"/>
        <v>{szContent="军情速递！恶人谷物资官传来消息，现有一批新物资运至各复活点，望恶人侠士们前来领取，以便增强战斗实力。\n",col={255,100,100,},[20]={},tCountdown={{nClass=20,nIcon=2398,nFrame=3,szName="恶人谷·复活点物资·刷新",nTime=10,nRefresh=2,key="恶人·复活点·运达",},{nClass=20,nIcon=2397,nFrame=7,szName="浩气盟·复活点物资·刷新",nTime=10,nRefresh=2,key="浩气·复活点·运达",},},},</v>
      </c>
      <c r="N294" t="s">
        <v>6799</v>
      </c>
      <c r="O294" t="s">
        <v>6798</v>
      </c>
    </row>
    <row r="295" spans="1:56" x14ac:dyDescent="0.15">
      <c r="C295" t="s">
        <v>6800</v>
      </c>
      <c r="E295" t="s">
        <v>2529</v>
      </c>
      <c r="M295" t="str">
        <f t="shared" si="4"/>
        <v>{szContent="军情速递！恶人谷物资车已运达，车内装有大量物资，望侠士们前来拾取，切莫错过。\n",col={255,100,100,},[20]={},tCountdown={{nClass=20,nIcon=2398,nFrame=3,szName="恶人谷·内城物资·刷新",nTime=10,nRefresh=2,key="恶人·物资车·运达",},},},</v>
      </c>
      <c r="N295" t="s">
        <v>6807</v>
      </c>
    </row>
    <row r="296" spans="1:56" x14ac:dyDescent="0.15">
      <c r="C296" t="s">
        <v>6802</v>
      </c>
      <c r="E296" t="s">
        <v>2524</v>
      </c>
      <c r="M296" t="str">
        <f t="shared" si="4"/>
        <v>{szContent="军情速递！浩气盟物资车已运达，车内装有大量物资，望侠士们前来拾取，切莫错过。\n",col={100,100,255,},[20]={},tCountdown={{nClass=20,nIcon=2397,nFrame=7,szName="浩气盟·营地物资·刷新",nTime=10,nRefresh=2,key="浩气·物资车·运达",},},},</v>
      </c>
      <c r="N296" t="s">
        <v>6808</v>
      </c>
    </row>
    <row r="297" spans="1:56" x14ac:dyDescent="0.15">
      <c r="A297" t="s">
        <v>716</v>
      </c>
      <c r="B297">
        <v>30</v>
      </c>
      <c r="M297" t="str">
        <f t="shared" si="4"/>
        <v>},[30]={</v>
      </c>
    </row>
    <row r="298" spans="1:56" x14ac:dyDescent="0.15">
      <c r="C298" t="s">
        <v>6809</v>
      </c>
      <c r="F298">
        <v>1</v>
      </c>
      <c r="M298" t="str">
        <f t="shared" si="4"/>
        <v>{szContent="”在昆仑捕获",bSearch=true,[20]={},tCountdown={{nClass=20,nIcon=1899,nFrame=5,szName="马驹·已被捕获",nTime=10,key="昆仑",},},},</v>
      </c>
      <c r="N298" t="s">
        <v>6810</v>
      </c>
    </row>
    <row r="299" spans="1:56" x14ac:dyDescent="0.15">
      <c r="C299" t="s">
        <v>6423</v>
      </c>
      <c r="D299" t="s">
        <v>6424</v>
      </c>
      <c r="E299" t="s">
        <v>2718</v>
      </c>
      <c r="G299">
        <v>1</v>
      </c>
      <c r="M299" t="str">
        <f t="shared" si="4"/>
        <v>{szContent="([浩气恶人]+)[盟谷]-的【(.-)】帮会成功占领【(.-)】据点！",szNote="{$3}·{$1}占领",col={255,255,100,},bReg=true,[20]={},tCountdown={{nClass=20,nIcon=2397,nFrame=-1,szName="",nTime=0.001,nRefresh=2,key="{$3}·浩气占领",},{nClass=20,nIcon=2397,nFrame=-1,szName="{$3}·浩气占领",nTime=-1,key="{$3}·浩气占领",},{nClass=20,nIcon=2398,nFrame=-1,szName="",nTime=0.001,nRefresh=2,key="{$3}·恶人占领",},{nClass=20,nIcon=2398,nFrame=-1,szName="{$3}·恶人占领",nTime=-1,key="{$3}·恶人占领",},{nClass=20,nIcon=2400,nFrame=7,szName="{$3}·{$1}占领",nTime=0,key="{$3}·{$1}占领",},{nClass=20,nIcon=20122,nFrame=7,szName="【{$3}】·浩气占领",nTime=30,nRefresh=1,key="{$3}·浩气占领",},{nClass=20,nIcon=20114,nFrame=3,szName="【{$3}】·恶人占领",nTime=30,nRefresh=1,key="{$3}·恶人占领",},},},</v>
      </c>
      <c r="N299" t="s">
        <v>6680</v>
      </c>
      <c r="O299" t="s">
        <v>6681</v>
      </c>
      <c r="P299" t="s">
        <v>6682</v>
      </c>
      <c r="Q299" t="s">
        <v>6683</v>
      </c>
      <c r="R299" t="s">
        <v>6684</v>
      </c>
      <c r="S299" t="s">
        <v>6685</v>
      </c>
      <c r="T299" t="s">
        <v>6686</v>
      </c>
    </row>
    <row r="300" spans="1:56" x14ac:dyDescent="0.15">
      <c r="C300" t="s">
        <v>6687</v>
      </c>
      <c r="D300" t="s">
        <v>6688</v>
      </c>
      <c r="E300" t="s">
        <v>2718</v>
      </c>
      <c r="G300">
        <v>1</v>
      </c>
      <c r="M300" t="str">
        <f t="shared" si="4"/>
        <v>{szContent="([浩气恶人]+)[盟谷]-位于(.-)的【(.-)据点】大旗被夺",szNote="{$3}·{$1}大旗被夺",col={255,255,100,},bReg=true,[20]={},tCountdown={{nClass=20,nIcon=2397,nFrame=-1,szName="",nTime=0.001,nRefresh=2,key="{$3}·浩气大旗被夺",},{nClass=20,nIcon=2397,nFrame=-1,szName="{$3}·浩气大旗被夺",nTime=-1,key="{$3}·浩气大旗被夺",},{nClass=20,nIcon=2398,nFrame=-1,szName="",nTime=0.001,nRefresh=2,key="{$3}·恶人大旗被夺",},{nClass=20,nIcon=2398,nFrame=-1,szName="{$3}·恶人大旗被夺",nTime=-1,key="{$3}·恶人大旗被夺",},{nClass=20,nIcon=2400,nFrame=7,szName="{$3}·{$1}大旗被夺",nTime=0,key="{$3}·{$1}大旗被夺",},{nClass=20,nIcon=4837,nFrame=7,szName="{$2}【{$3}】浩气大旗被夺",nTime=30,nRefresh=1,key="{$3}·浩气大旗被夺",},{nClass=20,nIcon=4838,nFrame=3,szName="{$2}【{$3}】恶人大旗被夺",nTime=30,nRefresh=1,key="{$3}·恶人大旗被夺",},},},</v>
      </c>
      <c r="N300" t="s">
        <v>6689</v>
      </c>
      <c r="O300" t="s">
        <v>6690</v>
      </c>
      <c r="P300" t="s">
        <v>6691</v>
      </c>
      <c r="Q300" t="s">
        <v>6692</v>
      </c>
      <c r="R300" t="s">
        <v>6693</v>
      </c>
      <c r="S300" t="s">
        <v>6694</v>
      </c>
      <c r="T300" t="s">
        <v>6695</v>
      </c>
    </row>
    <row r="301" spans="1:56" x14ac:dyDescent="0.15">
      <c r="C301" t="s">
        <v>6696</v>
      </c>
      <c r="D301" t="s">
        <v>6697</v>
      </c>
      <c r="E301" t="s">
        <v>2718</v>
      </c>
      <c r="G301">
        <v>1</v>
      </c>
      <c r="M301" t="str">
        <f t="shared" si="4"/>
        <v>{szContent="^【(.*)】据点大旗.*重置回初始位置！",szNote="{$1}大旗重置",col={255,255,100,},bReg=true,[20]={},tCountdown={{nClass=20,nIcon=592,nFrame=4,szName="【{$1}】大旗重置",nTime=180,key="{$1}·大旗重置",},},},</v>
      </c>
      <c r="N301" t="s">
        <v>6698</v>
      </c>
    </row>
    <row r="302" spans="1:56" x14ac:dyDescent="0.15">
      <c r="C302" t="s">
        <v>6699</v>
      </c>
      <c r="D302" t="s">
        <v>6700</v>
      </c>
      <c r="E302" t="s">
        <v>2718</v>
      </c>
      <c r="G302">
        <v>1</v>
      </c>
      <c r="M302" t="str">
        <f t="shared" si="4"/>
        <v>{szContent="^江湖快报！(.-)据点粮仓被一群([浩气恶人]+)[盟谷]-人士洗劫，损失一半据点资金。",szNote="{$1}·{$2}劫粮",col={255,255,100,},bReg=true,[20]={},tCountdown={{nClass=20,nIcon=2397,nFrame=-1,szName="",nTime=0.001,nRefresh=2,key="{$1}·浩气劫粮",},{nClass=20,nIcon=2397,nFrame=-1,szName="{$1}·浩气劫粮",nTime=-1,key="{$1}·浩气劫粮",},{nClass=20,nIcon=2398,nFrame=-1,szName="",nTime=0.001,nRefresh=2,key="{$1}·恶人劫粮",},{nClass=20,nIcon=2398,nFrame=-1,szName="{$1}·恶人劫粮",nTime=-1,key="{$1}·恶人劫粮",},{nClass=20,nIcon=2400,nFrame=7,szName="{$1}·{$2}劫粮",nTime=0,key="{$1}·{$2}劫粮",},{nClass=20,nIcon=15387,nFrame=7,szName="【{$1}】浩气劫粮",nTime=30,nRefresh=1,key="{$1}·浩气劫粮",},{nClass=20,nIcon=15383,nFrame=3,szName="【{$1}】恶人劫粮",nTime=30,nRefresh=1,key="{$1}·恶人劫粮",},},},</v>
      </c>
      <c r="N302" t="s">
        <v>6701</v>
      </c>
      <c r="O302" t="s">
        <v>6702</v>
      </c>
      <c r="P302" t="s">
        <v>6703</v>
      </c>
      <c r="Q302" t="s">
        <v>6704</v>
      </c>
      <c r="R302" t="s">
        <v>6705</v>
      </c>
      <c r="S302" t="s">
        <v>6706</v>
      </c>
      <c r="T302" t="s">
        <v>6707</v>
      </c>
    </row>
    <row r="303" spans="1:56" x14ac:dyDescent="0.15">
      <c r="C303" t="s">
        <v>6149</v>
      </c>
      <c r="E303" t="s">
        <v>2718</v>
      </c>
      <c r="M303" t="str">
        <f t="shared" si="4"/>
        <v>{szContent="本场恶人谷攻防即将结束，昆仑物资运送暂且休整，等待下一场攻防开启！\n",col={255,255,100,},[20]={},tCountdown={{nClass=20,nIcon=17135,nFrame=0,szName="粮草先行·活动结束",nTime=5,key="粮草先行·恶人谷",},{nClass=20,nIcon=17135,nFrame=0,szName="粮草先行·浩气盟",nTime=0,key="粮草先行·浩气盟",},},},</v>
      </c>
      <c r="N303" t="s">
        <v>6811</v>
      </c>
      <c r="O303" t="s">
        <v>6812</v>
      </c>
    </row>
    <row r="304" spans="1:56" x14ac:dyDescent="0.15">
      <c r="C304" t="s">
        <v>6741</v>
      </c>
      <c r="E304" t="s">
        <v>2529</v>
      </c>
      <c r="M304" t="str">
        <f t="shared" si="4"/>
        <v>{szContent="随着霸图的死亡，一柄钢刀从他身上滑落，似乎是他的随身信物。\n",col={255,100,100,},[20]={},tCountdown={{nClass=20,nIcon=2864,nFrame=7,szName="霸图",nTime=0,key="霸图",},{nClass=20,nIcon=2864,nFrame=7,szName="",nTime="60,霸图的信物;300,霸图·刷新剩余;310,霸图·即将刷新",nRefresh=60,key="霸图",},},},</v>
      </c>
      <c r="N304" t="s">
        <v>6742</v>
      </c>
      <c r="O304" t="s">
        <v>6813</v>
      </c>
    </row>
    <row r="305" spans="1:16" x14ac:dyDescent="0.15">
      <c r="C305" t="s">
        <v>6744</v>
      </c>
      <c r="E305" t="s">
        <v>2524</v>
      </c>
      <c r="M305" t="str">
        <f t="shared" si="4"/>
        <v>{szContent="随着孙永恒的死亡，一柄短剑从他身上滑落，似乎是他的随身信物。\n",col={100,100,255,},[20]={},tCountdown={{nClass=20,nIcon=845,nFrame=3,szName="孙永恒",nTime=0,key="孙永恒",},{nClass=20,nIcon=845,nFrame=3,szName="",nTime="60,孙永恒的信物;300,孙永恒·刷新剩余;310,孙永恒·即将刷新",nRefresh=60,key="孙永恒",},},},</v>
      </c>
      <c r="N305" t="s">
        <v>6745</v>
      </c>
      <c r="O305" t="s">
        <v>6814</v>
      </c>
    </row>
    <row r="306" spans="1:16" x14ac:dyDescent="0.15">
      <c r="C306" t="s">
        <v>6815</v>
      </c>
      <c r="E306" t="s">
        <v>2529</v>
      </c>
      <c r="M306" t="str">
        <f t="shared" si="4"/>
        <v>{szContent="昆仑山恶人谷西昆仑高地援军已到，营地夺回，交通恢复！\n",col={255,100,100,},[20]={},tCountdown={{nClass=20,nIcon=2864,nFrame=7,szName="霸图·已刷新",nTime=10,nRefresh=600,key="霸图",},},},</v>
      </c>
      <c r="N306" t="s">
        <v>6816</v>
      </c>
    </row>
    <row r="307" spans="1:16" x14ac:dyDescent="0.15">
      <c r="C307" t="s">
        <v>6817</v>
      </c>
      <c r="E307" t="s">
        <v>2524</v>
      </c>
      <c r="M307" t="str">
        <f t="shared" si="4"/>
        <v>{szContent="昆仑山浩气盟东昆仑高地援军已到，营地夺回，交通恢复！\n",col={100,100,255,},[20]={},tCountdown={{nClass=20,nIcon=845,nFrame=3,szName="孙永恒·已刷新",nTime=10,nRefresh=600,key="孙永恒",},},},</v>
      </c>
      <c r="N307" t="s">
        <v>6818</v>
      </c>
    </row>
    <row r="308" spans="1:16" x14ac:dyDescent="0.15">
      <c r="A308" t="s">
        <v>242</v>
      </c>
      <c r="B308">
        <v>35</v>
      </c>
      <c r="M308" t="str">
        <f t="shared" si="4"/>
        <v>},[35]={</v>
      </c>
    </row>
    <row r="309" spans="1:16" x14ac:dyDescent="0.15">
      <c r="C309" t="s">
        <v>6819</v>
      </c>
      <c r="M309" t="str">
        <f t="shared" si="4"/>
        <v>{szContent="你已接受了[鼠字腰牌]。\n",[20]={},tCountdown={{nClass=20,nIcon=17135,nFrame=5,szName="阁下莫非是为高人",nTime=60,key="美人图1",},{nClass=20,nIcon=17135,nFrame=5,szName="果然是位高人",nTime=60,key="美人图2",},},},</v>
      </c>
      <c r="N309" t="s">
        <v>6820</v>
      </c>
      <c r="O309" t="s">
        <v>6821</v>
      </c>
    </row>
    <row r="310" spans="1:16" x14ac:dyDescent="0.15">
      <c r="C310" t="s">
        <v>6822</v>
      </c>
      <c r="M310" t="str">
        <f t="shared" si="4"/>
        <v>{szContent="获得【鼠字腰牌】，可以打开腰牌袋子查看。\n",[20]={},tCountdown={{nClass=20,nIcon=17135,nFrame=5,szName="阁下莫非是为高人",nTime=0,key="美人图1",},{nClass=20,nIcon=17135,nFrame=5,szName="果然是位高人",nTime=0,key="美人图2",},},},</v>
      </c>
      <c r="N310" t="s">
        <v>6823</v>
      </c>
      <c r="O310" t="s">
        <v>6824</v>
      </c>
    </row>
    <row r="311" spans="1:16" x14ac:dyDescent="0.15">
      <c r="C311" t="s">
        <v>6825</v>
      </c>
      <c r="M311" t="str">
        <f t="shared" si="4"/>
        <v>{szContent="你已完成了[鼠字腰牌]。\n",[20]={},tCountdown={{nClass=20,nIcon=17135,nFrame=5,szName="阁下莫非是为高人",nTime=0,key="美人图1",},{nClass=20,nIcon=17135,nFrame=5,szName="果然是位高人",nTime=0,key="美人图2",},},},</v>
      </c>
      <c r="N311" t="s">
        <v>6823</v>
      </c>
      <c r="O311" t="s">
        <v>6824</v>
      </c>
    </row>
    <row r="312" spans="1:16" x14ac:dyDescent="0.15">
      <c r="C312" t="s">
        <v>6826</v>
      </c>
      <c r="M312" t="str">
        <f t="shared" si="4"/>
        <v>{szContent="你已接受了[探贾一陀]。\n",[20]={},tCountdown={{nClass=20,nIcon=17135,nFrame=5,szName="这位高僧好饭量",nTime=60,key="美人图1",},{nClass=20,nIcon=17135,nFrame=5,szName="佛爷你是否需要些吃的东西",nTime=60,key="美人图2",},{nClass=20,nIcon=17135,nFrame=5,szName="烧鸡烧鹅都来点",nTime=60,key="美人图3",},},},</v>
      </c>
      <c r="N312" t="s">
        <v>6827</v>
      </c>
      <c r="O312" t="s">
        <v>6828</v>
      </c>
      <c r="P312" t="s">
        <v>6829</v>
      </c>
    </row>
    <row r="313" spans="1:16" x14ac:dyDescent="0.15">
      <c r="C313" t="s">
        <v>6830</v>
      </c>
      <c r="M313" t="str">
        <f t="shared" si="4"/>
        <v>{szContent="你已完成了[探贾一陀]。\n",[20]={},tCountdown={{nClass=20,nIcon=17135,nFrame=5,szName="这位高僧好饭量",nTime=0,key="美人图1",},{nClass=20,nIcon=17135,nFrame=5,szName="佛爷你是否需要些吃的东西",nTime=0,key="美人图2",},{nClass=20,nIcon=17135,nFrame=5,szName="烧鸡烧鹅都来点",nTime=0,key="美人图3",},},},</v>
      </c>
      <c r="N313" t="s">
        <v>6831</v>
      </c>
      <c r="O313" t="s">
        <v>6832</v>
      </c>
      <c r="P313" t="s">
        <v>6833</v>
      </c>
    </row>
    <row r="314" spans="1:16" x14ac:dyDescent="0.15">
      <c r="C314" t="s">
        <v>6834</v>
      </c>
      <c r="M314" t="str">
        <f t="shared" si="4"/>
        <v>{szContent="你已接受了[这是交易]。\n",[20]={},tCountdown={{nClass=20,nIcon=17135,nFrame=5,szName="找丁老三购买·冰糖葫芦·小木人",nTime=60,key="美人图1",},{nClass=20,nIcon=17135,nFrame=5,szName="成就·篝火边的大厨·购买调料",nTime=60,key="美人图2",},},},</v>
      </c>
      <c r="N314" t="s">
        <v>6835</v>
      </c>
      <c r="O314" t="s">
        <v>6836</v>
      </c>
    </row>
    <row r="315" spans="1:16" x14ac:dyDescent="0.15">
      <c r="C315" t="s">
        <v>6837</v>
      </c>
      <c r="M315" t="str">
        <f t="shared" si="4"/>
        <v>{szContent="你已完成了[这是交易]。\n",[20]={},tCountdown={{nClass=20,nIcon=17135,nFrame=5,szName="找丁老三购买·冰糖葫芦·小木人",nTime=0,key="美人图1",},{nClass=20,nIcon=17135,nFrame=5,szName="成就·篝火边的大厨·购买调料",nTime=0,key="美人图2",},},},</v>
      </c>
      <c r="N315" t="s">
        <v>6838</v>
      </c>
      <c r="O315" t="s">
        <v>6839</v>
      </c>
    </row>
    <row r="316" spans="1:16" x14ac:dyDescent="0.15">
      <c r="C316" t="s">
        <v>6840</v>
      </c>
      <c r="M316" t="str">
        <f t="shared" si="4"/>
        <v>{szContent="你已接受了[获得烤肉]。\n",[20]={},tCountdown={{nClass=20,nIcon=17135,nFrame=5,szName="在贾一陀身后烤肉",nTime=60,key="美人图1",},},},</v>
      </c>
      <c r="N316" t="s">
        <v>6841</v>
      </c>
    </row>
    <row r="317" spans="1:16" x14ac:dyDescent="0.15">
      <c r="C317" t="s">
        <v>6842</v>
      </c>
      <c r="M317" t="str">
        <f t="shared" si="4"/>
        <v>{szContent="你已完成了[获得烤肉]。\n",[20]={},tCountdown={{nClass=20,nIcon=17135,nFrame=5,szName="在贾一陀身后烤肉",nTime=0,key="美人图1",},},},</v>
      </c>
      <c r="N317" t="s">
        <v>6843</v>
      </c>
    </row>
    <row r="318" spans="1:16" x14ac:dyDescent="0.15">
      <c r="C318" t="s">
        <v>6844</v>
      </c>
      <c r="M318" t="str">
        <f t="shared" si="4"/>
        <v>{szContent="你已接受了[大嘴之怒]。\n",[20]={},tCountdown={{nClass=20,nIcon=17135,nFrame=5,szName="的确十分可气",nTime=60,key="美人图1",},{nClass=20,nIcon=17135,nFrame=5,szName="维|护军威，自然愿意",nTime=60,key="美人图2",},},},</v>
      </c>
      <c r="N318" t="s">
        <v>6845</v>
      </c>
      <c r="O318" t="s">
        <v>6846</v>
      </c>
    </row>
    <row r="319" spans="1:16" x14ac:dyDescent="0.15">
      <c r="C319" t="s">
        <v>6847</v>
      </c>
      <c r="M319" t="str">
        <f t="shared" si="4"/>
        <v>{szContent="你已完成了[大嘴之怒]。\n",[20]={},tCountdown={{nClass=20,nIcon=17135,nFrame=5,szName="的确十分可气",nTime=0,key="美人图1",},{nClass=20,nIcon=17135,nFrame=5,szName="维护军威，自然愿意",nTime=0,key="美人图2",},},},</v>
      </c>
      <c r="N319" t="s">
        <v>6848</v>
      </c>
      <c r="O319" t="s">
        <v>6849</v>
      </c>
    </row>
    <row r="320" spans="1:16" x14ac:dyDescent="0.15">
      <c r="C320" t="s">
        <v>6850</v>
      </c>
      <c r="M320" t="str">
        <f t="shared" si="4"/>
        <v>{szContent="你已接受了[虎字腰牌]。\n",[20]={},tCountdown={{nClass=20,nIcon=17135,nFrame=5,szName="一声号令，令人拜服",nTime=60,key="美人图1",},{nClass=20,nIcon=17135,nFrame=5,szName="威武雄壮",nTime=60,key="美人图2",},{nClass=20,nIcon=17135,nFrame=5,szName="我对大将军的景仰",nTime=60,key="美人图3",},},},</v>
      </c>
      <c r="N320" t="s">
        <v>6851</v>
      </c>
      <c r="O320" t="s">
        <v>6852</v>
      </c>
      <c r="P320" t="s">
        <v>6853</v>
      </c>
    </row>
    <row r="321" spans="1:20" x14ac:dyDescent="0.15">
      <c r="C321" t="s">
        <v>6854</v>
      </c>
      <c r="M321" t="str">
        <f t="shared" si="4"/>
        <v>{szContent="获得【虎字腰牌】，可以打开腰牌袋子查看。\n",[20]={},tCountdown={{nClass=20,nIcon=17135,nFrame=5,szName="一声号令，令人拜服",nTime=0,key="美人图1",},{nClass=20,nIcon=17135,nFrame=5,szName="威武雄壮",nTime=0,key="美人图2",},{nClass=20,nIcon=17135,nFrame=5,szName="我对大将军的景仰",nTime=0,key="美人图3",},},},</v>
      </c>
      <c r="N321" t="s">
        <v>6855</v>
      </c>
      <c r="O321" t="s">
        <v>6856</v>
      </c>
      <c r="P321" t="s">
        <v>6857</v>
      </c>
    </row>
    <row r="322" spans="1:20" x14ac:dyDescent="0.15">
      <c r="C322" t="s">
        <v>6858</v>
      </c>
      <c r="M322" t="str">
        <f t="shared" ref="M322:M385" si="5">IF(ISBLANK(B322)=FALSE,IF(ISBLANK(B321),"},["&amp;B322&amp;"]={","["&amp;B322&amp;"]={"),IF(AND(ISBLANK(B322),ISBLANK(C322),ISBLANK(F322),ISBLANK(G322),OR(ISBLANK(B321)=FALSE,ISBLANK(C321)=FALSE,ISBLANK(F321)=FALSE,ISBLANK(G321)=FALSE)),"},},}",IF(ISBLANK(C322),"","{szContent="""&amp;C322&amp;""","&amp;IF(D322&lt;&gt;"","szNote="""&amp;D322&amp;""",","")&amp;IF(E322&lt;&gt;"","col={"&amp;E322&amp;"},","")&amp;IF(F322&gt;0,"bSearch=true,","")&amp;IF(G322&gt;0,"bReg=true,","")&amp;"[20]={"&amp;IF(H322&gt;0,"szVoice="""&amp;H322&amp;""",","")&amp;IF(I322&gt;0,"bTeamChannel=true,","")&amp;IF(J322&gt;0,"bWhisperChannel=true,","")&amp;IF(K322&gt;0,"bCenterAlarm=true,","")&amp;IF(L322&gt;0,"bScreenHead=true,","")&amp;"},"&amp;IF(N322&lt;&gt;"","tCountdown={"&amp;_xlfn.TEXTJOIN("",TRUE,N322:ZZ322)&amp;"},","")&amp;"},")))</f>
        <v>{szContent="你已接受了[画中美人]。\n",[20]={},tCountdown={{nClass=20,nIcon=17135,nFrame=5,szName="倾国倾城",nTime=60,key="美人图1",},{nClass=20,nIcon=17135,nFrame=5,szName="我愿意给你画像",nTime=60,key="美人图2",},},},</v>
      </c>
      <c r="N322" t="s">
        <v>6859</v>
      </c>
      <c r="O322" t="s">
        <v>6860</v>
      </c>
    </row>
    <row r="323" spans="1:20" x14ac:dyDescent="0.15">
      <c r="C323" t="s">
        <v>6861</v>
      </c>
      <c r="M323" t="str">
        <f t="shared" si="5"/>
        <v>{szContent="画纸就放在背包里，右键点击对仇赛赛使用即可为她作画。\n",[20]={},tCountdown={{nClass=20,nIcon=17135,nFrame=5,szName="倾国倾城",nTime=0,key="美人图1",},{nClass=20,nIcon=17135,nFrame=5,szName="我愿意给你画像",nTime=0,key="美人图2",},{nClass=20,nIcon=17135,nFrame=5,szName="鹅蛋脸·不画雀斑",nTime=60,key="美人图1",},{nClass=20,nIcon=17135,nFrame=5,szName="婀娜多姿·杨柳细腰",nTime=60,key="美人图2",},{nClass=20,nIcon=17135,nFrame=5,szName="小脚丫·雪白",nTime=60,key="美人图3",},},},</v>
      </c>
      <c r="N323" t="s">
        <v>6862</v>
      </c>
      <c r="O323" t="s">
        <v>6863</v>
      </c>
      <c r="P323" t="s">
        <v>6864</v>
      </c>
      <c r="Q323" t="s">
        <v>6865</v>
      </c>
      <c r="R323" t="s">
        <v>6866</v>
      </c>
    </row>
    <row r="324" spans="1:20" x14ac:dyDescent="0.15">
      <c r="C324" t="s">
        <v>6867</v>
      </c>
      <c r="M324" t="str">
        <f t="shared" si="5"/>
        <v>{szContent="你已完成了[画中美人]。\n",[20]={},tCountdown={{nClass=20,nIcon=17135,nFrame=5,szName="鹅蛋脸·不画雀斑",nTime=0,key="美人图1",},{nClass=20,nIcon=17135,nFrame=5,szName="婀娜多姿·杨柳细腰",nTime=0,key="美人图2",},{nClass=20,nIcon=17135,nFrame=5,szName="小脚丫·雪白",nTime=0,key="美人图3",},},},</v>
      </c>
      <c r="N324" t="s">
        <v>6868</v>
      </c>
      <c r="O324" t="s">
        <v>6869</v>
      </c>
      <c r="P324" t="s">
        <v>6870</v>
      </c>
    </row>
    <row r="325" spans="1:20" x14ac:dyDescent="0.15">
      <c r="C325" t="s">
        <v>6871</v>
      </c>
      <c r="M325" t="str">
        <f t="shared" si="5"/>
        <v>{szContent="你已接受了[闯木人阵]。\n",[20]={},tCountdown={{nClass=20,nIcon=17135,nFrame=5,szName="靠右边·走沿石上",nTime=60,key="美人图1",},{nClass=20,nIcon=17135,nFrame=5,szName="下层·到1/4时走沿石上",nTime=60,key="美人图2",},},},</v>
      </c>
      <c r="N325" t="s">
        <v>6872</v>
      </c>
      <c r="O325" t="s">
        <v>6873</v>
      </c>
    </row>
    <row r="326" spans="1:20" x14ac:dyDescent="0.15">
      <c r="C326" t="s">
        <v>6874</v>
      </c>
      <c r="M326" t="str">
        <f t="shared" si="5"/>
        <v>{szContent="你已完成了[闯木人阵]。\n",[20]={},tCountdown={{nClass=20,nIcon=17135,nFrame=5,szName="靠右边·走沿石上",nTime=0,key="美人图1",},{nClass=20,nIcon=17135,nFrame=5,szName="下层·到一半时走沿石上",nTime=0,key="美人图2",},},},</v>
      </c>
      <c r="N326" t="s">
        <v>6875</v>
      </c>
      <c r="O326" t="s">
        <v>6876</v>
      </c>
    </row>
    <row r="327" spans="1:20" x14ac:dyDescent="0.15">
      <c r="C327" t="s">
        <v>6877</v>
      </c>
      <c r="M327" t="str">
        <f t="shared" si="5"/>
        <v>{szContent="你已接受了[寻宫大肥]。\n",[20]={},tCountdown={{nClass=20,nIcon=17135,nFrame=5,szName="可组队共享次数",nTime=60,key="美人图1",},},},</v>
      </c>
      <c r="N327" t="s">
        <v>6878</v>
      </c>
    </row>
    <row r="328" spans="1:20" x14ac:dyDescent="0.15">
      <c r="C328" t="s">
        <v>6879</v>
      </c>
      <c r="M328" t="str">
        <f t="shared" si="5"/>
        <v>{szContent="你已完成了[寻宫大肥]。\n",[20]={},tCountdown={{nClass=20,nIcon=17135,nFrame=5,szName="可组队共享次数",nTime=0,key="美人图1",},},},</v>
      </c>
      <c r="N328" t="s">
        <v>6880</v>
      </c>
    </row>
    <row r="329" spans="1:20" x14ac:dyDescent="0.15">
      <c r="C329" t="s">
        <v>6881</v>
      </c>
      <c r="M329" t="str">
        <f t="shared" si="5"/>
        <v>{szContent="你已完成了[美人图]。\n",[20]={},tCountdown={{nClass=20,nIcon=17135,nFrame=5,szName="",nTime=0,key="美人图1",},{nClass=20,nIcon=17135,nFrame=5,szName="",nTime=0,key="美人图2",},{nClass=20,nIcon=17135,nFrame=5,szName="",nTime=0,key="美人图3",},},},</v>
      </c>
      <c r="N329" t="s">
        <v>6882</v>
      </c>
      <c r="O329" t="s">
        <v>6883</v>
      </c>
      <c r="P329" t="s">
        <v>6884</v>
      </c>
    </row>
    <row r="330" spans="1:20" x14ac:dyDescent="0.15">
      <c r="C330" t="s">
        <v>6885</v>
      </c>
      <c r="M330" t="str">
        <f t="shared" si="5"/>
        <v>{szContent="你已完成了[寻龙勘脉窥天机]。\n",[20]={},tCountdown={{nClass=14,nIcon=4975,nFrame=5,szName="寻龙勘脉·任务结束",nTime=0,key="寻龙勘脉窥天机·开启",},},},</v>
      </c>
      <c r="N330" t="s">
        <v>6886</v>
      </c>
    </row>
    <row r="331" spans="1:20" x14ac:dyDescent="0.15">
      <c r="C331" t="s">
        <v>6423</v>
      </c>
      <c r="D331" t="s">
        <v>6424</v>
      </c>
      <c r="E331" t="s">
        <v>2718</v>
      </c>
      <c r="G331">
        <v>1</v>
      </c>
      <c r="M331" t="str">
        <f t="shared" si="5"/>
        <v>{szContent="([浩气恶人]+)[盟谷]-的【(.-)】帮会成功占领【(.-)】据点！",szNote="{$3}·{$1}占领",col={255,255,100,},bReg=true,[20]={},tCountdown={{nClass=20,nIcon=2397,nFrame=-1,szName="",nTime=0.001,nRefresh=2,key="{$3}·浩气占领",},{nClass=20,nIcon=2397,nFrame=-1,szName="{$3}·浩气占领",nTime=-1,key="{$3}·浩气占领",},{nClass=20,nIcon=2398,nFrame=-1,szName="",nTime=0.001,nRefresh=2,key="{$3}·恶人占领",},{nClass=20,nIcon=2398,nFrame=-1,szName="{$3}·恶人占领",nTime=-1,key="{$3}·恶人占领",},{nClass=20,nIcon=2400,nFrame=7,szName="{$3}·{$1}占领",nTime=0,key="{$3}·{$1}占领",},{nClass=20,nIcon=20122,nFrame=7,szName="【{$3}】·浩气占领",nTime=30,nRefresh=1,key="{$3}·浩气占领",},{nClass=20,nIcon=20114,nFrame=3,szName="【{$3}】·恶人占领",nTime=30,nRefresh=1,key="{$3}·恶人占领",},},},</v>
      </c>
      <c r="N331" t="s">
        <v>6680</v>
      </c>
      <c r="O331" t="s">
        <v>6681</v>
      </c>
      <c r="P331" t="s">
        <v>6682</v>
      </c>
      <c r="Q331" t="s">
        <v>6683</v>
      </c>
      <c r="R331" t="s">
        <v>6684</v>
      </c>
      <c r="S331" t="s">
        <v>6685</v>
      </c>
      <c r="T331" t="s">
        <v>6686</v>
      </c>
    </row>
    <row r="332" spans="1:20" x14ac:dyDescent="0.15">
      <c r="C332" t="s">
        <v>6687</v>
      </c>
      <c r="D332" t="s">
        <v>6688</v>
      </c>
      <c r="E332" t="s">
        <v>2718</v>
      </c>
      <c r="G332">
        <v>1</v>
      </c>
      <c r="M332" t="str">
        <f t="shared" si="5"/>
        <v>{szContent="([浩气恶人]+)[盟谷]-位于(.-)的【(.-)据点】大旗被夺",szNote="{$3}·{$1}大旗被夺",col={255,255,100,},bReg=true,[20]={},tCountdown={{nClass=20,nIcon=2397,nFrame=-1,szName="",nTime=0.001,nRefresh=2,key="{$3}·浩气大旗被夺",},{nClass=20,nIcon=2397,nFrame=-1,szName="{$3}·浩气大旗被夺",nTime=-1,key="{$3}·浩气大旗被夺",},{nClass=20,nIcon=2398,nFrame=-1,szName="",nTime=0.001,nRefresh=2,key="{$3}·恶人大旗被夺",},{nClass=20,nIcon=2398,nFrame=-1,szName="{$3}·恶人大旗被夺",nTime=-1,key="{$3}·恶人大旗被夺",},{nClass=20,nIcon=2400,nFrame=7,szName="{$3}·{$1}大旗被夺",nTime=0,key="{$3}·{$1}大旗被夺",},{nClass=20,nIcon=4837,nFrame=7,szName="{$2}【{$3}】浩气大旗被夺",nTime=30,nRefresh=1,key="{$3}·浩气大旗被夺",},{nClass=20,nIcon=4838,nFrame=3,szName="{$2}【{$3}】恶人大旗被夺",nTime=30,nRefresh=1,key="{$3}·恶人大旗被夺",},},},</v>
      </c>
      <c r="N332" t="s">
        <v>6689</v>
      </c>
      <c r="O332" t="s">
        <v>6690</v>
      </c>
      <c r="P332" t="s">
        <v>6691</v>
      </c>
      <c r="Q332" t="s">
        <v>6692</v>
      </c>
      <c r="R332" t="s">
        <v>6693</v>
      </c>
      <c r="S332" t="s">
        <v>6694</v>
      </c>
      <c r="T332" t="s">
        <v>6695</v>
      </c>
    </row>
    <row r="333" spans="1:20" x14ac:dyDescent="0.15">
      <c r="C333" t="s">
        <v>6696</v>
      </c>
      <c r="D333" t="s">
        <v>6697</v>
      </c>
      <c r="E333" t="s">
        <v>2718</v>
      </c>
      <c r="G333">
        <v>1</v>
      </c>
      <c r="M333" t="str">
        <f t="shared" si="5"/>
        <v>{szContent="^【(.*)】据点大旗.*重置回初始位置！",szNote="{$1}大旗重置",col={255,255,100,},bReg=true,[20]={},tCountdown={{nClass=20,nIcon=592,nFrame=4,szName="【{$1}】大旗重置",nTime=180,key="{$1}·大旗重置",},},},</v>
      </c>
      <c r="N333" t="s">
        <v>6698</v>
      </c>
    </row>
    <row r="334" spans="1:20" x14ac:dyDescent="0.15">
      <c r="C334" t="s">
        <v>6699</v>
      </c>
      <c r="D334" t="s">
        <v>6700</v>
      </c>
      <c r="E334" t="s">
        <v>2718</v>
      </c>
      <c r="G334">
        <v>1</v>
      </c>
      <c r="M334" t="str">
        <f t="shared" si="5"/>
        <v>{szContent="^江湖快报！(.-)据点粮仓被一群([浩气恶人]+)[盟谷]-人士洗劫，损失一半据点资金。",szNote="{$1}·{$2}劫粮",col={255,255,100,},bReg=true,[20]={},tCountdown={{nClass=20,nIcon=2397,nFrame=-1,szName="",nTime=0.001,nRefresh=2,key="{$1}·浩气劫粮",},{nClass=20,nIcon=2397,nFrame=-1,szName="{$1}·浩气劫粮",nTime=-1,key="{$1}·浩气劫粮",},{nClass=20,nIcon=2398,nFrame=-1,szName="",nTime=0.001,nRefresh=2,key="{$1}·恶人劫粮",},{nClass=20,nIcon=2398,nFrame=-1,szName="{$1}·恶人劫粮",nTime=-1,key="{$1}·恶人劫粮",},{nClass=20,nIcon=2400,nFrame=7,szName="{$1}·{$2}劫粮",nTime=0,key="{$1}·{$2}劫粮",},{nClass=20,nIcon=15387,nFrame=7,szName="【{$1}】浩气劫粮",nTime=30,nRefresh=1,key="{$1}·浩气劫粮",},{nClass=20,nIcon=15383,nFrame=3,szName="【{$1}】恶人劫粮",nTime=30,nRefresh=1,key="{$1}·恶人劫粮",},},},</v>
      </c>
      <c r="N334" t="s">
        <v>6701</v>
      </c>
      <c r="O334" t="s">
        <v>6702</v>
      </c>
      <c r="P334" t="s">
        <v>6703</v>
      </c>
      <c r="Q334" t="s">
        <v>6704</v>
      </c>
      <c r="R334" t="s">
        <v>6705</v>
      </c>
      <c r="S334" t="s">
        <v>6706</v>
      </c>
      <c r="T334" t="s">
        <v>6707</v>
      </c>
    </row>
    <row r="335" spans="1:20" x14ac:dyDescent="0.15">
      <c r="A335" t="s">
        <v>734</v>
      </c>
      <c r="B335">
        <v>49</v>
      </c>
      <c r="M335" t="str">
        <f t="shared" si="5"/>
        <v>},[49]={</v>
      </c>
    </row>
    <row r="336" spans="1:20" x14ac:dyDescent="0.15">
      <c r="C336" t="s">
        <v>6887</v>
      </c>
      <c r="M336" t="str">
        <f t="shared" si="5"/>
        <v>{szContent="藏锋十年刃方雪，乱世仍需铸仁心。每一把名剑的出世都同藏剑山庄的兴衰息息相关。今日，藏剑山庄与天下众侠士共襄盛举。请众位侠士速至藏剑山庄楼外楼，为名剑的诞生贡献自己的力量，莫要错过了这百年难逢的机会。\n",[20]={},tCountdown={{nClass=20,nIcon=17135,nFrame=0,szName="藏剑·门派事件·楼外楼",nTime=10,key="门派事件1",},},},</v>
      </c>
      <c r="N336" t="s">
        <v>6888</v>
      </c>
    </row>
    <row r="337" spans="1:15" x14ac:dyDescent="0.15">
      <c r="C337" t="s">
        <v>6889</v>
      </c>
      <c r="M337" t="str">
        <f t="shared" si="5"/>
        <v>{szContent="十年磨一剑，霜刃未曾试。今日把示君，谁有不平事。新名剑其名为何，其锋何利？若想知道新一代名剑的秘密，可来藏剑山庄楼外楼同叶庄主一起参详一二。\n",[20]={},tCountdown={{nClass=20,nIcon=17135,nFrame=0,szName="藏剑·门派事件·楼外楼",nTime=10,key="门派事件1",},},},</v>
      </c>
      <c r="N337" t="s">
        <v>6888</v>
      </c>
    </row>
    <row r="338" spans="1:15" x14ac:dyDescent="0.15">
      <c r="A338" t="s">
        <v>756</v>
      </c>
      <c r="B338">
        <v>74</v>
      </c>
      <c r="M338" t="str">
        <f t="shared" si="5"/>
        <v>},[74]={</v>
      </c>
    </row>
    <row r="339" spans="1:15" x14ac:dyDescent="0.15">
      <c r="C339" t="s">
        <v>6890</v>
      </c>
      <c r="G339">
        <v>1</v>
      </c>
      <c r="M339" t="str">
        <f t="shared" si="5"/>
        <v>{szContent="你当前积分为(%d-)分，帮会总积分为(%d-)分。",bReg=true,[20]={},tCountdown={{nClass=20,nIcon=17135,nFrame=5,szName="个人积分{$1}分·帮会积分{$2}分",nTime=5,key="小猪快跑",},},},</v>
      </c>
      <c r="N339" t="s">
        <v>6891</v>
      </c>
    </row>
    <row r="340" spans="1:15" x14ac:dyDescent="0.15">
      <c r="C340" t="s">
        <v>6557</v>
      </c>
      <c r="F340">
        <v>1</v>
      </c>
      <c r="M340" t="str">
        <f t="shared" si="5"/>
        <v>{szContent="你已接受了[大战！",bSearch=true,[20]={},tCountdown={{nClass=20,nIcon=360,nFrame=2,szName="记得打包·帮会外食",nTime=20,},{nClass=20,nIcon=360,nFrame=2,szName="记得打包·帮会外食",nTime=20,},},},</v>
      </c>
      <c r="N340" t="s">
        <v>6892</v>
      </c>
      <c r="O340" t="s">
        <v>6892</v>
      </c>
    </row>
    <row r="341" spans="1:15" x14ac:dyDescent="0.15">
      <c r="C341" t="s">
        <v>6893</v>
      </c>
      <c r="M341" t="str">
        <f t="shared" si="5"/>
        <v>{szContent="你已接受了[芙蓉酥鲫鱼]。\n",[20]={},tCountdown={{nClass=20,nIcon=2817,nFrame=6,szName="送鱼·鲫鱼·20条",nTime=60,key="帮会·送鱼",},},},</v>
      </c>
      <c r="N341" t="s">
        <v>6894</v>
      </c>
    </row>
    <row r="342" spans="1:15" x14ac:dyDescent="0.15">
      <c r="C342" t="s">
        <v>6895</v>
      </c>
      <c r="M342" t="str">
        <f t="shared" si="5"/>
        <v>{szContent="你已接受了[再遇新难题]。\n",[20]={},tCountdown={{nClass=20,nIcon=17135,nFrame=0,szName="需要准备·今朝醉·1个",nTime=20,key="炼狱水煮鱼·改良3",},{nClass=20,nIcon=17135,nFrame=0,szName="再去找帮会大厨·辛三金",nTime=20,key="炼狱水煮鱼·改良4",},},},</v>
      </c>
      <c r="N342" t="s">
        <v>6896</v>
      </c>
      <c r="O342" t="s">
        <v>6897</v>
      </c>
    </row>
    <row r="343" spans="1:15" x14ac:dyDescent="0.15">
      <c r="C343" t="s">
        <v>6898</v>
      </c>
      <c r="M343" t="str">
        <f t="shared" si="5"/>
        <v>{szContent="你已接受了[清炖鲢鱼头]。\n",[20]={},tCountdown={{nClass=20,nIcon=2677,nFrame=6,szName="送鱼·鲢鱼",nTime=60,key="帮会·送鱼",},},},</v>
      </c>
      <c r="N343" t="s">
        <v>6899</v>
      </c>
    </row>
    <row r="344" spans="1:15" x14ac:dyDescent="0.15">
      <c r="C344" t="s">
        <v>6900</v>
      </c>
      <c r="M344" t="str">
        <f t="shared" si="5"/>
        <v>{szContent="你已接受了[菊花鲈鱼]。\n",[20]={},tCountdown={{nClass=20,nIcon=2825,nFrame=6,szName="送鱼·鲈鱼·20条",nTime=60,key="帮会·送鱼",},},},</v>
      </c>
      <c r="N344" t="s">
        <v>6901</v>
      </c>
    </row>
    <row r="345" spans="1:15" x14ac:dyDescent="0.15">
      <c r="C345" t="s">
        <v>6902</v>
      </c>
      <c r="M345" t="str">
        <f t="shared" si="5"/>
        <v>{szContent="你已接受了[荷香鲤鱼]。\n",[20]={},tCountdown={{nClass=20,nIcon=2819,nFrame=6,szName="送鱼·鲤鱼·20条",nTime=60,key="帮会·送鱼",},},},</v>
      </c>
      <c r="N345" t="s">
        <v>6903</v>
      </c>
    </row>
    <row r="346" spans="1:15" x14ac:dyDescent="0.15">
      <c r="C346" t="s">
        <v>6904</v>
      </c>
      <c r="M346" t="str">
        <f t="shared" si="5"/>
        <v>{szContent="你已接受了[西湖醋鱼]。\n",[20]={},tCountdown={{nClass=20,nIcon=2818,nFrame=6,szName="送鱼·草鱼·20条",nTime=60,key="帮会·送鱼",},},},</v>
      </c>
      <c r="N346" t="s">
        <v>6905</v>
      </c>
    </row>
    <row r="347" spans="1:15" x14ac:dyDescent="0.15">
      <c r="C347" t="s">
        <v>6906</v>
      </c>
      <c r="M347" t="str">
        <f t="shared" si="5"/>
        <v>{szContent="你已接受了[一品青鱼]。\n",[20]={},tCountdown={{nClass=20,nIcon=2676,nFrame=6,szName="送鱼·青鱼·20条",nTime=60,key="帮会·送鱼",},},},</v>
      </c>
      <c r="N347" t="s">
        <v>6907</v>
      </c>
    </row>
    <row r="348" spans="1:15" x14ac:dyDescent="0.15">
      <c r="C348" t="s">
        <v>6908</v>
      </c>
      <c r="M348" t="str">
        <f t="shared" si="5"/>
        <v>{szContent="你召唤的小马驹非当前驯养对象。\n",[20]={},tCountdown={{nClass=20,nIcon=643,nFrame=5,szName="召唤小马驹遛马啦",nTime=10,nRefresh=120,key="遛马名师",},},},</v>
      </c>
      <c r="N348" t="s">
        <v>6909</v>
      </c>
    </row>
    <row r="349" spans="1:15" x14ac:dyDescent="0.15">
      <c r="C349" t="s">
        <v>6910</v>
      </c>
      <c r="M349" t="str">
        <f t="shared" si="5"/>
        <v>{szContent="帮会领地唱晚池水面平静，回归正常，未能尽兴的侠士下次请早。\n",[20]={},tCountdown={{nClass=20,nIcon=2678,nFrame=6,szName="帮会钓鱼活动·结束",nTime=15,nRefresh=1,key="帮会钓鱼",},},},</v>
      </c>
      <c r="N349" t="s">
        <v>6911</v>
      </c>
    </row>
    <row r="350" spans="1:15" x14ac:dyDescent="0.15">
      <c r="C350" t="s">
        <v>6912</v>
      </c>
      <c r="M350" t="str">
        <f t="shared" si="5"/>
        <v>{szContent="各路侠士下手略狠，唱晚池鱼类减少，鱼儿上钩时间稍微延长，但收益仍然不薄！\n",[20]={},tCountdown={{nClass=20,nIcon=2678,nFrame=6,szName="帮会钓鱼活动·鱼群减少",nTime=10,nRefresh=1,key="帮会钓鱼",},},},</v>
      </c>
      <c r="N350" t="s">
        <v>6913</v>
      </c>
    </row>
    <row r="351" spans="1:15" x14ac:dyDescent="0.15">
      <c r="C351" t="s">
        <v>6350</v>
      </c>
      <c r="M351" t="str">
        <f t="shared" si="5"/>
        <v>{szContent="帮会领地唱晚池突现异常，各类鱼儿异常活跃，鱼儿上钩时间大大缩短！各路已满80级的侠士可前往一试，定能收获不菲。\n",[20]={},tCountdown={{nClass=20,nIcon=2678,nFrame=6,szName="帮会钓鱼活动·开启",nTime=15,nRefresh=1,key="帮会钓鱼",},},},</v>
      </c>
      <c r="N351" t="s">
        <v>6351</v>
      </c>
    </row>
    <row r="352" spans="1:15" x14ac:dyDescent="0.15">
      <c r="C352" t="s">
        <v>6914</v>
      </c>
      <c r="M352" t="str">
        <f t="shared" si="5"/>
        <v>{szContent="需要将小马驹召唤出来溜达。\n",[20]={},tCountdown={{nClass=20,nIcon=643,nFrame=5,szName="召唤小马驹遛马啦",nTime=10,nRefresh=1800,key="遛马名师",},},},</v>
      </c>
      <c r="N352" t="s">
        <v>6915</v>
      </c>
    </row>
    <row r="353" spans="1:20" x14ac:dyDescent="0.15">
      <c r="A353" t="s">
        <v>758</v>
      </c>
      <c r="B353">
        <v>100</v>
      </c>
      <c r="M353" t="str">
        <f t="shared" si="5"/>
        <v>},[100]={</v>
      </c>
    </row>
    <row r="354" spans="1:20" x14ac:dyDescent="0.15">
      <c r="C354" t="s">
        <v>6916</v>
      </c>
      <c r="F354">
        <v>1</v>
      </c>
      <c r="M354" t="str">
        <f t="shared" si="5"/>
        <v>{szContent="”在白龙口捕获",bSearch=true,[20]={},tCountdown={{nClass=20,nIcon=1899,nFrame=5,szName="马驹·已被捕获",nTime=10,key="白龙口",},},},</v>
      </c>
      <c r="N354" t="s">
        <v>6917</v>
      </c>
    </row>
    <row r="355" spans="1:20" x14ac:dyDescent="0.15">
      <c r="C355" t="s">
        <v>6423</v>
      </c>
      <c r="D355" t="s">
        <v>6424</v>
      </c>
      <c r="E355" t="s">
        <v>2718</v>
      </c>
      <c r="G355">
        <v>1</v>
      </c>
      <c r="M355" t="str">
        <f t="shared" si="5"/>
        <v>{szContent="([浩气恶人]+)[盟谷]-的【(.-)】帮会成功占领【(.-)】据点！",szNote="{$3}·{$1}占领",col={255,255,100,},bReg=true,[20]={},tCountdown={{nClass=20,nIcon=2397,nFrame=-1,szName="",nTime=0.001,nRefresh=2,key="{$3}·浩气占领",},{nClass=20,nIcon=2397,nFrame=-1,szName="{$3}·浩气占领",nTime=-1,key="{$3}·浩气占领",},{nClass=20,nIcon=2398,nFrame=-1,szName="",nTime=0.001,nRefresh=2,key="{$3}·恶人占领",},{nClass=20,nIcon=2398,nFrame=-1,szName="{$3}·恶人占领",nTime=-1,key="{$3}·恶人占领",},{nClass=20,nIcon=2400,nFrame=7,szName="{$3}·{$1}占领",nTime=0,key="{$3}·{$1}占领",},{nClass=20,nIcon=20122,nFrame=7,szName="【{$3}】·浩气占领",nTime=30,nRefresh=1,key="{$3}·浩气占领",},{nClass=20,nIcon=20114,nFrame=3,szName="【{$3}】·恶人占领",nTime=30,nRefresh=1,key="{$3}·恶人占领",},},},</v>
      </c>
      <c r="N355" t="s">
        <v>6680</v>
      </c>
      <c r="O355" t="s">
        <v>6681</v>
      </c>
      <c r="P355" t="s">
        <v>6682</v>
      </c>
      <c r="Q355" t="s">
        <v>6683</v>
      </c>
      <c r="R355" t="s">
        <v>6684</v>
      </c>
      <c r="S355" t="s">
        <v>6685</v>
      </c>
      <c r="T355" t="s">
        <v>6686</v>
      </c>
    </row>
    <row r="356" spans="1:20" x14ac:dyDescent="0.15">
      <c r="C356" t="s">
        <v>6687</v>
      </c>
      <c r="D356" t="s">
        <v>6688</v>
      </c>
      <c r="E356" t="s">
        <v>2718</v>
      </c>
      <c r="G356">
        <v>1</v>
      </c>
      <c r="M356" t="str">
        <f t="shared" si="5"/>
        <v>{szContent="([浩气恶人]+)[盟谷]-位于(.-)的【(.-)据点】大旗被夺",szNote="{$3}·{$1}大旗被夺",col={255,255,100,},bReg=true,[20]={},tCountdown={{nClass=20,nIcon=2397,nFrame=-1,szName="",nTime=0.001,nRefresh=2,key="{$3}·浩气大旗被夺",},{nClass=20,nIcon=2397,nFrame=-1,szName="{$3}·浩气大旗被夺",nTime=-1,key="{$3}·浩气大旗被夺",},{nClass=20,nIcon=2398,nFrame=-1,szName="",nTime=0.001,nRefresh=2,key="{$3}·恶人大旗被夺",},{nClass=20,nIcon=2398,nFrame=-1,szName="{$3}·恶人大旗被夺",nTime=-1,key="{$3}·恶人大旗被夺",},{nClass=20,nIcon=2400,nFrame=7,szName="{$3}·{$1}大旗被夺",nTime=0,key="{$3}·{$1}大旗被夺",},{nClass=20,nIcon=4837,nFrame=7,szName="{$2}【{$3}】浩气大旗被夺",nTime=30,nRefresh=1,key="{$3}·浩气大旗被夺",},{nClass=20,nIcon=4838,nFrame=3,szName="{$2}【{$3}】恶人大旗被夺",nTime=30,nRefresh=1,key="{$3}·恶人大旗被夺",},},},</v>
      </c>
      <c r="N356" t="s">
        <v>6689</v>
      </c>
      <c r="O356" t="s">
        <v>6690</v>
      </c>
      <c r="P356" t="s">
        <v>6691</v>
      </c>
      <c r="Q356" t="s">
        <v>6692</v>
      </c>
      <c r="R356" t="s">
        <v>6693</v>
      </c>
      <c r="S356" t="s">
        <v>6694</v>
      </c>
      <c r="T356" t="s">
        <v>6695</v>
      </c>
    </row>
    <row r="357" spans="1:20" x14ac:dyDescent="0.15">
      <c r="C357" t="s">
        <v>6696</v>
      </c>
      <c r="D357" t="s">
        <v>6697</v>
      </c>
      <c r="E357" t="s">
        <v>2718</v>
      </c>
      <c r="G357">
        <v>1</v>
      </c>
      <c r="M357" t="str">
        <f t="shared" si="5"/>
        <v>{szContent="^【(.*)】据点大旗.*重置回初始位置！",szNote="{$1}大旗重置",col={255,255,100,},bReg=true,[20]={},tCountdown={{nClass=20,nIcon=592,nFrame=4,szName="【{$1}】大旗重置",nTime=180,key="{$1}·大旗重置",},},},</v>
      </c>
      <c r="N357" t="s">
        <v>6698</v>
      </c>
    </row>
    <row r="358" spans="1:20" x14ac:dyDescent="0.15">
      <c r="C358" t="s">
        <v>6699</v>
      </c>
      <c r="D358" t="s">
        <v>6700</v>
      </c>
      <c r="E358" t="s">
        <v>2718</v>
      </c>
      <c r="G358">
        <v>1</v>
      </c>
      <c r="M358" t="str">
        <f t="shared" si="5"/>
        <v>{szContent="^江湖快报！(.-)据点粮仓被一群([浩气恶人]+)[盟谷]-人士洗劫，损失一半据点资金。",szNote="{$1}·{$2}劫粮",col={255,255,100,},bReg=true,[20]={},tCountdown={{nClass=20,nIcon=2397,nFrame=-1,szName="",nTime=0.001,nRefresh=2,key="{$1}·浩气劫粮",},{nClass=20,nIcon=2397,nFrame=-1,szName="{$1}·浩气劫粮",nTime=-1,key="{$1}·浩气劫粮",},{nClass=20,nIcon=2398,nFrame=-1,szName="",nTime=0.001,nRefresh=2,key="{$1}·恶人劫粮",},{nClass=20,nIcon=2398,nFrame=-1,szName="{$1}·恶人劫粮",nTime=-1,key="{$1}·恶人劫粮",},{nClass=20,nIcon=2400,nFrame=7,szName="{$1}·{$2}劫粮",nTime=0,key="{$1}·{$2}劫粮",},{nClass=20,nIcon=15387,nFrame=7,szName="【{$1}】浩气劫粮",nTime=30,nRefresh=1,key="{$1}·浩气劫粮",},{nClass=20,nIcon=15383,nFrame=3,szName="【{$1}】恶人劫粮",nTime=30,nRefresh=1,key="{$1}·恶人劫粮",},},},</v>
      </c>
      <c r="N358" t="s">
        <v>6701</v>
      </c>
      <c r="O358" t="s">
        <v>6702</v>
      </c>
      <c r="P358" t="s">
        <v>6703</v>
      </c>
      <c r="Q358" t="s">
        <v>6704</v>
      </c>
      <c r="R358" t="s">
        <v>6705</v>
      </c>
      <c r="S358" t="s">
        <v>6706</v>
      </c>
      <c r="T358" t="s">
        <v>6707</v>
      </c>
    </row>
    <row r="359" spans="1:20" x14ac:dyDescent="0.15">
      <c r="A359" t="s">
        <v>759</v>
      </c>
      <c r="B359">
        <v>101</v>
      </c>
      <c r="M359" t="str">
        <f t="shared" si="5"/>
        <v>},[101]={</v>
      </c>
    </row>
    <row r="360" spans="1:20" x14ac:dyDescent="0.15">
      <c r="C360" t="s">
        <v>6918</v>
      </c>
      <c r="F360">
        <v>1</v>
      </c>
      <c r="M360" t="str">
        <f t="shared" si="5"/>
        <v>{szContent="”在无量山捕获",bSearch=true,[20]={},tCountdown={{nClass=20,nIcon=1899,nFrame=5,szName="马驹·已被捕获",nTime=10,key="无量山",},},},</v>
      </c>
      <c r="N360" t="s">
        <v>6919</v>
      </c>
    </row>
    <row r="361" spans="1:20" x14ac:dyDescent="0.15">
      <c r="C361" t="s">
        <v>6920</v>
      </c>
      <c r="M361" t="str">
        <f t="shared" si="5"/>
        <v>{szContent="请在骑乘花山节大会赛马的时候使用！\n",[20]={},tCountdown={{nClass=20,nIcon=13,nFrame=6,szName="花月马·骑乘赛马",nTime=10,key="任务提示1",},},},</v>
      </c>
      <c r="N361" t="s">
        <v>6921</v>
      </c>
    </row>
    <row r="362" spans="1:20" x14ac:dyDescent="0.15">
      <c r="C362" t="s">
        <v>6922</v>
      </c>
      <c r="M362" t="str">
        <f t="shared" si="5"/>
        <v>{szContent="你已接受了[天一尸毒祸四方]。\n",[20]={},tCountdown={{nClass=20,nIcon=13,nFrame=6,szName="任务提示3",nTime="10,天一尸毒祸四方;20,花骨朵·乘船到·神木谷;30,交互·孔雀·乌蒙后山;60,注意使用正确的玄火丸",nRefresh=0,key="任务提示2",},},},</v>
      </c>
      <c r="N362" t="s">
        <v>6923</v>
      </c>
    </row>
    <row r="363" spans="1:20" x14ac:dyDescent="0.15">
      <c r="C363" t="s">
        <v>6924</v>
      </c>
      <c r="M363" t="str">
        <f t="shared" si="5"/>
        <v>{szContent="你已接受了[孔雀神恩赐万福]。\n",[20]={},tCountdown={{nClass=20,nIcon=13,nFrame=6,szName="任务提示2",nTime="10,孔雀神恩赐万福;20,交互·竹儿·孔雀湖;30,飞行途中使用正确的玄火丸",nRefresh=0,key="任务提示3",},},},</v>
      </c>
      <c r="N363" t="s">
        <v>6925</v>
      </c>
    </row>
    <row r="364" spans="1:20" x14ac:dyDescent="0.15">
      <c r="C364" t="s">
        <v>6423</v>
      </c>
      <c r="D364" t="s">
        <v>6424</v>
      </c>
      <c r="E364" t="s">
        <v>2718</v>
      </c>
      <c r="G364">
        <v>1</v>
      </c>
      <c r="M364" t="str">
        <f t="shared" si="5"/>
        <v>{szContent="([浩气恶人]+)[盟谷]-的【(.-)】帮会成功占领【(.-)】据点！",szNote="{$3}·{$1}占领",col={255,255,100,},bReg=true,[20]={},tCountdown={{nClass=20,nIcon=2397,nFrame=-1,szName="",nTime=0.001,nRefresh=2,key="{$3}·浩气占领",},{nClass=20,nIcon=2397,nFrame=-1,szName="{$3}·浩气占领",nTime=-1,key="{$3}·浩气占领",},{nClass=20,nIcon=2398,nFrame=-1,szName="",nTime=0.001,nRefresh=2,key="{$3}·恶人占领",},{nClass=20,nIcon=2398,nFrame=-1,szName="{$3}·恶人占领",nTime=-1,key="{$3}·恶人占领",},{nClass=20,nIcon=2400,nFrame=7,szName="{$3}·{$1}占领",nTime=0,key="{$3}·{$1}占领",},{nClass=20,nIcon=20122,nFrame=7,szName="【{$3}】·浩气占领",nTime=30,nRefresh=1,key="{$3}·浩气占领",},{nClass=20,nIcon=20114,nFrame=3,szName="【{$3}】·恶人占领",nTime=30,nRefresh=1,key="{$3}·恶人占领",},},},</v>
      </c>
      <c r="N364" t="s">
        <v>6680</v>
      </c>
      <c r="O364" t="s">
        <v>6681</v>
      </c>
      <c r="P364" t="s">
        <v>6682</v>
      </c>
      <c r="Q364" t="s">
        <v>6683</v>
      </c>
      <c r="R364" t="s">
        <v>6684</v>
      </c>
      <c r="S364" t="s">
        <v>6685</v>
      </c>
      <c r="T364" t="s">
        <v>6686</v>
      </c>
    </row>
    <row r="365" spans="1:20" x14ac:dyDescent="0.15">
      <c r="C365" t="s">
        <v>6687</v>
      </c>
      <c r="D365" t="s">
        <v>6688</v>
      </c>
      <c r="E365" t="s">
        <v>2718</v>
      </c>
      <c r="G365">
        <v>1</v>
      </c>
      <c r="M365" t="str">
        <f t="shared" si="5"/>
        <v>{szContent="([浩气恶人]+)[盟谷]-位于(.-)的【(.-)据点】大旗被夺",szNote="{$3}·{$1}大旗被夺",col={255,255,100,},bReg=true,[20]={},tCountdown={{nClass=20,nIcon=2397,nFrame=-1,szName="",nTime=0.001,nRefresh=2,key="{$3}·浩气大旗被夺",},{nClass=20,nIcon=2397,nFrame=-1,szName="{$3}·浩气大旗被夺",nTime=-1,key="{$3}·浩气大旗被夺",},{nClass=20,nIcon=2398,nFrame=-1,szName="",nTime=0.001,nRefresh=2,key="{$3}·恶人大旗被夺",},{nClass=20,nIcon=2398,nFrame=-1,szName="{$3}·恶人大旗被夺",nTime=-1,key="{$3}·恶人大旗被夺",},{nClass=20,nIcon=2400,nFrame=7,szName="{$3}·{$1}大旗被夺",nTime=0,key="{$3}·{$1}大旗被夺",},{nClass=20,nIcon=4837,nFrame=7,szName="{$2}【{$3}】浩气大旗被夺",nTime=30,nRefresh=1,key="{$3}·浩气大旗被夺",},{nClass=20,nIcon=4838,nFrame=3,szName="{$2}【{$3}】恶人大旗被夺",nTime=30,nRefresh=1,key="{$3}·恶人大旗被夺",},},},</v>
      </c>
      <c r="N365" t="s">
        <v>6689</v>
      </c>
      <c r="O365" t="s">
        <v>6690</v>
      </c>
      <c r="P365" t="s">
        <v>6691</v>
      </c>
      <c r="Q365" t="s">
        <v>6692</v>
      </c>
      <c r="R365" t="s">
        <v>6693</v>
      </c>
      <c r="S365" t="s">
        <v>6694</v>
      </c>
      <c r="T365" t="s">
        <v>6695</v>
      </c>
    </row>
    <row r="366" spans="1:20" x14ac:dyDescent="0.15">
      <c r="C366" t="s">
        <v>6696</v>
      </c>
      <c r="D366" t="s">
        <v>6697</v>
      </c>
      <c r="E366" t="s">
        <v>2718</v>
      </c>
      <c r="G366">
        <v>1</v>
      </c>
      <c r="M366" t="str">
        <f t="shared" si="5"/>
        <v>{szContent="^【(.*)】据点大旗.*重置回初始位置！",szNote="{$1}大旗重置",col={255,255,100,},bReg=true,[20]={},tCountdown={{nClass=20,nIcon=592,nFrame=4,szName="【{$1}】大旗重置",nTime=180,key="{$1}·大旗重置",},},},</v>
      </c>
      <c r="N366" t="s">
        <v>6698</v>
      </c>
    </row>
    <row r="367" spans="1:20" x14ac:dyDescent="0.15">
      <c r="C367" t="s">
        <v>6699</v>
      </c>
      <c r="D367" t="s">
        <v>6700</v>
      </c>
      <c r="E367" t="s">
        <v>2718</v>
      </c>
      <c r="G367">
        <v>1</v>
      </c>
      <c r="M367" t="str">
        <f t="shared" si="5"/>
        <v>{szContent="^江湖快报！(.-)据点粮仓被一群([浩气恶人]+)[盟谷]-人士洗劫，损失一半据点资金。",szNote="{$1}·{$2}劫粮",col={255,255,100,},bReg=true,[20]={},tCountdown={{nClass=20,nIcon=2397,nFrame=-1,szName="",nTime=0.001,nRefresh=2,key="{$1}·浩气劫粮",},{nClass=20,nIcon=2397,nFrame=-1,szName="{$1}·浩气劫粮",nTime=-1,key="{$1}·浩气劫粮",},{nClass=20,nIcon=2398,nFrame=-1,szName="",nTime=0.001,nRefresh=2,key="{$1}·恶人劫粮",},{nClass=20,nIcon=2398,nFrame=-1,szName="{$1}·恶人劫粮",nTime=-1,key="{$1}·恶人劫粮",},{nClass=20,nIcon=2400,nFrame=7,szName="{$1}·{$2}劫粮",nTime=0,key="{$1}·{$2}劫粮",},{nClass=20,nIcon=15387,nFrame=7,szName="【{$1}】浩气劫粮",nTime=30,nRefresh=1,key="{$1}·浩气劫粮",},{nClass=20,nIcon=15383,nFrame=3,szName="【{$1}】恶人劫粮",nTime=30,nRefresh=1,key="{$1}·恶人劫粮",},},},</v>
      </c>
      <c r="N367" t="s">
        <v>6701</v>
      </c>
      <c r="O367" t="s">
        <v>6702</v>
      </c>
      <c r="P367" t="s">
        <v>6703</v>
      </c>
      <c r="Q367" t="s">
        <v>6704</v>
      </c>
      <c r="R367" t="s">
        <v>6705</v>
      </c>
      <c r="S367" t="s">
        <v>6706</v>
      </c>
      <c r="T367" t="s">
        <v>6707</v>
      </c>
    </row>
    <row r="368" spans="1:20" x14ac:dyDescent="0.15">
      <c r="A368" t="s">
        <v>760</v>
      </c>
      <c r="B368">
        <v>102</v>
      </c>
      <c r="M368" t="str">
        <f t="shared" si="5"/>
        <v>},[102]={</v>
      </c>
    </row>
    <row r="369" spans="1:20" x14ac:dyDescent="0.15">
      <c r="C369" t="s">
        <v>6926</v>
      </c>
      <c r="M369" t="str">
        <f t="shared" si="5"/>
        <v>{szContent="天一教余孽未平，曲云教主派出清缴的教众尚未返回，而公治菱在圣兽潭附近携植尸将结阵施法召来血魂巨蚊，望侠士前往相助，若稍有半分差池，引来天一教神秘植兽便不好办了。\n",[20]={},tCountdown={{nClass=20,nIcon=17135,nFrame=0,szName="五毒·门派事件·圣兽潭",nTime=10,key="门派事件1",},},},</v>
      </c>
      <c r="N369" t="s">
        <v>6927</v>
      </c>
    </row>
    <row r="370" spans="1:20" x14ac:dyDescent="0.15">
      <c r="C370" t="s">
        <v>6928</v>
      </c>
      <c r="M370" t="str">
        <f t="shared" si="5"/>
        <v>{szContent="原来是乌缇夜昨夜趁乱乔装混入五毒总坛，用天一教邪术催熟血魂巨蚊虫卵，引来嗜食血蚊的植兽“噬魂金虎”，愿侠士出手相助，将此邪恶之物铲除。\n",[20]={},tCountdown={{nClass=20,nIcon=17135,nFrame=0,szName="五毒·门派事件·五毒总坛",nTime=10,key="门派事件1",},},},</v>
      </c>
      <c r="N370" t="s">
        <v>6929</v>
      </c>
    </row>
    <row r="371" spans="1:20" x14ac:dyDescent="0.15">
      <c r="C371" t="s">
        <v>6930</v>
      </c>
      <c r="M371" t="str">
        <f t="shared" si="5"/>
        <v>{szContent="你已接受了[鸿鹄·毒海仙踪]。\n",[20]={},tCountdown={{nClass=20,nIcon=17135,nFrame=5,szName="秘境·仙踪林·五人简单",nTime=2,key="任务·提示1",},},},</v>
      </c>
      <c r="N371" t="s">
        <v>6931</v>
      </c>
    </row>
    <row r="372" spans="1:20" x14ac:dyDescent="0.15">
      <c r="A372" t="s">
        <v>761</v>
      </c>
      <c r="B372">
        <v>103</v>
      </c>
      <c r="M372" t="str">
        <f t="shared" si="5"/>
        <v>},[103]={</v>
      </c>
    </row>
    <row r="373" spans="1:20" x14ac:dyDescent="0.15">
      <c r="C373" t="s">
        <v>6423</v>
      </c>
      <c r="D373" t="s">
        <v>6424</v>
      </c>
      <c r="E373" t="s">
        <v>2718</v>
      </c>
      <c r="G373">
        <v>1</v>
      </c>
      <c r="M373" t="str">
        <f t="shared" si="5"/>
        <v>{szContent="([浩气恶人]+)[盟谷]-的【(.-)】帮会成功占领【(.-)】据点！",szNote="{$3}·{$1}占领",col={255,255,100,},bReg=true,[20]={},tCountdown={{nClass=20,nIcon=2397,nFrame=-1,szName="",nTime=0.001,nRefresh=2,key="{$3}·浩气占领",},{nClass=20,nIcon=2397,nFrame=-1,szName="{$3}·浩气占领",nTime=-1,key="{$3}·浩气占领",},{nClass=20,nIcon=2398,nFrame=-1,szName="",nTime=0.001,nRefresh=2,key="{$3}·恶人占领",},{nClass=20,nIcon=2398,nFrame=-1,szName="{$3}·恶人占领",nTime=-1,key="{$3}·恶人占领",},{nClass=20,nIcon=2400,nFrame=7,szName="{$3}·{$1}占领",nTime=0,key="{$3}·{$1}占领",},{nClass=20,nIcon=20122,nFrame=7,szName="【{$3}】·浩气占领",nTime=30,nRefresh=1,key="{$3}·浩气占领",},{nClass=20,nIcon=20114,nFrame=3,szName="【{$3}】·恶人占领",nTime=30,nRefresh=1,key="{$3}·恶人占领",},},},</v>
      </c>
      <c r="N373" t="s">
        <v>6680</v>
      </c>
      <c r="O373" t="s">
        <v>6681</v>
      </c>
      <c r="P373" t="s">
        <v>6682</v>
      </c>
      <c r="Q373" t="s">
        <v>6683</v>
      </c>
      <c r="R373" t="s">
        <v>6684</v>
      </c>
      <c r="S373" t="s">
        <v>6685</v>
      </c>
      <c r="T373" t="s">
        <v>6686</v>
      </c>
    </row>
    <row r="374" spans="1:20" x14ac:dyDescent="0.15">
      <c r="C374" t="s">
        <v>6687</v>
      </c>
      <c r="D374" t="s">
        <v>6688</v>
      </c>
      <c r="E374" t="s">
        <v>2718</v>
      </c>
      <c r="G374">
        <v>1</v>
      </c>
      <c r="M374" t="str">
        <f t="shared" si="5"/>
        <v>{szContent="([浩气恶人]+)[盟谷]-位于(.-)的【(.-)据点】大旗被夺",szNote="{$3}·{$1}大旗被夺",col={255,255,100,},bReg=true,[20]={},tCountdown={{nClass=20,nIcon=2397,nFrame=-1,szName="",nTime=0.001,nRefresh=2,key="{$3}·浩气大旗被夺",},{nClass=20,nIcon=2397,nFrame=-1,szName="{$3}·浩气大旗被夺",nTime=-1,key="{$3}·浩气大旗被夺",},{nClass=20,nIcon=2398,nFrame=-1,szName="",nTime=0.001,nRefresh=2,key="{$3}·恶人大旗被夺",},{nClass=20,nIcon=2398,nFrame=-1,szName="{$3}·恶人大旗被夺",nTime=-1,key="{$3}·恶人大旗被夺",},{nClass=20,nIcon=2400,nFrame=7,szName="{$3}·{$1}大旗被夺",nTime=0,key="{$3}·{$1}大旗被夺",},{nClass=20,nIcon=4837,nFrame=7,szName="{$2}【{$3}】浩气大旗被夺",nTime=30,nRefresh=1,key="{$3}·浩气大旗被夺",},{nClass=20,nIcon=4838,nFrame=3,szName="{$2}【{$3}】恶人大旗被夺",nTime=30,nRefresh=1,key="{$3}·恶人大旗被夺",},},},</v>
      </c>
      <c r="N374" t="s">
        <v>6689</v>
      </c>
      <c r="O374" t="s">
        <v>6690</v>
      </c>
      <c r="P374" t="s">
        <v>6691</v>
      </c>
      <c r="Q374" t="s">
        <v>6692</v>
      </c>
      <c r="R374" t="s">
        <v>6693</v>
      </c>
      <c r="S374" t="s">
        <v>6694</v>
      </c>
      <c r="T374" t="s">
        <v>6695</v>
      </c>
    </row>
    <row r="375" spans="1:20" x14ac:dyDescent="0.15">
      <c r="C375" t="s">
        <v>6696</v>
      </c>
      <c r="D375" t="s">
        <v>6697</v>
      </c>
      <c r="E375" t="s">
        <v>2718</v>
      </c>
      <c r="G375">
        <v>1</v>
      </c>
      <c r="M375" t="str">
        <f t="shared" si="5"/>
        <v>{szContent="^【(.*)】据点大旗.*重置回初始位置！",szNote="{$1}大旗重置",col={255,255,100,},bReg=true,[20]={},tCountdown={{nClass=20,nIcon=592,nFrame=4,szName="【{$1}】大旗重置",nTime=180,key="{$1}·大旗重置",},},},</v>
      </c>
      <c r="N375" t="s">
        <v>6698</v>
      </c>
    </row>
    <row r="376" spans="1:20" x14ac:dyDescent="0.15">
      <c r="C376" t="s">
        <v>6699</v>
      </c>
      <c r="D376" t="s">
        <v>6700</v>
      </c>
      <c r="E376" t="s">
        <v>2718</v>
      </c>
      <c r="G376">
        <v>1</v>
      </c>
      <c r="M376" t="str">
        <f t="shared" si="5"/>
        <v>{szContent="^江湖快报！(.-)据点粮仓被一群([浩气恶人]+)[盟谷]-人士洗劫，损失一半据点资金。",szNote="{$1}·{$2}劫粮",col={255,255,100,},bReg=true,[20]={},tCountdown={{nClass=20,nIcon=2397,nFrame=-1,szName="",nTime=0.001,nRefresh=2,key="{$1}·浩气劫粮",},{nClass=20,nIcon=2397,nFrame=-1,szName="{$1}·浩气劫粮",nTime=-1,key="{$1}·浩气劫粮",},{nClass=20,nIcon=2398,nFrame=-1,szName="",nTime=0.001,nRefresh=2,key="{$1}·恶人劫粮",},{nClass=20,nIcon=2398,nFrame=-1,szName="{$1}·恶人劫粮",nTime=-1,key="{$1}·恶人劫粮",},{nClass=20,nIcon=2400,nFrame=7,szName="{$1}·{$2}劫粮",nTime=0,key="{$1}·{$2}劫粮",},{nClass=20,nIcon=15387,nFrame=7,szName="【{$1}】浩气劫粮",nTime=30,nRefresh=1,key="{$1}·浩气劫粮",},{nClass=20,nIcon=15383,nFrame=3,szName="【{$1}】恶人劫粮",nTime=30,nRefresh=1,key="{$1}·恶人劫粮",},},},</v>
      </c>
      <c r="N376" t="s">
        <v>6701</v>
      </c>
      <c r="O376" t="s">
        <v>6702</v>
      </c>
      <c r="P376" t="s">
        <v>6703</v>
      </c>
      <c r="Q376" t="s">
        <v>6704</v>
      </c>
      <c r="R376" t="s">
        <v>6705</v>
      </c>
      <c r="S376" t="s">
        <v>6706</v>
      </c>
      <c r="T376" t="s">
        <v>6707</v>
      </c>
    </row>
    <row r="377" spans="1:20" x14ac:dyDescent="0.15">
      <c r="A377" t="s">
        <v>762</v>
      </c>
      <c r="B377">
        <v>104</v>
      </c>
      <c r="M377" t="str">
        <f t="shared" si="5"/>
        <v>},[104]={</v>
      </c>
    </row>
    <row r="378" spans="1:20" x14ac:dyDescent="0.15">
      <c r="C378" t="s">
        <v>6932</v>
      </c>
      <c r="F378">
        <v>1</v>
      </c>
      <c r="M378" t="str">
        <f t="shared" si="5"/>
        <v>{szContent="在黑龙沼捕获13级",bSearch=true,[20]={},tCountdown={{nClass=20,nIcon=1898,nFrame=5,szName="【里飞沙】已被捕获",nTime=10,key="黑龙沼",},},},</v>
      </c>
      <c r="N378" t="s">
        <v>6933</v>
      </c>
    </row>
    <row r="379" spans="1:20" x14ac:dyDescent="0.15">
      <c r="C379" t="s">
        <v>6423</v>
      </c>
      <c r="D379" t="s">
        <v>6424</v>
      </c>
      <c r="E379" t="s">
        <v>2718</v>
      </c>
      <c r="G379">
        <v>1</v>
      </c>
      <c r="M379" t="str">
        <f t="shared" si="5"/>
        <v>{szContent="([浩气恶人]+)[盟谷]-的【(.-)】帮会成功占领【(.-)】据点！",szNote="{$3}·{$1}占领",col={255,255,100,},bReg=true,[20]={},tCountdown={{nClass=20,nIcon=2397,nFrame=-1,szName="",nTime=0.001,nRefresh=2,key="{$3}·浩气占领",},{nClass=20,nIcon=2397,nFrame=-1,szName="{$3}·浩气占领",nTime=-1,key="{$3}·浩气占领",},{nClass=20,nIcon=2398,nFrame=-1,szName="",nTime=0.001,nRefresh=2,key="{$3}·恶人占领",},{nClass=20,nIcon=2398,nFrame=-1,szName="{$3}·恶人占领",nTime=-1,key="{$3}·恶人占领",},{nClass=20,nIcon=2400,nFrame=7,szName="{$3}·{$1}占领",nTime=0,key="{$3}·{$1}占领",},{nClass=20,nIcon=20122,nFrame=7,szName="【{$3}】·浩气占领",nTime=30,nRefresh=1,key="{$3}·浩气占领",},{nClass=20,nIcon=20114,nFrame=3,szName="【{$3}】·恶人占领",nTime=30,nRefresh=1,key="{$3}·恶人占领",},},},</v>
      </c>
      <c r="N379" t="s">
        <v>6680</v>
      </c>
      <c r="O379" t="s">
        <v>6681</v>
      </c>
      <c r="P379" t="s">
        <v>6682</v>
      </c>
      <c r="Q379" t="s">
        <v>6683</v>
      </c>
      <c r="R379" t="s">
        <v>6684</v>
      </c>
      <c r="S379" t="s">
        <v>6685</v>
      </c>
      <c r="T379" t="s">
        <v>6686</v>
      </c>
    </row>
    <row r="380" spans="1:20" x14ac:dyDescent="0.15">
      <c r="C380" t="s">
        <v>6687</v>
      </c>
      <c r="D380" t="s">
        <v>6688</v>
      </c>
      <c r="E380" t="s">
        <v>2718</v>
      </c>
      <c r="G380">
        <v>1</v>
      </c>
      <c r="M380" t="str">
        <f t="shared" si="5"/>
        <v>{szContent="([浩气恶人]+)[盟谷]-位于(.-)的【(.-)据点】大旗被夺",szNote="{$3}·{$1}大旗被夺",col={255,255,100,},bReg=true,[20]={},tCountdown={{nClass=20,nIcon=2397,nFrame=-1,szName="",nTime=0.001,nRefresh=2,key="{$3}·浩气大旗被夺",},{nClass=20,nIcon=2397,nFrame=-1,szName="{$3}·浩气大旗被夺",nTime=-1,key="{$3}·浩气大旗被夺",},{nClass=20,nIcon=2398,nFrame=-1,szName="",nTime=0.001,nRefresh=2,key="{$3}·恶人大旗被夺",},{nClass=20,nIcon=2398,nFrame=-1,szName="{$3}·恶人大旗被夺",nTime=-1,key="{$3}·恶人大旗被夺",},{nClass=20,nIcon=2400,nFrame=7,szName="{$3}·{$1}大旗被夺",nTime=0,key="{$3}·{$1}大旗被夺",},{nClass=20,nIcon=4837,nFrame=7,szName="{$2}【{$3}】浩气大旗被夺",nTime=30,nRefresh=1,key="{$3}·浩气大旗被夺",},{nClass=20,nIcon=4838,nFrame=3,szName="{$2}【{$3}】恶人大旗被夺",nTime=30,nRefresh=1,key="{$3}·恶人大旗被夺",},},},</v>
      </c>
      <c r="N380" t="s">
        <v>6689</v>
      </c>
      <c r="O380" t="s">
        <v>6690</v>
      </c>
      <c r="P380" t="s">
        <v>6691</v>
      </c>
      <c r="Q380" t="s">
        <v>6692</v>
      </c>
      <c r="R380" t="s">
        <v>6693</v>
      </c>
      <c r="S380" t="s">
        <v>6694</v>
      </c>
      <c r="T380" t="s">
        <v>6695</v>
      </c>
    </row>
    <row r="381" spans="1:20" x14ac:dyDescent="0.15">
      <c r="C381" t="s">
        <v>6696</v>
      </c>
      <c r="D381" t="s">
        <v>6697</v>
      </c>
      <c r="E381" t="s">
        <v>2718</v>
      </c>
      <c r="G381">
        <v>1</v>
      </c>
      <c r="M381" t="str">
        <f t="shared" si="5"/>
        <v>{szContent="^【(.*)】据点大旗.*重置回初始位置！",szNote="{$1}大旗重置",col={255,255,100,},bReg=true,[20]={},tCountdown={{nClass=20,nIcon=592,nFrame=4,szName="【{$1}】大旗重置",nTime=180,key="{$1}·大旗重置",},},},</v>
      </c>
      <c r="N381" t="s">
        <v>6698</v>
      </c>
    </row>
    <row r="382" spans="1:20" x14ac:dyDescent="0.15">
      <c r="C382" t="s">
        <v>6699</v>
      </c>
      <c r="D382" t="s">
        <v>6700</v>
      </c>
      <c r="E382" t="s">
        <v>2718</v>
      </c>
      <c r="G382">
        <v>1</v>
      </c>
      <c r="M382" t="str">
        <f t="shared" si="5"/>
        <v>{szContent="^江湖快报！(.-)据点粮仓被一群([浩气恶人]+)[盟谷]-人士洗劫，损失一半据点资金。",szNote="{$1}·{$2}劫粮",col={255,255,100,},bReg=true,[20]={},tCountdown={{nClass=20,nIcon=2397,nFrame=-1,szName="",nTime=0.001,nRefresh=2,key="{$1}·浩气劫粮",},{nClass=20,nIcon=2397,nFrame=-1,szName="{$1}·浩气劫粮",nTime=-1,key="{$1}·浩气劫粮",},{nClass=20,nIcon=2398,nFrame=-1,szName="",nTime=0.001,nRefresh=2,key="{$1}·恶人劫粮",},{nClass=20,nIcon=2398,nFrame=-1,szName="{$1}·恶人劫粮",nTime=-1,key="{$1}·恶人劫粮",},{nClass=20,nIcon=2400,nFrame=7,szName="{$1}·{$2}劫粮",nTime=0,key="{$1}·{$2}劫粮",},{nClass=20,nIcon=15387,nFrame=7,szName="【{$1}】浩气劫粮",nTime=30,nRefresh=1,key="{$1}·浩气劫粮",},{nClass=20,nIcon=15383,nFrame=3,szName="【{$1}】恶人劫粮",nTime=30,nRefresh=1,key="{$1}·恶人劫粮",},},},</v>
      </c>
      <c r="N382" t="s">
        <v>6701</v>
      </c>
      <c r="O382" t="s">
        <v>6702</v>
      </c>
      <c r="P382" t="s">
        <v>6703</v>
      </c>
      <c r="Q382" t="s">
        <v>6704</v>
      </c>
      <c r="R382" t="s">
        <v>6705</v>
      </c>
      <c r="S382" t="s">
        <v>6706</v>
      </c>
      <c r="T382" t="s">
        <v>6707</v>
      </c>
    </row>
    <row r="383" spans="1:20" x14ac:dyDescent="0.15">
      <c r="A383" t="s">
        <v>763</v>
      </c>
      <c r="B383">
        <v>105</v>
      </c>
      <c r="M383" t="str">
        <f t="shared" si="5"/>
        <v>},[105]={</v>
      </c>
    </row>
    <row r="384" spans="1:20" x14ac:dyDescent="0.15">
      <c r="C384" t="s">
        <v>6934</v>
      </c>
      <c r="M384" t="str">
        <f t="shared" si="5"/>
        <v>{szContent="你已接受了[挽澜纪·只进不出]。\n",[20]={},tCountdown={{nClass=20,nIcon=17135,nFrame=6,szName="先去飞虎营打·飞虎战驹",nTime=20,key="任务·提示2",},},},</v>
      </c>
      <c r="N384" t="s">
        <v>6935</v>
      </c>
    </row>
    <row r="385" spans="1:20" x14ac:dyDescent="0.15">
      <c r="C385" t="s">
        <v>6423</v>
      </c>
      <c r="D385" t="s">
        <v>6424</v>
      </c>
      <c r="E385" t="s">
        <v>2718</v>
      </c>
      <c r="G385">
        <v>1</v>
      </c>
      <c r="M385" t="str">
        <f t="shared" si="5"/>
        <v>{szContent="([浩气恶人]+)[盟谷]-的【(.-)】帮会成功占领【(.-)】据点！",szNote="{$3}·{$1}占领",col={255,255,100,},bReg=true,[20]={},tCountdown={{nClass=20,nIcon=2397,nFrame=-1,szName="",nTime=0.001,nRefresh=2,key="{$3}·浩气占领",},{nClass=20,nIcon=2397,nFrame=-1,szName="{$3}·浩气占领",nTime=-1,key="{$3}·浩气占领",},{nClass=20,nIcon=2398,nFrame=-1,szName="",nTime=0.001,nRefresh=2,key="{$3}·恶人占领",},{nClass=20,nIcon=2398,nFrame=-1,szName="{$3}·恶人占领",nTime=-1,key="{$3}·恶人占领",},{nClass=20,nIcon=2400,nFrame=7,szName="{$3}·{$1}占领",nTime=0,key="{$3}·{$1}占领",},{nClass=20,nIcon=20122,nFrame=7,szName="【{$3}】·浩气占领",nTime=30,nRefresh=1,key="{$3}·浩气占领",},{nClass=20,nIcon=20114,nFrame=3,szName="【{$3}】·恶人占领",nTime=30,nRefresh=1,key="{$3}·恶人占领",},},},</v>
      </c>
      <c r="N385" t="s">
        <v>6680</v>
      </c>
      <c r="O385" t="s">
        <v>6681</v>
      </c>
      <c r="P385" t="s">
        <v>6682</v>
      </c>
      <c r="Q385" t="s">
        <v>6683</v>
      </c>
      <c r="R385" t="s">
        <v>6684</v>
      </c>
      <c r="S385" t="s">
        <v>6685</v>
      </c>
      <c r="T385" t="s">
        <v>6686</v>
      </c>
    </row>
    <row r="386" spans="1:20" x14ac:dyDescent="0.15">
      <c r="C386" t="s">
        <v>6687</v>
      </c>
      <c r="D386" t="s">
        <v>6688</v>
      </c>
      <c r="E386" t="s">
        <v>2718</v>
      </c>
      <c r="G386">
        <v>1</v>
      </c>
      <c r="M386" t="str">
        <f t="shared" ref="M386:M449" si="6">IF(ISBLANK(B386)=FALSE,IF(ISBLANK(B385),"},["&amp;B386&amp;"]={","["&amp;B386&amp;"]={"),IF(AND(ISBLANK(B386),ISBLANK(C386),ISBLANK(F386),ISBLANK(G386),OR(ISBLANK(B385)=FALSE,ISBLANK(C385)=FALSE,ISBLANK(F385)=FALSE,ISBLANK(G385)=FALSE)),"},},}",IF(ISBLANK(C386),"","{szContent="""&amp;C386&amp;""","&amp;IF(D386&lt;&gt;"","szNote="""&amp;D386&amp;""",","")&amp;IF(E386&lt;&gt;"","col={"&amp;E386&amp;"},","")&amp;IF(F386&gt;0,"bSearch=true,","")&amp;IF(G386&gt;0,"bReg=true,","")&amp;"[20]={"&amp;IF(H386&gt;0,"szVoice="""&amp;H386&amp;""",","")&amp;IF(I386&gt;0,"bTeamChannel=true,","")&amp;IF(J386&gt;0,"bWhisperChannel=true,","")&amp;IF(K386&gt;0,"bCenterAlarm=true,","")&amp;IF(L386&gt;0,"bScreenHead=true,","")&amp;"},"&amp;IF(N386&lt;&gt;"","tCountdown={"&amp;_xlfn.TEXTJOIN("",TRUE,N386:ZZ386)&amp;"},","")&amp;"},")))</f>
        <v>{szContent="([浩气恶人]+)[盟谷]-位于(.-)的【(.-)据点】大旗被夺",szNote="{$3}·{$1}大旗被夺",col={255,255,100,},bReg=true,[20]={},tCountdown={{nClass=20,nIcon=2397,nFrame=-1,szName="",nTime=0.001,nRefresh=2,key="{$3}·浩气大旗被夺",},{nClass=20,nIcon=2397,nFrame=-1,szName="{$3}·浩气大旗被夺",nTime=-1,key="{$3}·浩气大旗被夺",},{nClass=20,nIcon=2398,nFrame=-1,szName="",nTime=0.001,nRefresh=2,key="{$3}·恶人大旗被夺",},{nClass=20,nIcon=2398,nFrame=-1,szName="{$3}·恶人大旗被夺",nTime=-1,key="{$3}·恶人大旗被夺",},{nClass=20,nIcon=2400,nFrame=7,szName="{$3}·{$1}大旗被夺",nTime=0,key="{$3}·{$1}大旗被夺",},{nClass=20,nIcon=4837,nFrame=7,szName="{$2}【{$3}】浩气大旗被夺",nTime=30,nRefresh=1,key="{$3}·浩气大旗被夺",},{nClass=20,nIcon=4838,nFrame=3,szName="{$2}【{$3}】恶人大旗被夺",nTime=30,nRefresh=1,key="{$3}·恶人大旗被夺",},},},</v>
      </c>
      <c r="N386" t="s">
        <v>6689</v>
      </c>
      <c r="O386" t="s">
        <v>6690</v>
      </c>
      <c r="P386" t="s">
        <v>6691</v>
      </c>
      <c r="Q386" t="s">
        <v>6692</v>
      </c>
      <c r="R386" t="s">
        <v>6693</v>
      </c>
      <c r="S386" t="s">
        <v>6694</v>
      </c>
      <c r="T386" t="s">
        <v>6695</v>
      </c>
    </row>
    <row r="387" spans="1:20" x14ac:dyDescent="0.15">
      <c r="C387" t="s">
        <v>6696</v>
      </c>
      <c r="D387" t="s">
        <v>6697</v>
      </c>
      <c r="E387" t="s">
        <v>2718</v>
      </c>
      <c r="G387">
        <v>1</v>
      </c>
      <c r="M387" t="str">
        <f t="shared" si="6"/>
        <v>{szContent="^【(.*)】据点大旗.*重置回初始位置！",szNote="{$1}大旗重置",col={255,255,100,},bReg=true,[20]={},tCountdown={{nClass=20,nIcon=592,nFrame=4,szName="【{$1}】大旗重置",nTime=180,key="{$1}·大旗重置",},},},</v>
      </c>
      <c r="N387" t="s">
        <v>6698</v>
      </c>
    </row>
    <row r="388" spans="1:20" x14ac:dyDescent="0.15">
      <c r="C388" t="s">
        <v>6699</v>
      </c>
      <c r="D388" t="s">
        <v>6700</v>
      </c>
      <c r="E388" t="s">
        <v>2718</v>
      </c>
      <c r="G388">
        <v>1</v>
      </c>
      <c r="M388" t="str">
        <f t="shared" si="6"/>
        <v>{szContent="^江湖快报！(.-)据点粮仓被一群([浩气恶人]+)[盟谷]-人士洗劫，损失一半据点资金。",szNote="{$1}·{$2}劫粮",col={255,255,100,},bReg=true,[20]={},tCountdown={{nClass=20,nIcon=2397,nFrame=-1,szName="",nTime=0.001,nRefresh=2,key="{$1}·浩气劫粮",},{nClass=20,nIcon=2397,nFrame=-1,szName="{$1}·浩气劫粮",nTime=-1,key="{$1}·浩气劫粮",},{nClass=20,nIcon=2398,nFrame=-1,szName="",nTime=0.001,nRefresh=2,key="{$1}·恶人劫粮",},{nClass=20,nIcon=2398,nFrame=-1,szName="{$1}·恶人劫粮",nTime=-1,key="{$1}·恶人劫粮",},{nClass=20,nIcon=2400,nFrame=7,szName="{$1}·{$2}劫粮",nTime=0,key="{$1}·{$2}劫粮",},{nClass=20,nIcon=15387,nFrame=7,szName="【{$1}】浩气劫粮",nTime=30,nRefresh=1,key="{$1}·浩气劫粮",},{nClass=20,nIcon=15383,nFrame=3,szName="【{$1}】恶人劫粮",nTime=30,nRefresh=1,key="{$1}·恶人劫粮",},},},</v>
      </c>
      <c r="N388" t="s">
        <v>6701</v>
      </c>
      <c r="O388" t="s">
        <v>6702</v>
      </c>
      <c r="P388" t="s">
        <v>6703</v>
      </c>
      <c r="Q388" t="s">
        <v>6704</v>
      </c>
      <c r="R388" t="s">
        <v>6705</v>
      </c>
      <c r="S388" t="s">
        <v>6706</v>
      </c>
      <c r="T388" t="s">
        <v>6707</v>
      </c>
    </row>
    <row r="389" spans="1:20" x14ac:dyDescent="0.15">
      <c r="A389" t="s">
        <v>766</v>
      </c>
      <c r="B389">
        <v>108</v>
      </c>
      <c r="M389" t="str">
        <f t="shared" si="6"/>
        <v>},[108]={</v>
      </c>
    </row>
    <row r="390" spans="1:20" x14ac:dyDescent="0.15">
      <c r="C390" t="s">
        <v>6936</v>
      </c>
      <c r="M390" t="str">
        <f t="shared" si="6"/>
        <v>{szContent="你已接受了[制扎狮头]。\n",[20]={},tCountdown={{nClass=20,nIcon=17135,nFrame=6,szName="扎胚·扑纸·绘纹·定色",nTime=30,key="任务提示1",},},},</v>
      </c>
      <c r="N390" t="s">
        <v>6937</v>
      </c>
    </row>
    <row r="391" spans="1:20" x14ac:dyDescent="0.15">
      <c r="A391" t="s">
        <v>244</v>
      </c>
      <c r="B391">
        <v>122</v>
      </c>
      <c r="M391" t="str">
        <f t="shared" si="6"/>
        <v>},[122]={</v>
      </c>
    </row>
    <row r="392" spans="1:20" x14ac:dyDescent="0.15">
      <c r="C392" t="s">
        <v>6938</v>
      </c>
      <c r="M392" t="str">
        <f t="shared" si="6"/>
        <v>{szContent="唐门的机甲之战方告一段落，今日狼牙军官拔野古寒上唐门欲取订好的机关暗器，只是唐门已无备好的暗器，此事要如何了结？诸位侠士可去唐家堡获知此事结果。\n",[20]={},tCountdown={{nClass=20,nIcon=17135,nFrame=0,szName="唐门·门派事件·唐家堡",nTime=10,key="门派事件1",},},},</v>
      </c>
      <c r="N392" t="s">
        <v>6939</v>
      </c>
    </row>
    <row r="393" spans="1:20" x14ac:dyDescent="0.15">
      <c r="C393" t="s">
        <v>6940</v>
      </c>
      <c r="M393" t="str">
        <f t="shared" si="6"/>
        <v>{szContent="安禄山在范阳举起反旗，天下人人侧目。唐门门主唐傲天却甘冒天下之大不韪，偷偷贩售门中机关暗器予狼牙军和唐军两者，获得大批钱财。唐傲侠发现了他私底下的交易，不耻唐傲天所为，派大儿子唐无寻破坏门主准备好的机关。此事亦被掌管暗器的唐无乐发觉，两兄弟在唐门唐家堡用机甲对决，诸位侠士可前去一观输赢。\n",[20]={},tCountdown={{nClass=20,nIcon=17135,nFrame=0,szName="唐门·门派事件·唐家堡",nTime=10,key="门派事件1",},},},</v>
      </c>
      <c r="N393" t="s">
        <v>6939</v>
      </c>
    </row>
    <row r="394" spans="1:20" x14ac:dyDescent="0.15">
      <c r="A394" t="s">
        <v>794</v>
      </c>
      <c r="B394">
        <v>139</v>
      </c>
      <c r="M394" t="str">
        <f t="shared" si="6"/>
        <v>},[139]={</v>
      </c>
    </row>
    <row r="395" spans="1:20" x14ac:dyDescent="0.15">
      <c r="C395" t="s">
        <v>6423</v>
      </c>
      <c r="D395" t="s">
        <v>6424</v>
      </c>
      <c r="E395" t="s">
        <v>2718</v>
      </c>
      <c r="G395">
        <v>1</v>
      </c>
      <c r="M395" t="str">
        <f t="shared" si="6"/>
        <v>{szContent="([浩气恶人]+)[盟谷]-的【(.-)】帮会成功占领【(.-)】据点！",szNote="{$3}·{$1}占领",col={255,255,100,},bReg=true,[20]={},tCountdown={{nClass=20,nIcon=2397,nFrame=-1,szName="",nTime=0.001,nRefresh=2,key="{$3}·浩气占领",},{nClass=20,nIcon=2397,nFrame=-1,szName="{$3}·浩气占领",nTime=-1,key="{$3}·浩气占领",},{nClass=20,nIcon=2398,nFrame=-1,szName="",nTime=0.001,nRefresh=2,key="{$3}·恶人占领",},{nClass=20,nIcon=2398,nFrame=-1,szName="{$3}·恶人占领",nTime=-1,key="{$3}·恶人占领",},{nClass=20,nIcon=2400,nFrame=7,szName="{$3}·{$1}占领",nTime=0,key="{$3}·{$1}占领",},{nClass=20,nIcon=20122,nFrame=7,szName="【{$3}】·浩气占领",nTime=30,nRefresh=1,key="{$3}·浩气占领",},{nClass=20,nIcon=20114,nFrame=3,szName="【{$3}】·恶人占领",nTime=30,nRefresh=1,key="{$3}·恶人占领",},},},</v>
      </c>
      <c r="N395" t="s">
        <v>6680</v>
      </c>
      <c r="O395" t="s">
        <v>6681</v>
      </c>
      <c r="P395" t="s">
        <v>6682</v>
      </c>
      <c r="Q395" t="s">
        <v>6683</v>
      </c>
      <c r="R395" t="s">
        <v>6684</v>
      </c>
      <c r="S395" t="s">
        <v>6685</v>
      </c>
      <c r="T395" t="s">
        <v>6686</v>
      </c>
    </row>
    <row r="396" spans="1:20" x14ac:dyDescent="0.15">
      <c r="C396" t="s">
        <v>6687</v>
      </c>
      <c r="D396" t="s">
        <v>6688</v>
      </c>
      <c r="E396" t="s">
        <v>2718</v>
      </c>
      <c r="G396">
        <v>1</v>
      </c>
      <c r="M396" t="str">
        <f t="shared" si="6"/>
        <v>{szContent="([浩气恶人]+)[盟谷]-位于(.-)的【(.-)据点】大旗被夺",szNote="{$3}·{$1}大旗被夺",col={255,255,100,},bReg=true,[20]={},tCountdown={{nClass=20,nIcon=2397,nFrame=-1,szName="",nTime=0.001,nRefresh=2,key="{$3}·浩气大旗被夺",},{nClass=20,nIcon=2397,nFrame=-1,szName="{$3}·浩气大旗被夺",nTime=-1,key="{$3}·浩气大旗被夺",},{nClass=20,nIcon=2398,nFrame=-1,szName="",nTime=0.001,nRefresh=2,key="{$3}·恶人大旗被夺",},{nClass=20,nIcon=2398,nFrame=-1,szName="{$3}·恶人大旗被夺",nTime=-1,key="{$3}·恶人大旗被夺",},{nClass=20,nIcon=2400,nFrame=7,szName="{$3}·{$1}大旗被夺",nTime=0,key="{$3}·{$1}大旗被夺",},{nClass=20,nIcon=4837,nFrame=7,szName="{$2}【{$3}】浩气大旗被夺",nTime=30,nRefresh=1,key="{$3}·浩气大旗被夺",},{nClass=20,nIcon=4838,nFrame=3,szName="{$2}【{$3}】恶人大旗被夺",nTime=30,nRefresh=1,key="{$3}·恶人大旗被夺",},},},</v>
      </c>
      <c r="N396" t="s">
        <v>6689</v>
      </c>
      <c r="O396" t="s">
        <v>6690</v>
      </c>
      <c r="P396" t="s">
        <v>6691</v>
      </c>
      <c r="Q396" t="s">
        <v>6692</v>
      </c>
      <c r="R396" t="s">
        <v>6693</v>
      </c>
      <c r="S396" t="s">
        <v>6694</v>
      </c>
      <c r="T396" t="s">
        <v>6695</v>
      </c>
    </row>
    <row r="397" spans="1:20" x14ac:dyDescent="0.15">
      <c r="C397" t="s">
        <v>6696</v>
      </c>
      <c r="D397" t="s">
        <v>6697</v>
      </c>
      <c r="E397" t="s">
        <v>2718</v>
      </c>
      <c r="G397">
        <v>1</v>
      </c>
      <c r="M397" t="str">
        <f t="shared" si="6"/>
        <v>{szContent="^【(.*)】据点大旗.*重置回初始位置！",szNote="{$1}大旗重置",col={255,255,100,},bReg=true,[20]={},tCountdown={{nClass=20,nIcon=592,nFrame=4,szName="【{$1}】大旗重置",nTime=180,key="{$1}·大旗重置",},},},</v>
      </c>
      <c r="N397" t="s">
        <v>6698</v>
      </c>
    </row>
    <row r="398" spans="1:20" x14ac:dyDescent="0.15">
      <c r="C398" t="s">
        <v>6699</v>
      </c>
      <c r="D398" t="s">
        <v>6700</v>
      </c>
      <c r="E398" t="s">
        <v>2718</v>
      </c>
      <c r="G398">
        <v>1</v>
      </c>
      <c r="M398" t="str">
        <f t="shared" si="6"/>
        <v>{szContent="^江湖快报！(.-)据点粮仓被一群([浩气恶人]+)[盟谷]-人士洗劫，损失一半据点资金。",szNote="{$1}·{$2}劫粮",col={255,255,100,},bReg=true,[20]={},tCountdown={{nClass=20,nIcon=2397,nFrame=-1,szName="",nTime=0.001,nRefresh=2,key="{$1}·浩气劫粮",},{nClass=20,nIcon=2397,nFrame=-1,szName="{$1}·浩气劫粮",nTime=-1,key="{$1}·浩气劫粮",},{nClass=20,nIcon=2398,nFrame=-1,szName="",nTime=0.001,nRefresh=2,key="{$1}·恶人劫粮",},{nClass=20,nIcon=2398,nFrame=-1,szName="{$1}·恶人劫粮",nTime=-1,key="{$1}·恶人劫粮",},{nClass=20,nIcon=2400,nFrame=7,szName="{$1}·{$2}劫粮",nTime=0,key="{$1}·{$2}劫粮",},{nClass=20,nIcon=15387,nFrame=7,szName="【{$1}】浩气劫粮",nTime=30,nRefresh=1,key="{$1}·浩气劫粮",},{nClass=20,nIcon=15383,nFrame=3,szName="【{$1}】恶人劫粮",nTime=30,nRefresh=1,key="{$1}·恶人劫粮",},},},</v>
      </c>
      <c r="N398" t="s">
        <v>6701</v>
      </c>
      <c r="O398" t="s">
        <v>6702</v>
      </c>
      <c r="P398" t="s">
        <v>6703</v>
      </c>
      <c r="Q398" t="s">
        <v>6704</v>
      </c>
      <c r="R398" t="s">
        <v>6705</v>
      </c>
      <c r="S398" t="s">
        <v>6706</v>
      </c>
      <c r="T398" t="s">
        <v>6707</v>
      </c>
    </row>
    <row r="399" spans="1:20" x14ac:dyDescent="0.15">
      <c r="A399" t="s">
        <v>245</v>
      </c>
      <c r="B399">
        <v>150</v>
      </c>
      <c r="M399" t="str">
        <f t="shared" si="6"/>
        <v>},[150]={</v>
      </c>
    </row>
    <row r="400" spans="1:20" x14ac:dyDescent="0.15">
      <c r="C400" t="s">
        <v>6941</v>
      </c>
      <c r="M400" t="str">
        <f t="shared" si="6"/>
        <v>{szContent="明教正在举行明尊大典，侠士可前往明教圣墓山参与盛会。\n",[20]={},tCountdown={{nClass=20,nIcon=17135,nFrame=0,szName="明教·门派事件·圣墓山",nTime=10,key="门派事件1",},},},</v>
      </c>
      <c r="N400" t="s">
        <v>6942</v>
      </c>
    </row>
    <row r="401" spans="1:15" x14ac:dyDescent="0.15">
      <c r="C401" t="s">
        <v>6943</v>
      </c>
      <c r="M401" t="str">
        <f t="shared" si="6"/>
        <v>{szContent="明教正召集人手清剿红衣教势力，侠士可前往明教三生树附近参与。\n",[20]={},tCountdown={{nClass=20,nIcon=17135,nFrame=0,szName="明教·门派事件·三生树",nTime=10,key="门派事件1",},},},</v>
      </c>
      <c r="N401" t="s">
        <v>6944</v>
      </c>
    </row>
    <row r="402" spans="1:15" x14ac:dyDescent="0.15">
      <c r="A402" t="s">
        <v>801</v>
      </c>
      <c r="B402">
        <v>151</v>
      </c>
      <c r="M402" t="str">
        <f t="shared" si="6"/>
        <v>},[151]={</v>
      </c>
    </row>
    <row r="403" spans="1:15" x14ac:dyDescent="0.15">
      <c r="C403" t="s">
        <v>6560</v>
      </c>
      <c r="M403" t="str">
        <f t="shared" si="6"/>
        <v>{szContent="你已接受了[江湖秘闻]。\n",[20]={},tCountdown={{nClass=20,nIcon=17135,nFrame=5,szName="选项1帮会+选项4门派合并为正确答案",nTime=20,key="茶馆·提示0",},},},</v>
      </c>
      <c r="N403" t="s">
        <v>6945</v>
      </c>
    </row>
    <row r="404" spans="1:15" x14ac:dyDescent="0.15">
      <c r="C404" t="s">
        <v>6946</v>
      </c>
      <c r="M404" t="str">
        <f t="shared" si="6"/>
        <v>{szContent="你已接受了[留得绝学祭先圣·传奇]。\n",[20]={},tCountdown={{nClass=20,nIcon=1240,nFrame=5,szName="孤本传奇话本·千里香·碎肉",nTime=20,key="茶馆·交易",},},},</v>
      </c>
      <c r="N404" t="s">
        <v>6947</v>
      </c>
    </row>
    <row r="405" spans="1:15" x14ac:dyDescent="0.15">
      <c r="C405" t="s">
        <v>6948</v>
      </c>
      <c r="M405" t="str">
        <f t="shared" si="6"/>
        <v>{szContent="你已接受了[留得绝学祭先圣·曲谱]。\n",[20]={},tCountdown={{nClass=20,nIcon=388,nFrame=5,szName="梨园琵琶曲谱·铜矿·血",nTime=20,key="茶馆·交易",},},},</v>
      </c>
      <c r="N405" t="s">
        <v>6949</v>
      </c>
    </row>
    <row r="406" spans="1:15" x14ac:dyDescent="0.15">
      <c r="C406" t="s">
        <v>6950</v>
      </c>
      <c r="M406" t="str">
        <f t="shared" si="6"/>
        <v>{szContent="你已接受了[留得绝学祭先圣·秦鼎]。\n",[20]={},tCountdown={{nClass=20,nIcon=931,nFrame=5,szName="秦铜鼎·甘草·铅锌矿",nTime=20,key="茶馆·交易",},},},</v>
      </c>
      <c r="N406" t="s">
        <v>6951</v>
      </c>
    </row>
    <row r="407" spans="1:15" x14ac:dyDescent="0.15">
      <c r="C407" t="s">
        <v>6952</v>
      </c>
      <c r="M407" t="str">
        <f t="shared" si="6"/>
        <v>{szContent="你已接受了[留得绝学祭先圣·剑舞]。\n",[20]={},tCountdown={{nClass=20,nIcon=796,nFrame=5,szName="梨园剑舞之术·锡矿·精肉",nTime=20,key="茶馆·交易",},},},</v>
      </c>
      <c r="N407" t="s">
        <v>6953</v>
      </c>
    </row>
    <row r="408" spans="1:15" x14ac:dyDescent="0.15">
      <c r="C408" t="s">
        <v>6954</v>
      </c>
      <c r="M408" t="str">
        <f t="shared" si="6"/>
        <v>{szContent="你已接受了[留得绝学祭先圣·道书]。\n",[20]={},tCountdown={{nClass=20,nIcon=1241,nFrame=5,szName="隋道书·大黄·杂碎",nTime=20,key="茶馆·交易",},},},</v>
      </c>
      <c r="N408" t="s">
        <v>6955</v>
      </c>
    </row>
    <row r="409" spans="1:15" x14ac:dyDescent="0.15">
      <c r="C409" t="s">
        <v>6956</v>
      </c>
      <c r="M409" t="str">
        <f t="shared" si="6"/>
        <v>{szContent="你已接受了[衣食无忧·肉粥]。\n",[20]={},tCountdown={{nClass=20,nIcon=263,nFrame=5,szName="肉粥·精肉·碎肉",nTime=20,key="茶馆·交易",},},},</v>
      </c>
      <c r="N409" t="s">
        <v>6957</v>
      </c>
    </row>
    <row r="410" spans="1:15" x14ac:dyDescent="0.15">
      <c r="C410" t="s">
        <v>6958</v>
      </c>
      <c r="M410" t="str">
        <f t="shared" si="6"/>
        <v>{szContent="你已接受了[衣食无忧·汤药]。\n",[20]={},tCountdown={{nClass=20,nIcon=130,nFrame=5,szName="汤药·彼岸花·甘草",nTime=20,key="茶馆·交易",},},},</v>
      </c>
      <c r="N410" t="s">
        <v>6959</v>
      </c>
    </row>
    <row r="411" spans="1:15" x14ac:dyDescent="0.15">
      <c r="C411" t="s">
        <v>6960</v>
      </c>
      <c r="M411" t="str">
        <f t="shared" si="6"/>
        <v>{szContent="你已接受了[衣食无忧·衣物]。\n",[20]={},tCountdown={{nClass=20,nIcon=108,nFrame=5,szName="汤药·杂碎·大黄",nTime=20,key="茶馆·交易",},},},</v>
      </c>
      <c r="N411" t="s">
        <v>6961</v>
      </c>
    </row>
    <row r="412" spans="1:15" x14ac:dyDescent="0.15">
      <c r="C412" t="s">
        <v>6962</v>
      </c>
      <c r="M412" t="str">
        <f t="shared" si="6"/>
        <v>{szContent="跟踪鬼祟的狼牙军军士,伺机刺杀他。离得太近会被发现，离得太远会跟丢。尝试保持一定的距离。当他停下来时从背后刺杀他。\n",[20]={},tCountdown={{nClass=20,nIcon=17135,nFrame=5,szName="骑马跟随·6尺-30尺",nTime=20,key="茶馆·提示0",},},},</v>
      </c>
      <c r="N412" t="s">
        <v>6963</v>
      </c>
    </row>
    <row r="413" spans="1:15" x14ac:dyDescent="0.15">
      <c r="C413" t="s">
        <v>6964</v>
      </c>
      <c r="D413" t="s">
        <v>6965</v>
      </c>
      <c r="G413">
        <v>1</v>
      </c>
      <c r="J413">
        <v>1</v>
      </c>
      <c r="K413">
        <v>1</v>
      </c>
      <c r="M413" t="str">
        <f t="shared" si="6"/>
        <v>{szContent="%[心慈手软%]：(%d-)%/%d+\n",szNote="心慈手软·{$1}次",bReg=true,[20]={bWhisperChannel=true,bCenterAlarm=true,},tCountdown={{nClass=20,nIcon=17135,nFrame=0,szName="成就·心慈手软·{$1}次",nTime=30,key="茶馆·成就",},{nClass=20,nIcon=17135,nFrame=0,szName="可放弃重接·一次做完成就",nTime=30,key="茶馆·成就提示1",},},},</v>
      </c>
      <c r="N413" t="s">
        <v>6966</v>
      </c>
      <c r="O413" t="s">
        <v>6967</v>
      </c>
    </row>
    <row r="414" spans="1:15" x14ac:dyDescent="0.15">
      <c r="C414" t="s">
        <v>6968</v>
      </c>
      <c r="M414" t="str">
        <f t="shared" si="6"/>
        <v>{szContent="你已接受了[父欲养，而时不待]。\n",[20]={},tCountdown={{nClass=20,nIcon=17135,nFrame=2,szName="告知真相则没有屠狼会声望日常",nTime=10,key="任务提示1",},},},</v>
      </c>
      <c r="N414" t="s">
        <v>6969</v>
      </c>
    </row>
    <row r="415" spans="1:15" x14ac:dyDescent="0.15">
      <c r="C415" t="s">
        <v>6970</v>
      </c>
      <c r="M415" t="str">
        <f t="shared" si="6"/>
        <v>{szContent="本次贡献度:100\n",[20]={},tCountdown={{nClass=20,nIcon=17135,nFrame=3,szName="完美完成·神兵迷踪·九邬碧玉",nTime=5,key="公共事件·结算",},},},</v>
      </c>
      <c r="N415" t="s">
        <v>6971</v>
      </c>
    </row>
    <row r="416" spans="1:15" x14ac:dyDescent="0.15">
      <c r="C416" t="s">
        <v>6972</v>
      </c>
      <c r="M416" t="str">
        <f t="shared" si="6"/>
        <v>{szContent="本日已不能从本事件获得奖励。\n",[20]={},tCountdown={{nClass=20,nIcon=17135,nFrame=0,szName="神兵迷踪·已上限·九邬碧玉",nTime=10.1,nRefresh=3600,key="公共事件·上限·九邬碧玉",},},},</v>
      </c>
      <c r="N416" t="s">
        <v>6973</v>
      </c>
    </row>
    <row r="417" spans="1:20" x14ac:dyDescent="0.15">
      <c r="C417" t="s">
        <v>6974</v>
      </c>
      <c r="M417" t="str">
        <f t="shared" si="6"/>
        <v>{szContent="你已接受了[淘气的小孩]。\n",[20]={},tCountdown={{nClass=20,nIcon=17135,nFrame=0,szName="找NPC·苏恨林·快速交互3次",nTime=30,key="任务提示1",},},},</v>
      </c>
      <c r="N417" t="s">
        <v>6975</v>
      </c>
    </row>
    <row r="418" spans="1:20" x14ac:dyDescent="0.15">
      <c r="C418" t="s">
        <v>6976</v>
      </c>
      <c r="M418" t="str">
        <f t="shared" si="6"/>
        <v>{szContent="你已完成了[淘气的小孩]。\n",[20]={},tCountdown={{nClass=20,nIcon=17135,nFrame=5,szName="任务提示1",nTime=0,key="任务提示1",},{nClass=20,nIcon=17135,nFrame=6,szName="找NPC·张巡·真相",nTime=30,key="任务提示2",},},},</v>
      </c>
      <c r="N418" t="s">
        <v>6977</v>
      </c>
      <c r="O418" t="s">
        <v>6978</v>
      </c>
    </row>
    <row r="419" spans="1:20" x14ac:dyDescent="0.15">
      <c r="C419" t="s">
        <v>6979</v>
      </c>
      <c r="M419" t="str">
        <f t="shared" si="6"/>
        <v>{szContent="你已接受了[真相]。\n",[20]={},tCountdown={{nClass=20,nIcon=17135,nFrame=6,szName="任务提示2",nTime=0,key="任务提示2",},},},</v>
      </c>
      <c r="N419" t="s">
        <v>6980</v>
      </c>
    </row>
    <row r="420" spans="1:20" x14ac:dyDescent="0.15">
      <c r="C420" t="s">
        <v>6981</v>
      </c>
      <c r="D420" t="s">
        <v>6982</v>
      </c>
      <c r="K420">
        <v>1</v>
      </c>
      <c r="M420" t="str">
        <f t="shared" si="6"/>
        <v>{szContent="公共事件【守卫听泉私塾】开启了。\n",szNote="守卫听泉私塾·开启",[20]={bCenterAlarm=true,},tCountdown={{nClass=20,nIcon=17135,nFrame=3,szName="守卫听泉私塾·开启",nTime=15,key="公共事件2",},},},</v>
      </c>
      <c r="N420" t="s">
        <v>6983</v>
      </c>
    </row>
    <row r="421" spans="1:20" x14ac:dyDescent="0.15">
      <c r="A421" t="s">
        <v>803</v>
      </c>
      <c r="B421">
        <v>153</v>
      </c>
      <c r="M421" t="str">
        <f t="shared" si="6"/>
        <v>},[153]={</v>
      </c>
    </row>
    <row r="422" spans="1:20" x14ac:dyDescent="0.15">
      <c r="C422" t="s">
        <v>6557</v>
      </c>
      <c r="F422">
        <v>1</v>
      </c>
      <c r="M422" t="str">
        <f t="shared" si="6"/>
        <v>{szContent="你已接受了[大战！",bSearch=true,[20]={},tCountdown={{nClass=20,nIcon=360,nFrame=2,szName="记得打包·帮会外食",nTime=20,},{nClass=20,nIcon=360,nFrame=2,szName="记得打包·帮会外食",nTime=20,},},},</v>
      </c>
      <c r="N422" t="s">
        <v>6892</v>
      </c>
      <c r="O422" t="s">
        <v>6892</v>
      </c>
    </row>
    <row r="423" spans="1:20" x14ac:dyDescent="0.15">
      <c r="C423" t="s">
        <v>6601</v>
      </c>
      <c r="M423" t="str">
        <f t="shared" si="6"/>
        <v>{szContent="你无法携带更多的任务奖励道具\n",[20]={},tCountdown={{nClass=20,nIcon=17135,nFrame=0,szName="无法携带更多任务奖励",nTime=10,nRefresh=600,key="道具上限",},},},</v>
      </c>
      <c r="N423" t="s">
        <v>6984</v>
      </c>
    </row>
    <row r="424" spans="1:20" x14ac:dyDescent="0.15">
      <c r="C424" t="s">
        <v>6423</v>
      </c>
      <c r="D424" t="s">
        <v>6424</v>
      </c>
      <c r="E424" t="s">
        <v>2718</v>
      </c>
      <c r="G424">
        <v>1</v>
      </c>
      <c r="M424" t="str">
        <f t="shared" si="6"/>
        <v>{szContent="([浩气恶人]+)[盟谷]-的【(.-)】帮会成功占领【(.-)】据点！",szNote="{$3}·{$1}占领",col={255,255,100,},bReg=true,[20]={},tCountdown={{nClass=20,nIcon=2397,nFrame=-1,szName="",nTime=0.001,nRefresh=2,key="{$3}·浩气占领",},{nClass=20,nIcon=2397,nFrame=-1,szName="{$3}·浩气占领",nTime=-1,key="{$3}·浩气占领",},{nClass=20,nIcon=2398,nFrame=-1,szName="",nTime=0.001,nRefresh=2,key="{$3}·恶人占领",},{nClass=20,nIcon=2398,nFrame=-1,szName="{$3}·恶人占领",nTime=-1,key="{$3}·恶人占领",},{nClass=20,nIcon=2400,nFrame=7,szName="{$3}·{$1}占领",nTime=0,key="{$3}·{$1}占领",},{nClass=20,nIcon=20122,nFrame=7,szName="【{$3}】·浩气占领",nTime=30,nRefresh=1,key="{$3}·浩气占领",},{nClass=20,nIcon=20114,nFrame=3,szName="【{$3}】·恶人占领",nTime=30,nRefresh=1,key="{$3}·恶人占领",},},},</v>
      </c>
      <c r="N424" t="s">
        <v>6680</v>
      </c>
      <c r="O424" t="s">
        <v>6681</v>
      </c>
      <c r="P424" t="s">
        <v>6682</v>
      </c>
      <c r="Q424" t="s">
        <v>6683</v>
      </c>
      <c r="R424" t="s">
        <v>6684</v>
      </c>
      <c r="S424" t="s">
        <v>6685</v>
      </c>
      <c r="T424" t="s">
        <v>6686</v>
      </c>
    </row>
    <row r="425" spans="1:20" x14ac:dyDescent="0.15">
      <c r="C425" t="s">
        <v>6687</v>
      </c>
      <c r="D425" t="s">
        <v>6688</v>
      </c>
      <c r="E425" t="s">
        <v>2718</v>
      </c>
      <c r="G425">
        <v>1</v>
      </c>
      <c r="M425" t="str">
        <f t="shared" si="6"/>
        <v>{szContent="([浩气恶人]+)[盟谷]-位于(.-)的【(.-)据点】大旗被夺",szNote="{$3}·{$1}大旗被夺",col={255,255,100,},bReg=true,[20]={},tCountdown={{nClass=20,nIcon=2397,nFrame=-1,szName="",nTime=0.001,nRefresh=2,key="{$3}·浩气大旗被夺",},{nClass=20,nIcon=2397,nFrame=-1,szName="{$3}·浩气大旗被夺",nTime=-1,key="{$3}·浩气大旗被夺",},{nClass=20,nIcon=2398,nFrame=-1,szName="",nTime=0.001,nRefresh=2,key="{$3}·恶人大旗被夺",},{nClass=20,nIcon=2398,nFrame=-1,szName="{$3}·恶人大旗被夺",nTime=-1,key="{$3}·恶人大旗被夺",},{nClass=20,nIcon=2400,nFrame=7,szName="{$3}·{$1}大旗被夺",nTime=0,key="{$3}·{$1}大旗被夺",},{nClass=20,nIcon=4837,nFrame=7,szName="{$2}【{$3}】浩气大旗被夺",nTime=30,nRefresh=1,key="{$3}·浩气大旗被夺",},{nClass=20,nIcon=4838,nFrame=3,szName="{$2}【{$3}】恶人大旗被夺",nTime=30,nRefresh=1,key="{$3}·恶人大旗被夺",},},},</v>
      </c>
      <c r="N425" t="s">
        <v>6689</v>
      </c>
      <c r="O425" t="s">
        <v>6690</v>
      </c>
      <c r="P425" t="s">
        <v>6691</v>
      </c>
      <c r="Q425" t="s">
        <v>6692</v>
      </c>
      <c r="R425" t="s">
        <v>6693</v>
      </c>
      <c r="S425" t="s">
        <v>6694</v>
      </c>
      <c r="T425" t="s">
        <v>6695</v>
      </c>
    </row>
    <row r="426" spans="1:20" x14ac:dyDescent="0.15">
      <c r="C426" t="s">
        <v>6696</v>
      </c>
      <c r="D426" t="s">
        <v>6697</v>
      </c>
      <c r="E426" t="s">
        <v>2718</v>
      </c>
      <c r="G426">
        <v>1</v>
      </c>
      <c r="M426" t="str">
        <f t="shared" si="6"/>
        <v>{szContent="^【(.*)】据点大旗.*重置回初始位置！",szNote="{$1}大旗重置",col={255,255,100,},bReg=true,[20]={},tCountdown={{nClass=20,nIcon=592,nFrame=4,szName="【{$1}】大旗重置",nTime=180,key="{$1}·大旗重置",},},},</v>
      </c>
      <c r="N426" t="s">
        <v>6698</v>
      </c>
    </row>
    <row r="427" spans="1:20" x14ac:dyDescent="0.15">
      <c r="C427" t="s">
        <v>6699</v>
      </c>
      <c r="D427" t="s">
        <v>6700</v>
      </c>
      <c r="E427" t="s">
        <v>2718</v>
      </c>
      <c r="G427">
        <v>1</v>
      </c>
      <c r="M427" t="str">
        <f t="shared" si="6"/>
        <v>{szContent="^江湖快报！(.-)据点粮仓被一群([浩气恶人]+)[盟谷]-人士洗劫，损失一半据点资金。",szNote="{$1}·{$2}劫粮",col={255,255,100,},bReg=true,[20]={},tCountdown={{nClass=20,nIcon=2397,nFrame=-1,szName="",nTime=0.001,nRefresh=2,key="{$1}·浩气劫粮",},{nClass=20,nIcon=2397,nFrame=-1,szName="{$1}·浩气劫粮",nTime=-1,key="{$1}·浩气劫粮",},{nClass=20,nIcon=2398,nFrame=-1,szName="",nTime=0.001,nRefresh=2,key="{$1}·恶人劫粮",},{nClass=20,nIcon=2398,nFrame=-1,szName="{$1}·恶人劫粮",nTime=-1,key="{$1}·恶人劫粮",},{nClass=20,nIcon=2400,nFrame=7,szName="{$1}·{$2}劫粮",nTime=0,key="{$1}·{$2}劫粮",},{nClass=20,nIcon=15387,nFrame=7,szName="【{$1}】浩气劫粮",nTime=30,nRefresh=1,key="{$1}·浩气劫粮",},{nClass=20,nIcon=15383,nFrame=3,szName="【{$1}】恶人劫粮",nTime=30,nRefresh=1,key="{$1}·恶人劫粮",},},},</v>
      </c>
      <c r="N427" t="s">
        <v>6701</v>
      </c>
      <c r="O427" t="s">
        <v>6702</v>
      </c>
      <c r="P427" t="s">
        <v>6703</v>
      </c>
      <c r="Q427" t="s">
        <v>6704</v>
      </c>
      <c r="R427" t="s">
        <v>6705</v>
      </c>
      <c r="S427" t="s">
        <v>6706</v>
      </c>
      <c r="T427" t="s">
        <v>6707</v>
      </c>
    </row>
    <row r="428" spans="1:20" x14ac:dyDescent="0.15">
      <c r="A428" t="s">
        <v>805</v>
      </c>
      <c r="B428">
        <v>156</v>
      </c>
      <c r="M428" t="str">
        <f t="shared" si="6"/>
        <v>},[156]={</v>
      </c>
    </row>
    <row r="429" spans="1:20" x14ac:dyDescent="0.15">
      <c r="C429" t="s">
        <v>6560</v>
      </c>
      <c r="M429" t="str">
        <f t="shared" si="6"/>
        <v>{szContent="你已接受了[江湖秘闻]。\n",[20]={},tCountdown={{nClass=20,nIcon=17135,nFrame=5,szName="选项1帮会+选项4门派合并为正确答案",nTime=20,key="茶馆·提示0",},},},</v>
      </c>
      <c r="N429" t="s">
        <v>6945</v>
      </c>
    </row>
    <row r="430" spans="1:20" x14ac:dyDescent="0.15">
      <c r="C430" t="s">
        <v>6946</v>
      </c>
      <c r="M430" t="str">
        <f t="shared" si="6"/>
        <v>{szContent="你已接受了[留得绝学祭先圣·传奇]。\n",[20]={},tCountdown={{nClass=20,nIcon=1240,nFrame=5,szName="孤本传奇话本·千里香·碎肉",nTime=20,key="茶馆·交易",},},},</v>
      </c>
      <c r="N430" t="s">
        <v>6947</v>
      </c>
    </row>
    <row r="431" spans="1:20" x14ac:dyDescent="0.15">
      <c r="C431" t="s">
        <v>6948</v>
      </c>
      <c r="M431" t="str">
        <f t="shared" si="6"/>
        <v>{szContent="你已接受了[留得绝学祭先圣·曲谱]。\n",[20]={},tCountdown={{nClass=20,nIcon=388,nFrame=5,szName="梨园琵琶曲谱·铜矿·血",nTime=20,key="茶馆·交易",},},},</v>
      </c>
      <c r="N431" t="s">
        <v>6949</v>
      </c>
    </row>
    <row r="432" spans="1:20" x14ac:dyDescent="0.15">
      <c r="C432" t="s">
        <v>6950</v>
      </c>
      <c r="M432" t="str">
        <f t="shared" si="6"/>
        <v>{szContent="你已接受了[留得绝学祭先圣·秦鼎]。\n",[20]={},tCountdown={{nClass=20,nIcon=931,nFrame=5,szName="秦铜鼎·甘草·铅锌矿",nTime=20,key="茶馆·交易",},},},</v>
      </c>
      <c r="N432" t="s">
        <v>6951</v>
      </c>
    </row>
    <row r="433" spans="1:17" x14ac:dyDescent="0.15">
      <c r="C433" t="s">
        <v>6952</v>
      </c>
      <c r="M433" t="str">
        <f t="shared" si="6"/>
        <v>{szContent="你已接受了[留得绝学祭先圣·剑舞]。\n",[20]={},tCountdown={{nClass=20,nIcon=796,nFrame=5,szName="梨园剑舞之术·锡矿·精肉",nTime=20,key="茶馆·交易",},},},</v>
      </c>
      <c r="N433" t="s">
        <v>6953</v>
      </c>
    </row>
    <row r="434" spans="1:17" x14ac:dyDescent="0.15">
      <c r="C434" t="s">
        <v>6954</v>
      </c>
      <c r="M434" t="str">
        <f t="shared" si="6"/>
        <v>{szContent="你已接受了[留得绝学祭先圣·道书]。\n",[20]={},tCountdown={{nClass=20,nIcon=1241,nFrame=5,szName="隋道书·大黄·杂碎",nTime=20,key="茶馆·交易",},},},</v>
      </c>
      <c r="N434" t="s">
        <v>6955</v>
      </c>
    </row>
    <row r="435" spans="1:17" x14ac:dyDescent="0.15">
      <c r="C435" t="s">
        <v>6956</v>
      </c>
      <c r="M435" t="str">
        <f t="shared" si="6"/>
        <v>{szContent="你已接受了[衣食无忧·肉粥]。\n",[20]={},tCountdown={{nClass=20,nIcon=263,nFrame=5,szName="肉粥·精肉·碎肉",nTime=20,key="茶馆·交易",},},},</v>
      </c>
      <c r="N435" t="s">
        <v>6957</v>
      </c>
    </row>
    <row r="436" spans="1:17" x14ac:dyDescent="0.15">
      <c r="C436" t="s">
        <v>6958</v>
      </c>
      <c r="M436" t="str">
        <f t="shared" si="6"/>
        <v>{szContent="你已接受了[衣食无忧·汤药]。\n",[20]={},tCountdown={{nClass=20,nIcon=130,nFrame=5,szName="汤药·彼岸花·甘草",nTime=20,key="茶馆·交易",},},},</v>
      </c>
      <c r="N436" t="s">
        <v>6959</v>
      </c>
    </row>
    <row r="437" spans="1:17" x14ac:dyDescent="0.15">
      <c r="C437" t="s">
        <v>6960</v>
      </c>
      <c r="M437" t="str">
        <f t="shared" si="6"/>
        <v>{szContent="你已接受了[衣食无忧·衣物]。\n",[20]={},tCountdown={{nClass=20,nIcon=108,nFrame=5,szName="汤药·杂碎·大黄",nTime=20,key="茶馆·交易",},},},</v>
      </c>
      <c r="N437" t="s">
        <v>6961</v>
      </c>
    </row>
    <row r="438" spans="1:17" x14ac:dyDescent="0.15">
      <c r="C438" t="s">
        <v>6962</v>
      </c>
      <c r="M438" t="str">
        <f t="shared" si="6"/>
        <v>{szContent="跟踪鬼祟的狼牙军军士,伺机刺杀他。离得太近会被发现，离得太远会跟丢。尝试保持一定的距离。当他停下来时从背后刺杀他。\n",[20]={},tCountdown={{nClass=20,nIcon=17135,nFrame=5,szName="骑马跟随·6尺-30尺",nTime=20,key="茶馆·提示0",},},},</v>
      </c>
      <c r="N438" t="s">
        <v>6963</v>
      </c>
    </row>
    <row r="439" spans="1:17" x14ac:dyDescent="0.15">
      <c r="C439" t="s">
        <v>6964</v>
      </c>
      <c r="D439" t="s">
        <v>6965</v>
      </c>
      <c r="G439">
        <v>1</v>
      </c>
      <c r="J439">
        <v>1</v>
      </c>
      <c r="K439">
        <v>1</v>
      </c>
      <c r="M439" t="str">
        <f t="shared" si="6"/>
        <v>{szContent="%[心慈手软%]：(%d-)%/%d+\n",szNote="心慈手软·{$1}次",bReg=true,[20]={bWhisperChannel=true,bCenterAlarm=true,},tCountdown={{nClass=20,nIcon=17135,nFrame=0,szName="成就·心慈手软·{$1}次",nTime=30,key="茶馆·成就",},{nClass=20,nIcon=17135,nFrame=0,szName="可放弃重接·一次做完成就",nTime=30,key="茶馆·成就提示1",},},},</v>
      </c>
      <c r="N439" t="s">
        <v>6966</v>
      </c>
      <c r="O439" t="s">
        <v>6967</v>
      </c>
    </row>
    <row r="440" spans="1:17" x14ac:dyDescent="0.15">
      <c r="A440" t="s">
        <v>807</v>
      </c>
      <c r="B440">
        <v>158</v>
      </c>
      <c r="M440" t="str">
        <f t="shared" si="6"/>
        <v>},[158]={</v>
      </c>
    </row>
    <row r="441" spans="1:17" x14ac:dyDescent="0.15">
      <c r="C441" t="s">
        <v>6985</v>
      </c>
      <c r="M441" t="str">
        <f t="shared" si="6"/>
        <v>{szContent="安庆绪倒行逆施，欲派人出海寻找龙脉，天策密探阶苔获取关键情报，不料身份泄露被无名手下追杀。请诸位侠士速至战乱天策药师观接应阶苔归来。\n",[20]={},tCountdown={{nClass=20,nIcon=17135,nFrame=0,szName="天策·战乱·门派事件·药师观",nTime=10,key="门派事件1",},},},</v>
      </c>
      <c r="N441" t="s">
        <v>6986</v>
      </c>
    </row>
    <row r="442" spans="1:17" x14ac:dyDescent="0.15">
      <c r="C442" t="s">
        <v>6987</v>
      </c>
      <c r="M442" t="str">
        <f t="shared" si="6"/>
        <v>{szContent="天策密探阶苔屡次逃脱，无名震怒之下，亲自前来。此番，阶苔能否逃脱无名追杀呢？\n",[20]={},tCountdown={{nClass=20,nIcon=17135,nFrame=0,szName="天策·战乱·门派事件·药师观",nTime=10,key="门派事件1",},},},</v>
      </c>
      <c r="N442" t="s">
        <v>6986</v>
      </c>
    </row>
    <row r="443" spans="1:17" x14ac:dyDescent="0.15">
      <c r="A443" t="s">
        <v>246</v>
      </c>
      <c r="B443">
        <v>159</v>
      </c>
      <c r="M443" t="str">
        <f t="shared" si="6"/>
        <v>},[159]={</v>
      </c>
    </row>
    <row r="444" spans="1:17" x14ac:dyDescent="0.15">
      <c r="C444" t="s">
        <v>6988</v>
      </c>
      <c r="M444" t="str">
        <f t="shared" si="6"/>
        <v>{szContent="波光鳞影鱼欢跃，湖边垂钓闲趣多。君山洞庭，尤鱼类繁多。还请各路侠士移驾君山丐帮洞庭水畔垂钓，一来为老帮主之寿宴做些准备，二来亦可广交天下之英杰！\n",[20]={},tCountdown={{nClass=20,nIcon=17135,nFrame=0,szName="丐帮·门派事件·龙首山",nTime=10,key="门派事件1",},},},</v>
      </c>
      <c r="N444" t="s">
        <v>6989</v>
      </c>
    </row>
    <row r="445" spans="1:17" x14ac:dyDescent="0.15">
      <c r="C445" t="s">
        <v>6990</v>
      </c>
      <c r="M445" t="str">
        <f t="shared" si="6"/>
        <v>{szContent="尹天赐寿宴已经开始，欢迎各路侠士前往丐帮轩辕台参加这场武林盛会！\n",[20]={},tCountdown={{nClass=20,nIcon=17135,nFrame=0,szName="丐帮·门派事件·轩辕台",nTime=10,key="门派事件1",},},},</v>
      </c>
      <c r="N445" t="s">
        <v>6991</v>
      </c>
    </row>
    <row r="446" spans="1:17" x14ac:dyDescent="0.15">
      <c r="A446" t="s">
        <v>250</v>
      </c>
      <c r="B446">
        <v>172</v>
      </c>
      <c r="M446" t="str">
        <f t="shared" si="6"/>
        <v>},[172]={</v>
      </c>
    </row>
    <row r="447" spans="1:17" x14ac:dyDescent="0.15">
      <c r="C447" t="s">
        <v>6992</v>
      </c>
      <c r="M447" t="str">
        <f t="shared" si="6"/>
        <v>{szContent="你已接受了[笔墨书香添风雅]。\n",[20]={},tCountdown={{nClass=20,nIcon=4946,nFrame=5,szName="周易·左边右上角",nTime=0,key="周易",},{nClass=20,nIcon=4946,nFrame=5,szName="礼记·左边中间",nTime=0,key="礼记",},{nClass=20,nIcon=4946,nFrame=5,szName="世说新语·左边左上角",nTime=0,key="世说新语",},{nClass=20,nIcon=4946,nFrame=5,szName="春秋繁露·右边中间",nTime=0,key="春秋繁露",},},},</v>
      </c>
      <c r="N447" t="s">
        <v>6993</v>
      </c>
      <c r="O447" t="s">
        <v>6994</v>
      </c>
      <c r="P447" t="s">
        <v>6995</v>
      </c>
      <c r="Q447" t="s">
        <v>6996</v>
      </c>
    </row>
    <row r="448" spans="1:17" x14ac:dyDescent="0.15">
      <c r="C448" t="s">
        <v>6997</v>
      </c>
      <c r="M448" t="str">
        <f t="shared" si="6"/>
        <v>{szContent="你放弃了[笔墨书香添风雅]。\n",[20]={},tCountdown={{nClass=20,nIcon=4946,nFrame=5,szName="周易·左边右上角",nTime=0,key="周易",},{nClass=20,nIcon=4946,nFrame=5,szName="礼记·左边中间",nTime=0,key="礼记",},{nClass=20,nIcon=4946,nFrame=5,szName="世说新语·左边左上角",nTime=0,key="世说新语",},{nClass=20,nIcon=4946,nFrame=5,szName="春秋繁露·右边中间",nTime=0,key="春秋繁露",},},},</v>
      </c>
      <c r="N448" t="s">
        <v>6993</v>
      </c>
      <c r="O448" t="s">
        <v>6994</v>
      </c>
      <c r="P448" t="s">
        <v>6995</v>
      </c>
      <c r="Q448" t="s">
        <v>6996</v>
      </c>
    </row>
    <row r="449" spans="1:20" x14ac:dyDescent="0.15">
      <c r="C449" t="s">
        <v>6998</v>
      </c>
      <c r="M449" t="str">
        <f t="shared" si="6"/>
        <v>{szContent="你已完成了[笔墨书香添风雅]。\n",[20]={},tCountdown={{nClass=20,nIcon=4946,nFrame=5,szName="周易·左边右上角",nTime=0,key="周易",},{nClass=20,nIcon=4946,nFrame=5,szName="礼记·左边中间",nTime=0,key="礼记",},{nClass=20,nIcon=4946,nFrame=5,szName="世说新语·左边左上角",nTime=0,key="世说新语",},{nClass=20,nIcon=4946,nFrame=5,szName="春秋繁露·右边中间",nTime=0,key="春秋繁露",},},},</v>
      </c>
      <c r="N449" t="s">
        <v>6993</v>
      </c>
      <c r="O449" t="s">
        <v>6994</v>
      </c>
      <c r="P449" t="s">
        <v>6995</v>
      </c>
      <c r="Q449" t="s">
        <v>6996</v>
      </c>
    </row>
    <row r="450" spans="1:20" x14ac:dyDescent="0.15">
      <c r="C450" t="s">
        <v>6344</v>
      </c>
      <c r="M450" t="str">
        <f t="shared" ref="M450:M513" si="7">IF(ISBLANK(B450)=FALSE,IF(ISBLANK(B449),"},["&amp;B450&amp;"]={","["&amp;B450&amp;"]={"),IF(AND(ISBLANK(B450),ISBLANK(C450),ISBLANK(F450),ISBLANK(G450),OR(ISBLANK(B449)=FALSE,ISBLANK(C449)=FALSE,ISBLANK(F449)=FALSE,ISBLANK(G449)=FALSE)),"},},}",IF(ISBLANK(C450),"","{szContent="""&amp;C450&amp;""","&amp;IF(D450&lt;&gt;"","szNote="""&amp;D450&amp;""",","")&amp;IF(E450&lt;&gt;"","col={"&amp;E450&amp;"},","")&amp;IF(F450&gt;0,"bSearch=true,","")&amp;IF(G450&gt;0,"bReg=true,","")&amp;"[20]={"&amp;IF(H450&gt;0,"szVoice="""&amp;H450&amp;""",","")&amp;IF(I450&gt;0,"bTeamChannel=true,","")&amp;IF(J450&gt;0,"bWhisperChannel=true,","")&amp;IF(K450&gt;0,"bCenterAlarm=true,","")&amp;IF(L450&gt;0,"bScreenHead=true,","")&amp;"},"&amp;IF(N450&lt;&gt;"","tCountdown={"&amp;_xlfn.TEXTJOIN("",TRUE,N450:ZZ450)&amp;"},","")&amp;"},")))</f>
        <v>{szContent="隐元密报：狼牙军即将押送颜氏老妇到内城西市法场斩首示众！颜氏一门满门忠烈，还望各路侠士即刻前往搭救！\n",[20]={},tCountdown={{nClass=20,nIcon=3320,nFrame=5,szName="长安城·搭救颜老太太",nTime=10,key="系统事件",},},},</v>
      </c>
      <c r="N450" t="s">
        <v>6586</v>
      </c>
    </row>
    <row r="451" spans="1:20" x14ac:dyDescent="0.15">
      <c r="A451" t="s">
        <v>833</v>
      </c>
      <c r="B451">
        <v>193</v>
      </c>
      <c r="M451" t="str">
        <f t="shared" si="7"/>
        <v>},[193]={</v>
      </c>
    </row>
    <row r="452" spans="1:20" x14ac:dyDescent="0.15">
      <c r="C452" t="s">
        <v>6999</v>
      </c>
      <c r="M452" t="str">
        <f t="shared" si="7"/>
        <v>{szContent="请在秋叶华附近使用。\n",[20]={},tCountdown={{nClass=20,nIcon=17135,nFrame=5,szName="左边·第一排·第二个",nTime=10,nRefresh=5,key="故园风雨1",},},},</v>
      </c>
      <c r="N452" t="s">
        <v>7000</v>
      </c>
    </row>
    <row r="453" spans="1:20" x14ac:dyDescent="0.15">
      <c r="C453" t="s">
        <v>7001</v>
      </c>
      <c r="M453" t="str">
        <f t="shared" si="7"/>
        <v>{szContent="奚人小儿妄图攻破东陉关，请众位侠士速速至东陉关集合，给那奚人小儿点颜色瞧瞧！\n",[20]={},tCountdown={{nClass=20,nIcon=17135,nFrame=0,szName="苍云·门派事件·东陉关",nTime=10,key="门派事件1",},},},</v>
      </c>
      <c r="N453" t="s">
        <v>7002</v>
      </c>
    </row>
    <row r="454" spans="1:20" x14ac:dyDescent="0.15">
      <c r="C454" t="s">
        <v>7003</v>
      </c>
      <c r="M454" t="str">
        <f t="shared" si="7"/>
        <v>{szContent="奸臣所害矿药物资匮，黑云压城扬我苍云威！那奚人库莫率手下潜入苍云堡，众将士速到苍云堡门口集合，务必让这库莫有来无回！\n",[20]={},tCountdown={{nClass=20,nIcon=17135,nFrame=0,szName="苍云·门派事件·苍云堡",nTime=10,key="门派事件1",},},},</v>
      </c>
      <c r="N454" t="s">
        <v>7004</v>
      </c>
    </row>
    <row r="455" spans="1:20" x14ac:dyDescent="0.15">
      <c r="A455" t="s">
        <v>834</v>
      </c>
      <c r="B455">
        <v>194</v>
      </c>
      <c r="M455" t="str">
        <f t="shared" si="7"/>
        <v>},[194]={</v>
      </c>
    </row>
    <row r="456" spans="1:20" x14ac:dyDescent="0.15">
      <c r="C456" t="s">
        <v>7005</v>
      </c>
      <c r="M456" t="str">
        <f t="shared" si="7"/>
        <v>{szContent="你已接受了[红尘饮茶·芋粉扣肉]。\n",[20]={},tCountdown={{nClass=20,nIcon=17135,nFrame=7,szName="茶馆·预测",nTime="30,预测·精肉|杂碎|枸杞|锡铜;60,任务1·芋粉扣肉;90,任务2·枸杞;120,任务3·五香酱肉;150,任务4·锡矿;180,任务5·铜矿;210,任务6·安顿流民;240,任务7·动物肉块;270,任务8·打水煮茶;300,任务9·江湖秘闻;330,任务10·采集蜂蜜",nRefresh=3600,key="茶馆·预测",},{nClass=20,nIcon=17135,nFrame=6,szName="芋粉扣肉·枸杞（可能）",nTime=30,nRefresh=3600,key="茶馆·预测·任务1",},{nClass=20,nIcon=17135,nFrame=6,szName="五香酱肉·锡矿",nTime=30,nRefresh=3600,key="茶馆·预测·任务2",},{nClass=20,nIcon=17135,nFrame=6,szName="铜矿·安顿流民",nTime=30,nRefresh=3600,key="茶馆·预测·任务3",},{nClass=20,nIcon=17135,nFrame=6,szName="动物肉块·打水煮茶",nTime=30,nRefresh=3600,key="茶馆·预测·任务4",},{nClass=20,nIcon=17135,nFrame=6,szName="江湖秘闻·采集蜂蜜",nTime=30,nRefresh=3600,key="茶馆·预测·任务5",},},},</v>
      </c>
      <c r="N456" t="s">
        <v>7006</v>
      </c>
      <c r="O456" t="s">
        <v>7007</v>
      </c>
      <c r="P456" t="s">
        <v>7008</v>
      </c>
      <c r="Q456" t="s">
        <v>7009</v>
      </c>
      <c r="R456" t="s">
        <v>7010</v>
      </c>
      <c r="S456" t="s">
        <v>7011</v>
      </c>
    </row>
    <row r="457" spans="1:20" x14ac:dyDescent="0.15">
      <c r="C457" t="s">
        <v>7012</v>
      </c>
      <c r="M457" t="str">
        <f t="shared" si="7"/>
        <v>{szContent="你已接受了[红尘饮茶·教训混混]。\n",[20]={},tCountdown={{nClass=20,nIcon=17135,nFrame=7,szName="茶馆·预测",nTime="30,本日预测·爱心满满;60,任务1·教训混混;90,任务2·风雅对诗;120,任务3·青龙棋局;150,任务4·花茶材料;180,任务5·收集柴火;210,任务6·采集蜂蜜;240,任务7·调皮灵猫;270,任务8·江湖秘闻;300,任务9·打水煮茶;330,任务10·动物肉块",nRefresh=3600,key="茶馆·预测",},{nClass=20,nIcon=17135,nFrame=6,szName="教训混混·风雅对诗",nTime=30,nRefresh=3600,key="茶馆·预测·任务1",},{nClass=20,nIcon=17135,nFrame=6,szName="青龙棋局·花茶材料",nTime=30,nRefresh=3600,key="茶馆·预测·任务2",},{nClass=20,nIcon=17135,nFrame=6,szName="收集柴火·采集蜂蜜",nTime=30,nRefresh=3600,key="茶馆·预测·任务3",},{nClass=20,nIcon=17135,nFrame=6,szName="调皮灵猫·江湖秘闻",nTime=30,nRefresh=3600,key="茶馆·预测·任务4",},{nClass=20,nIcon=17135,nFrame=6,szName="打水煮茶·动物肉块",nTime=30,nRefresh=3600,key="茶馆·预测·任务5",},},},</v>
      </c>
      <c r="N457" t="s">
        <v>7013</v>
      </c>
      <c r="O457" t="s">
        <v>7014</v>
      </c>
      <c r="P457" t="s">
        <v>7015</v>
      </c>
      <c r="Q457" t="s">
        <v>7016</v>
      </c>
      <c r="R457" t="s">
        <v>7017</v>
      </c>
      <c r="S457" t="s">
        <v>7018</v>
      </c>
    </row>
    <row r="458" spans="1:20" x14ac:dyDescent="0.15">
      <c r="C458" t="s">
        <v>7019</v>
      </c>
      <c r="M458" t="str">
        <f t="shared" si="7"/>
        <v>{szContent="你已接受了[红尘饮茶·五香酱肉]。\n",[20]={},tCountdown={{nClass=20,nIcon=17135,nFrame=7,szName="茶馆·预测",nTime="30,预测·杂碎|锡铜;60,任务1·五香酱肉;90,任务2·锡矿;120,任务3·铜矿;150,任务4·安顿流民;180,任务5·动物肉块;210,任务6·打水煮茶;240,任务7·江湖秘闻;270,任务8·采集蜂蜜;300,任务9·教训混混;330,任务10·风雅对诗",nRefresh=3600,key="茶馆·预测",},{nClass=20,nIcon=17135,nFrame=6,szName="五香酱肉·锡矿",nTime=30,nRefresh=3600,key="茶馆·预测·任务1",},{nClass=20,nIcon=17135,nFrame=6,szName="铜矿·安顿流民",nTime=30,nRefresh=3600,key="茶馆·预测·任务2",},{nClass=20,nIcon=17135,nFrame=6,szName="动物肉块·打水煮茶",nTime=30,nRefresh=3600,key="茶馆·预测·任务3",},{nClass=20,nIcon=17135,nFrame=6,szName="江湖秘闻·采集蜂蜜",nTime=30,nRefresh=3600,key="茶馆·预测·任务4",},{nClass=20,nIcon=17135,nFrame=6,szName="教训混混·风雅对诗",nTime=30,nRefresh=3600,key="茶馆·预测·任务5",},},},</v>
      </c>
      <c r="N458" t="s">
        <v>7020</v>
      </c>
      <c r="O458" t="s">
        <v>7021</v>
      </c>
      <c r="P458" t="s">
        <v>7022</v>
      </c>
      <c r="Q458" t="s">
        <v>7023</v>
      </c>
      <c r="R458" t="s">
        <v>7024</v>
      </c>
      <c r="S458" t="s">
        <v>7025</v>
      </c>
    </row>
    <row r="459" spans="1:20" x14ac:dyDescent="0.15">
      <c r="C459" t="s">
        <v>7026</v>
      </c>
      <c r="M459" t="str">
        <f t="shared" si="7"/>
        <v>{szContent="你已接受了[红尘饮茶·风雅对诗]。\n",[20]={},tCountdown={{nClass=20,nIcon=17135,nFrame=7,szName="茶馆·预测",nTime="30,本日预测·爱心满满;60,任务1·风雅对诗;90,任务2·青龙棋局;120,任务3·花茶材料;150,任务4·收集柴火;180,任务5·调皮灵猫;210,任务6·教训混混;240,任务7·采集蜂蜜;270,任务8·江湖秘闻;300,任务9·打水煮茶;330,任务10·动物肉块",nRefresh=3600,key="茶馆·预测",},{nClass=20,nIcon=17135,nFrame=6,szName="风雅对诗·青龙棋局",nTime=30,nRefresh=3600,key="茶馆·预测·任务1",},{nClass=20,nIcon=17135,nFrame=6,szName="花茶材料·收集柴火",nTime=30,nRefresh=3600,key="茶馆·预测·任务2",},{nClass=20,nIcon=17135,nFrame=6,szName="调皮灵猫·教训混混",nTime=30,nRefresh=3600,key="茶馆·预测·任务3",},{nClass=20,nIcon=17135,nFrame=6,szName="采集蜂蜜·江湖秘闻",nTime=30,nRefresh=3600,key="茶馆·预测·任务4",},{nClass=20,nIcon=17135,nFrame=6,szName="打水煮茶·动物肉块",nTime=30,nRefresh=3600,key="茶馆·预测·任务5",},},},</v>
      </c>
      <c r="N459" t="s">
        <v>7027</v>
      </c>
      <c r="O459" t="s">
        <v>7028</v>
      </c>
      <c r="P459" t="s">
        <v>7029</v>
      </c>
      <c r="Q459" t="s">
        <v>7030</v>
      </c>
      <c r="R459" t="s">
        <v>7031</v>
      </c>
      <c r="S459" t="s">
        <v>7018</v>
      </c>
    </row>
    <row r="460" spans="1:20" x14ac:dyDescent="0.15">
      <c r="C460" t="s">
        <v>7032</v>
      </c>
      <c r="M460" t="str">
        <f t="shared" si="7"/>
        <v>{szContent="你已接受了[红尘饮茶·铜矿]。\n",[20]={},tCountdown={{nClass=20,nIcon=17135,nFrame=7,szName="茶馆·预测",nTime="30,预测·锡铜;60,任务1·铜矿;90,任务2·安顿流民;120,任务3·锡矿;150,任务4·动物肉块;180,任务5·打水煮茶;210,任务6·江湖秘闻;240,任务7·采集蜂蜜;270,任务8·教训混混;300,任务9·风雅对诗;330,任务10·青龙棋局",nRefresh=3600,key="茶馆·预测",},{nClass=20,nIcon=17135,nFrame=6,szName="铜矿·安顿流民",nTime=30,nRefresh=3600,key="茶馆·预测·任务1",},{nClass=20,nIcon=17135,nFrame=6,szName="锡矿·动物肉块",nTime=30,nRefresh=3600,key="茶馆·预测·任务2",},{nClass=20,nIcon=17135,nFrame=6,szName="打水煮茶·江湖秘闻",nTime=30,nRefresh=3600,key="茶馆·预测·任务3",},{nClass=20,nIcon=17135,nFrame=6,szName="采集蜂蜜·教训混混",nTime=30,nRefresh=3600,key="茶馆·预测·任务4",},{nClass=20,nIcon=17135,nFrame=6,szName="风雅对诗·青龙棋局",nTime=30,nRefresh=3600,key="茶馆·预测·任务5",},},},</v>
      </c>
      <c r="N460" t="s">
        <v>7033</v>
      </c>
      <c r="O460" t="s">
        <v>7034</v>
      </c>
      <c r="P460" t="s">
        <v>7035</v>
      </c>
      <c r="Q460" t="s">
        <v>7036</v>
      </c>
      <c r="R460" t="s">
        <v>7037</v>
      </c>
      <c r="S460" t="s">
        <v>7038</v>
      </c>
    </row>
    <row r="461" spans="1:20" x14ac:dyDescent="0.15">
      <c r="C461" t="s">
        <v>7039</v>
      </c>
      <c r="M461" t="str">
        <f t="shared" si="7"/>
        <v>{szContent="你已接受了[红尘饮茶·花茶材料]。\n",[20]={},tCountdown={{nClass=20,nIcon=17135,nFrame=7,szName="茶馆·预测",nTime="30,本日预测·爱心满满;60,任务1·花茶材料;90,任务2·收集柴火;120,任务3·调皮灵猫;150,任务4·青龙棋局;180,任务5·风雅对诗;210,任务6·教训混混;240,任务7·采集蜂蜜;270,任务8·江湖秘闻;300,任务9·打水煮茶;330,任务10·动物肉块",nRefresh=3600,key="茶馆·预测",},{nClass=20,nIcon=17135,nFrame=6,szName="花茶材料·收集柴火",nTime=30,nRefresh=3600,key="茶馆·预测·任务1",},{nClass=20,nIcon=17135,nFrame=6,szName="调皮灵猫·青龙棋局",nTime=30,nRefresh=3600,key="茶馆·预测·任务2",},{nClass=20,nIcon=17135,nFrame=6,szName="风雅对诗·教训混混",nTime=30,nRefresh=3600,key="茶馆·预测·任务3",},{nClass=20,nIcon=17135,nFrame=6,szName="采集蜂蜜·江湖秘闻",nTime=30,nRefresh=3600,key="茶馆·预测·任务4",},{nClass=20,nIcon=17135,nFrame=6,szName="打水煮茶·动物肉块",nTime=30,nRefresh=3600,key="茶馆·预测·任务5",},},},</v>
      </c>
      <c r="N461" t="s">
        <v>7040</v>
      </c>
      <c r="O461" t="s">
        <v>7041</v>
      </c>
      <c r="P461" t="s">
        <v>7042</v>
      </c>
      <c r="Q461" t="s">
        <v>7043</v>
      </c>
      <c r="R461" t="s">
        <v>7031</v>
      </c>
      <c r="S461" t="s">
        <v>7018</v>
      </c>
    </row>
    <row r="462" spans="1:20" x14ac:dyDescent="0.15">
      <c r="C462" t="s">
        <v>7044</v>
      </c>
      <c r="M462" t="str">
        <f t="shared" si="7"/>
        <v>{szContent="你已接受了[红尘饮茶·安顿流民]。\n",[20]={},tCountdown={{nClass=20,nIcon=17135,nFrame=7,szName="茶馆·预测",nTime="30,本日预测·铜矿（可能）;60,任务1·安顿流民;90,任务2·动物肉块;120,任务3·打水煮茶;150,任务4·江湖秘闻;180,任务5·采集蜂蜜;210,任务6·教训混混;240,任务7·风雅对诗;270,任务8·青龙棋局;300,任务9·花茶材料;330,任务10·收集柴火|铜矿",nRefresh=3600,key="茶馆·预测",},{nClass=20,nIcon=17135,nFrame=6,szName="安顿流民·动物肉块",nTime=30,nRefresh=3600,key="茶馆·预测·任务1",},{nClass=20,nIcon=17135,nFrame=6,szName="打水煮茶·江湖秘闻",nTime=30,nRefresh=3600,key="茶馆·预测·任务2",},{nClass=20,nIcon=17135,nFrame=6,szName="采集蜂蜜·教训混混",nTime=30,nRefresh=3600,key="茶馆·预测·任务3",},{nClass=20,nIcon=17135,nFrame=6,szName="风雅对诗·青龙棋局",nTime=30,nRefresh=3600,key="茶馆·预测·任务4",},{nClass=20,nIcon=17135,nFrame=6,szName="花茶材料·收集柴火|铜矿",nTime=30,nRefresh=3600,key="茶馆·预测·任务5",},},},</v>
      </c>
      <c r="N462" t="s">
        <v>7045</v>
      </c>
      <c r="O462" t="s">
        <v>7046</v>
      </c>
      <c r="P462" t="s">
        <v>7047</v>
      </c>
      <c r="Q462" t="s">
        <v>7048</v>
      </c>
      <c r="R462" t="s">
        <v>7049</v>
      </c>
      <c r="S462" t="s">
        <v>7050</v>
      </c>
    </row>
    <row r="463" spans="1:20" x14ac:dyDescent="0.15">
      <c r="C463" t="s">
        <v>7051</v>
      </c>
      <c r="M463" t="str">
        <f t="shared" si="7"/>
        <v>{szContent="你已接受了[红尘饮茶·收集柴火]。\n",[20]={},tCountdown={{nClass=20,nIcon=17135,nFrame=7,szName="茶馆·预测",nTime="30,本日预测·爱心满满;60,任务1·收集柴火;90,任务2·调皮灵猫;120,任务3·花茶材料;150,任务4·青龙棋局;180,任务5·风雅对诗;210,任务6·教训混混;240,任务7·采集蜂蜜;270,任务8·江湖秘闻;300,任务9·打水煮茶;330,任务10·动物肉块",nRefresh=3600,key="茶馆·预测",},{nClass=20,nIcon=17135,nFrame=6,szName="收集柴火·调皮灵猫",nTime=30,nRefresh=3600,key="茶馆·预测·任务1",},{nClass=20,nIcon=17135,nFrame=6,szName="花茶材料·青龙棋局",nTime=30,nRefresh=3600,key="茶馆·预测·任务2",},{nClass=20,nIcon=17135,nFrame=6,szName="风雅对诗·教训混混",nTime=30,nRefresh=3600,key="茶馆·预测·任务3",},{nClass=20,nIcon=17135,nFrame=6,szName="采集蜂蜜·江湖秘闻",nTime=30,nRefresh=3600,key="茶馆·预测·任务4",},{nClass=20,nIcon=17135,nFrame=6,szName="打水煮茶·动物肉块",nTime=30,nRefresh=3600,key="茶馆·预测·任务5",},},},</v>
      </c>
      <c r="N463" t="s">
        <v>7052</v>
      </c>
      <c r="O463" t="s">
        <v>7053</v>
      </c>
      <c r="P463" t="s">
        <v>7054</v>
      </c>
      <c r="Q463" t="s">
        <v>7043</v>
      </c>
      <c r="R463" t="s">
        <v>7031</v>
      </c>
      <c r="S463" t="s">
        <v>7018</v>
      </c>
    </row>
    <row r="464" spans="1:20" x14ac:dyDescent="0.15">
      <c r="C464" t="s">
        <v>7055</v>
      </c>
      <c r="M464" t="str">
        <f t="shared" si="7"/>
        <v>{szContent="你已接受了[红尘饮茶·打水煮茶]。\n",[20]={},tCountdown={{nClass=20,nIcon=17135,nFrame=7,szName="茶馆·预测",nTime="30,本日预测·爱心满满;60,任务1·打水煮茶;90,任务2·江湖秘闻;120,任务3·采集蜂蜜;150,任务4·动物肉块;180,任务5·教训混混;210,任务6·风雅对诗;240,任务7·青龙棋局;270,任务8·花茶材料;300,任务9·收集柴火;330,任务10·调皮灵猫",nRefresh=3600,key="茶馆·预测",},{nClass=20,nIcon=17135,nFrame=5,szName="游泳状态·即可打水",nTime=10,key="茶馆·提示0",},{nClass=20,nIcon=17135,nFrame=6,szName="打水煮茶·江湖秘闻",nTime=30,nRefresh=3600,key="茶馆·预测·任务1",},{nClass=20,nIcon=17135,nFrame=6,szName="采集蜂蜜·动物肉块",nTime=30,nRefresh=3600,key="茶馆·预测·任务2",},{nClass=20,nIcon=17135,nFrame=6,szName="教训混混·风雅对诗",nTime=30,nRefresh=3600,key="茶馆·预测·任务3",},{nClass=20,nIcon=17135,nFrame=6,szName="青龙棋局·花茶材料",nTime=30,nRefresh=3600,key="茶馆·预测·任务4",},{nClass=20,nIcon=17135,nFrame=6,szName="收集柴火·调皮灵猫",nTime=30,nRefresh=3600,key="茶馆·预测·任务5",},},},</v>
      </c>
      <c r="N464" t="s">
        <v>7056</v>
      </c>
      <c r="O464" t="s">
        <v>7057</v>
      </c>
      <c r="P464" t="s">
        <v>7058</v>
      </c>
      <c r="Q464" t="s">
        <v>7059</v>
      </c>
      <c r="R464" t="s">
        <v>7060</v>
      </c>
      <c r="S464" t="s">
        <v>7061</v>
      </c>
      <c r="T464" t="s">
        <v>7062</v>
      </c>
    </row>
    <row r="465" spans="1:20" x14ac:dyDescent="0.15">
      <c r="C465" t="s">
        <v>7063</v>
      </c>
      <c r="M465" t="str">
        <f t="shared" si="7"/>
        <v>{szContent="你已接受了[红尘饮茶·川贝]。\n",[20]={},tCountdown={{nClass=20,nIcon=17135,nFrame=7,szName="茶馆·预测",nTime="30,预测·川贝|枸杞|精肉|杂碎|锡铜;60,任务1·川贝;90,任务2·枸杞;120,任务3·芋粉扣肉;150,任务4·五香酱肉;180,任务5·锡矿;210,任务6·铜矿;240,任务7·调皮灵猫;270,任务8·收集柴火;300,任务9·花茶材料;330,任务10·青龙棋局|安顿流民",nRefresh=3600,key="茶馆·预测",},{nClass=20,nIcon=17135,nFrame=6,szName="川贝·枸杞",nTime=30,nRefresh=3600,key="茶馆·预测·任务1",},{nClass=20,nIcon=17135,nFrame=6,szName="芋粉扣肉·五香酱肉",nTime=30,nRefresh=3600,key="茶馆·预测·任务2",},{nClass=20,nIcon=17135,nFrame=6,szName="锡矿·铜矿",nTime=30,nRefresh=3600,key="茶馆·预测·任务3",},{nClass=20,nIcon=17135,nFrame=6,szName="调皮灵猫·收集柴火",nTime=30,nRefresh=3600,key="茶馆·预测·任务4",},{nClass=20,nIcon=17135,nFrame=6,szName="花茶材料·青龙棋局|安顿流民",nTime=30,nRefresh=3600,key="茶馆·预测·任务5",},},},</v>
      </c>
      <c r="N465" t="s">
        <v>7064</v>
      </c>
      <c r="O465" t="s">
        <v>7065</v>
      </c>
      <c r="P465" t="s">
        <v>7066</v>
      </c>
      <c r="Q465" t="s">
        <v>7067</v>
      </c>
      <c r="R465" t="s">
        <v>7068</v>
      </c>
      <c r="S465" t="s">
        <v>7069</v>
      </c>
    </row>
    <row r="466" spans="1:20" x14ac:dyDescent="0.15">
      <c r="C466" t="s">
        <v>7070</v>
      </c>
      <c r="M466" t="str">
        <f t="shared" si="7"/>
        <v>{szContent="你已接受了[红尘饮茶·江湖秘闻]。\n",[20]={},tCountdown={{nClass=20,nIcon=17135,nFrame=7,szName="茶馆·预测",nTime="30,本日预测·爱心满满;60,任务1·江湖秘闻;90,任务2·采集蜂蜜;120,任务3·教训混混;150,任务4·风雅对诗;180,任务5·青龙棋局;210,任务6·花茶材料;240,任务7·收集柴火;270,任务8·调皮灵猫;300,任务9·打水煮茶;330,任务10·动物肉块",nRefresh=3600,key="茶馆·预测",},{nClass=20,nIcon=17135,nFrame=5,szName="选项1帮会+选项4门派合并为正确答案",nTime=15,key="茶馆·提示0",},{nClass=20,nIcon=17135,nFrame=6,szName="江湖秘闻·采集蜂蜜",nTime=30,nRefresh=3600,key="茶馆·预测·任务1",},{nClass=20,nIcon=17135,nFrame=6,szName="教训混混·风雅对诗",nTime=30,nRefresh=3600,key="茶馆·预测·任务2",},{nClass=20,nIcon=17135,nFrame=6,szName="青龙棋局·花茶材料",nTime=30,nRefresh=3600,key="茶馆·预测·任务3",},{nClass=20,nIcon=17135,nFrame=6,szName="收集柴火·调皮灵猫",nTime=30,nRefresh=3600,key="茶馆·预测·任务4",},{nClass=20,nIcon=17135,nFrame=6,szName="打水煮茶·动物肉块",nTime=30,nRefresh=3600,key="茶馆·预测·任务5",},},},</v>
      </c>
      <c r="N466" t="s">
        <v>7071</v>
      </c>
      <c r="O466" t="s">
        <v>6561</v>
      </c>
      <c r="P466" t="s">
        <v>7072</v>
      </c>
      <c r="Q466" t="s">
        <v>7073</v>
      </c>
      <c r="R466" t="s">
        <v>7074</v>
      </c>
      <c r="S466" t="s">
        <v>7075</v>
      </c>
      <c r="T466" t="s">
        <v>7018</v>
      </c>
    </row>
    <row r="467" spans="1:20" x14ac:dyDescent="0.15">
      <c r="C467" t="s">
        <v>7076</v>
      </c>
      <c r="M467" t="str">
        <f t="shared" si="7"/>
        <v>{szContent="你已接受了[红尘饮茶·枸杞]。\n",[20]={},tCountdown={{nClass=20,nIcon=17135,nFrame=7,szName="茶馆·预测",nTime="30,预测·枸杞|精肉|杂碎|锡铜;60,任务1·枸杞;90,任务2·芋粉扣肉;120,任务3·五香酱肉;150,任务4·锡矿;180,任务5·铜矿;210,任务6·安顿流民;240,任务7·动物肉块;270,任务8·打水煮茶;300,任务9·江湖秘闻;330,任务10·采集蜂蜜",nRefresh=3600,key="茶馆·预测",},{nClass=20,nIcon=17135,nFrame=6,szName="枸杞·芋粉扣肉",nTime=30,nRefresh=3600,key="茶馆·预测·任务1",},{nClass=20,nIcon=17135,nFrame=6,szName="五香酱肉·锡矿",nTime=30,nRefresh=3600,key="茶馆·预测·任务2",},{nClass=20,nIcon=17135,nFrame=6,szName="铜矿·安顿流民",nTime=30,nRefresh=3600,key="茶馆·预测·任务3",},{nClass=20,nIcon=17135,nFrame=6,szName="动物肉块·打水煮茶",nTime=30,nRefresh=3600,key="茶馆·预测·任务4",},{nClass=20,nIcon=17135,nFrame=6,szName="江湖秘闻·采集蜂蜜",nTime=30,nRefresh=3600,key="茶馆·预测·任务5",},},},</v>
      </c>
      <c r="N467" t="s">
        <v>7077</v>
      </c>
      <c r="O467" t="s">
        <v>7078</v>
      </c>
      <c r="P467" t="s">
        <v>7008</v>
      </c>
      <c r="Q467" t="s">
        <v>7009</v>
      </c>
      <c r="R467" t="s">
        <v>7010</v>
      </c>
      <c r="S467" t="s">
        <v>7011</v>
      </c>
    </row>
    <row r="468" spans="1:20" x14ac:dyDescent="0.15">
      <c r="C468" t="s">
        <v>7079</v>
      </c>
      <c r="M468" t="str">
        <f t="shared" si="7"/>
        <v>{szContent="你已完成了[快马江湖杯中茶]。\n",[20]={},tCountdown={{nClass=20,nIcon=17135,nFrame=7,szName="茶馆·预测",nTime=-1,key="茶馆·预测",},},},</v>
      </c>
      <c r="N468" t="s">
        <v>7080</v>
      </c>
    </row>
    <row r="469" spans="1:20" x14ac:dyDescent="0.15">
      <c r="C469" t="s">
        <v>7081</v>
      </c>
      <c r="M469" t="str">
        <f t="shared" si="7"/>
        <v>{szContent="你已接受了[偷运粮食出城去]。\n",[20]={},tCountdown={{nClass=20,nIcon=17135,nFrame=6,szName="天王盖地虎，宝塔镇河妖",nTime=60,key="任务·提示1",},{nClass=20,nIcon=17135,nFrame=6,szName="风来吴山倒，烧鱼要放糖",nTime=60,key="任务·提示2",},{nClass=20,nIcon=17135,nFrame=6,szName="为何不开云溪松，梦泉虎跑还没好",nTime=60,key="任务·提示3",},},},</v>
      </c>
      <c r="N469" t="s">
        <v>7082</v>
      </c>
      <c r="O469" t="s">
        <v>7083</v>
      </c>
      <c r="P469" t="s">
        <v>7084</v>
      </c>
    </row>
    <row r="470" spans="1:20" x14ac:dyDescent="0.15">
      <c r="C470" t="s">
        <v>7085</v>
      </c>
      <c r="M470" t="str">
        <f t="shared" si="7"/>
        <v>{szContent="本日已经无法获得战龙玉佩。\n",[20]={},tCountdown={{nClass=20,nIcon=17135,nFrame=0,szName="太原事件·已上限·战龙玉佩",nTime=10.1,nRefresh=3600,key="公共事件·上限·战龙玉佩",},},},</v>
      </c>
      <c r="N470" t="s">
        <v>7086</v>
      </c>
    </row>
    <row r="471" spans="1:20" x14ac:dyDescent="0.15">
      <c r="C471" t="s">
        <v>7087</v>
      </c>
      <c r="G471">
        <v>1</v>
      </c>
      <c r="M471" t="str">
        <f t="shared" si="7"/>
        <v>{szContent="^本日还可以获得:(%d-)个战龙玉佩。",bReg=true,[20]={},tCountdown={{nClass=20,nIcon=13,nFrame=7,szName="战龙玉佩上限剩余·{$1}",nTime=15,key="公共事件·结算",},},},</v>
      </c>
      <c r="N471" t="s">
        <v>7088</v>
      </c>
    </row>
    <row r="472" spans="1:20" x14ac:dyDescent="0.15">
      <c r="A472" t="s">
        <v>847</v>
      </c>
      <c r="B472">
        <v>213</v>
      </c>
      <c r="M472" t="str">
        <f t="shared" si="7"/>
        <v>},[213]={</v>
      </c>
    </row>
    <row r="473" spans="1:20" x14ac:dyDescent="0.15">
      <c r="C473" t="s">
        <v>7089</v>
      </c>
      <c r="M473" t="str">
        <f t="shared" si="7"/>
        <v>{szContent="长歌正举行学堂晒书，侠士可前往长歌徽山书院参与，感受长歌文化。活动持续一小时，诸位侠士遇到未阅读书籍皆可阅读，是增强见识的大好机会，千万不要错过。\n",[20]={},tCountdown={{nClass=20,nIcon=17135,nFrame=0,szName="长歌·门派事件·徽山书院",nTime=10,key="门派事件1",},},},</v>
      </c>
      <c r="N473" t="s">
        <v>7090</v>
      </c>
    </row>
    <row r="474" spans="1:20" x14ac:dyDescent="0.15">
      <c r="C474" t="s">
        <v>7091</v>
      </c>
      <c r="M474" t="str">
        <f t="shared" si="7"/>
        <v>{szContent="长歌正举行音律之试，侠士可前往长歌玉林岛参与，感受赵宫商的心路历程。音律之试分为三个阶段，按顺序开启，阶段完成则活动结束，侠士可速速前往。\n",[20]={},tCountdown={{nClass=20,nIcon=17135,nFrame=0,szName="长歌·门派事件·玉林岛",nTime=10,key="门派事件1",},},},</v>
      </c>
      <c r="N474" t="s">
        <v>7092</v>
      </c>
    </row>
    <row r="475" spans="1:20" x14ac:dyDescent="0.15">
      <c r="A475" t="s">
        <v>252</v>
      </c>
      <c r="B475">
        <v>214</v>
      </c>
      <c r="M475" t="str">
        <f t="shared" si="7"/>
        <v>},[214]={</v>
      </c>
    </row>
    <row r="476" spans="1:20" x14ac:dyDescent="0.15">
      <c r="C476" t="s">
        <v>6970</v>
      </c>
      <c r="M476" t="str">
        <f t="shared" si="7"/>
        <v>{szContent="本次贡献度:100\n",[20]={},tCountdown={{nClass=20,nIcon=17135,nFrame=3,szName="完美完成·无遮大会·九邬碧玉",nTime=5,key="公共事件·结算",},},},</v>
      </c>
      <c r="N476" t="s">
        <v>7093</v>
      </c>
    </row>
    <row r="477" spans="1:20" x14ac:dyDescent="0.15">
      <c r="C477" t="s">
        <v>6972</v>
      </c>
      <c r="M477" t="str">
        <f t="shared" si="7"/>
        <v>{szContent="本日已不能从本事件获得奖励。\n",[20]={},tCountdown={{nClass=20,nIcon=17135,nFrame=0,szName="无遮大会·已上限·九邬碧玉",nTime=10.1,nRefresh=3600,key="公共事件·上限·九邬碧玉",},},},</v>
      </c>
      <c r="N477" t="s">
        <v>7094</v>
      </c>
    </row>
    <row r="478" spans="1:20" x14ac:dyDescent="0.15">
      <c r="A478" t="s">
        <v>848</v>
      </c>
      <c r="B478">
        <v>215</v>
      </c>
      <c r="M478" t="str">
        <f t="shared" si="7"/>
        <v>},[215]={</v>
      </c>
    </row>
    <row r="479" spans="1:20" x14ac:dyDescent="0.15">
      <c r="C479" t="s">
        <v>7095</v>
      </c>
      <c r="M479" t="str">
        <f t="shared" si="7"/>
        <v>{szContent="你已接受了[拔刀无惧]。\n",[20]={},tCountdown={{nClass=20,nIcon=17135,nFrame=6,szName="前往·刀宗",nTime=15,key="任务提示1",},},},</v>
      </c>
      <c r="N479" t="s">
        <v>7096</v>
      </c>
    </row>
    <row r="480" spans="1:20" x14ac:dyDescent="0.15">
      <c r="C480" t="s">
        <v>6972</v>
      </c>
      <c r="M480" t="str">
        <f t="shared" si="7"/>
        <v>{szContent="本日已不能从本事件获得奖励。\n",[20]={},tCountdown={{nClass=20,nIcon=17135,nFrame=0,szName="温泉战倭·已上限·九邬碧玉",nTime=10.1,nRefresh=3600,key="公共事件·上限·九邬碧玉",},},},</v>
      </c>
      <c r="N480" t="s">
        <v>7097</v>
      </c>
    </row>
    <row r="481" spans="1:20" x14ac:dyDescent="0.15">
      <c r="C481" t="s">
        <v>6970</v>
      </c>
      <c r="M481" t="str">
        <f t="shared" si="7"/>
        <v>{szContent="本次贡献度:100\n",[20]={},tCountdown={{nClass=20,nIcon=17135,nFrame=3,szName="完美完成·温泉战倭·九邬碧玉",nTime=5,key="公共事件·结算",},},},</v>
      </c>
      <c r="N481" t="s">
        <v>7098</v>
      </c>
    </row>
    <row r="482" spans="1:20" x14ac:dyDescent="0.15">
      <c r="A482" t="s">
        <v>256</v>
      </c>
      <c r="B482">
        <v>216</v>
      </c>
      <c r="M482" t="str">
        <f t="shared" si="7"/>
        <v>},[216]={</v>
      </c>
    </row>
    <row r="483" spans="1:20" x14ac:dyDescent="0.15">
      <c r="C483" t="s">
        <v>7005</v>
      </c>
      <c r="M483" t="str">
        <f t="shared" si="7"/>
        <v>{szContent="你已接受了[红尘饮茶·芋粉扣肉]。\n",[20]={},tCountdown={{nClass=20,nIcon=17135,nFrame=7,szName="茶馆·预测",nTime="30,预测·精肉|杂碎|枸杞|锡铜;60,任务1·芋粉扣肉;90,任务2·枸杞;120,任务3·五香酱肉;150,任务4·锡矿;180,任务5·铜矿;210,任务6·安顿流民;240,任务7·动物肉块;270,任务8·打水煮茶;300,任务9·江湖秘闻;330,任务10·采集蜂蜜",nRefresh=3600,key="茶馆·预测",},{nClass=20,nIcon=17135,nFrame=6,szName="芋粉扣肉·枸杞（可能）",nTime=30,nRefresh=3600,key="茶馆·预测·任务1",},{nClass=20,nIcon=17135,nFrame=6,szName="五香酱肉·锡矿",nTime=30,nRefresh=3600,key="茶馆·预测·任务2",},{nClass=20,nIcon=17135,nFrame=6,szName="铜矿·安顿流民",nTime=30,nRefresh=3600,key="茶馆·预测·任务3",},{nClass=20,nIcon=17135,nFrame=6,szName="动物肉块·打水煮茶",nTime=30,nRefresh=3600,key="茶馆·预测·任务4",},{nClass=20,nIcon=17135,nFrame=6,szName="江湖秘闻·采集蜂蜜",nTime=30,nRefresh=3600,key="茶馆·预测·任务5",},},},</v>
      </c>
      <c r="N483" t="s">
        <v>7006</v>
      </c>
      <c r="O483" t="s">
        <v>7007</v>
      </c>
      <c r="P483" t="s">
        <v>7008</v>
      </c>
      <c r="Q483" t="s">
        <v>7009</v>
      </c>
      <c r="R483" t="s">
        <v>7010</v>
      </c>
      <c r="S483" t="s">
        <v>7011</v>
      </c>
    </row>
    <row r="484" spans="1:20" x14ac:dyDescent="0.15">
      <c r="C484" t="s">
        <v>7012</v>
      </c>
      <c r="M484" t="str">
        <f t="shared" si="7"/>
        <v>{szContent="你已接受了[红尘饮茶·教训混混]。\n",[20]={},tCountdown={{nClass=20,nIcon=17135,nFrame=7,szName="茶馆·预测",nTime="30,本日预测·爱心满满;60,任务1·教训混混;90,任务2·风雅对诗;120,任务3·青龙棋局;150,任务4·花茶材料;180,任务5·收集柴火;210,任务6·采集蜂蜜;240,任务7·调皮灵猫;270,任务8·江湖秘闻;300,任务9·打水煮茶;330,任务10·动物肉块",nRefresh=3600,key="茶馆·预测",},{nClass=20,nIcon=17135,nFrame=6,szName="教训混混·风雅对诗",nTime=30,nRefresh=3600,key="茶馆·预测·任务1",},{nClass=20,nIcon=17135,nFrame=6,szName="青龙棋局·花茶材料",nTime=30,nRefresh=3600,key="茶馆·预测·任务2",},{nClass=20,nIcon=17135,nFrame=6,szName="收集柴火·采集蜂蜜",nTime=30,nRefresh=3600,key="茶馆·预测·任务3",},{nClass=20,nIcon=17135,nFrame=6,szName="调皮灵猫·江湖秘闻",nTime=30,nRefresh=3600,key="茶馆·预测·任务4",},{nClass=20,nIcon=17135,nFrame=6,szName="打水煮茶·动物肉块",nTime=30,nRefresh=3600,key="茶馆·预测·任务5",},},},</v>
      </c>
      <c r="N484" t="s">
        <v>7013</v>
      </c>
      <c r="O484" t="s">
        <v>7014</v>
      </c>
      <c r="P484" t="s">
        <v>7015</v>
      </c>
      <c r="Q484" t="s">
        <v>7016</v>
      </c>
      <c r="R484" t="s">
        <v>7017</v>
      </c>
      <c r="S484" t="s">
        <v>7018</v>
      </c>
    </row>
    <row r="485" spans="1:20" x14ac:dyDescent="0.15">
      <c r="C485" t="s">
        <v>7019</v>
      </c>
      <c r="M485" t="str">
        <f t="shared" si="7"/>
        <v>{szContent="你已接受了[红尘饮茶·五香酱肉]。\n",[20]={},tCountdown={{nClass=20,nIcon=17135,nFrame=7,szName="茶馆·预测",nTime="30,预测·杂碎|锡铜;60,任务1·五香酱肉;90,任务2·锡矿;120,任务3·铜矿;150,任务4·安顿流民;180,任务5·动物肉块;210,任务6·打水煮茶;240,任务7·江湖秘闻;270,任务8·采集蜂蜜;300,任务9·教训混混;330,任务10·风雅对诗",nRefresh=3600,key="茶馆·预测",},{nClass=20,nIcon=17135,nFrame=6,szName="五香酱肉·锡矿",nTime=30,nRefresh=3600,key="茶馆·预测·任务1",},{nClass=20,nIcon=17135,nFrame=6,szName="铜矿·安顿流民",nTime=30,nRefresh=3600,key="茶馆·预测·任务2",},{nClass=20,nIcon=17135,nFrame=6,szName="动物肉块·打水煮茶",nTime=30,nRefresh=3600,key="茶馆·预测·任务3",},{nClass=20,nIcon=17135,nFrame=6,szName="江湖秘闻·采集蜂蜜",nTime=30,nRefresh=3600,key="茶馆·预测·任务4",},{nClass=20,nIcon=17135,nFrame=6,szName="教训混混·风雅对诗",nTime=30,nRefresh=3600,key="茶馆·预测·任务5",},},},</v>
      </c>
      <c r="N485" t="s">
        <v>7020</v>
      </c>
      <c r="O485" t="s">
        <v>7021</v>
      </c>
      <c r="P485" t="s">
        <v>7022</v>
      </c>
      <c r="Q485" t="s">
        <v>7023</v>
      </c>
      <c r="R485" t="s">
        <v>7024</v>
      </c>
      <c r="S485" t="s">
        <v>7025</v>
      </c>
    </row>
    <row r="486" spans="1:20" x14ac:dyDescent="0.15">
      <c r="C486" t="s">
        <v>7026</v>
      </c>
      <c r="M486" t="str">
        <f t="shared" si="7"/>
        <v>{szContent="你已接受了[红尘饮茶·风雅对诗]。\n",[20]={},tCountdown={{nClass=20,nIcon=17135,nFrame=7,szName="茶馆·预测",nTime="30,本日预测·爱心满满;60,任务1·风雅对诗;90,任务2·青龙棋局;120,任务3·花茶材料;150,任务4·收集柴火;180,任务5·调皮灵猫;210,任务6·教训混混;240,任务7·采集蜂蜜;270,任务8·江湖秘闻;300,任务9·打水煮茶;330,任务10·动物肉块",nRefresh=3600,key="茶馆·预测",},{nClass=20,nIcon=17135,nFrame=6,szName="风雅对诗·青龙棋局",nTime=30,nRefresh=3600,key="茶馆·预测·任务1",},{nClass=20,nIcon=17135,nFrame=6,szName="花茶材料·收集柴火",nTime=30,nRefresh=3600,key="茶馆·预测·任务2",},{nClass=20,nIcon=17135,nFrame=6,szName="调皮灵猫·教训混混",nTime=30,nRefresh=3600,key="茶馆·预测·任务3",},{nClass=20,nIcon=17135,nFrame=6,szName="采集蜂蜜·江湖秘闻",nTime=30,nRefresh=3600,key="茶馆·预测·任务4",},{nClass=20,nIcon=17135,nFrame=6,szName="打水煮茶·动物肉块",nTime=30,nRefresh=3600,key="茶馆·预测·任务5",},},},</v>
      </c>
      <c r="N486" t="s">
        <v>7027</v>
      </c>
      <c r="O486" t="s">
        <v>7028</v>
      </c>
      <c r="P486" t="s">
        <v>7029</v>
      </c>
      <c r="Q486" t="s">
        <v>7030</v>
      </c>
      <c r="R486" t="s">
        <v>7031</v>
      </c>
      <c r="S486" t="s">
        <v>7018</v>
      </c>
    </row>
    <row r="487" spans="1:20" x14ac:dyDescent="0.15">
      <c r="C487" t="s">
        <v>7032</v>
      </c>
      <c r="M487" t="str">
        <f t="shared" si="7"/>
        <v>{szContent="你已接受了[红尘饮茶·铜矿]。\n",[20]={},tCountdown={{nClass=20,nIcon=17135,nFrame=7,szName="茶馆·预测",nTime="30,预测·锡铜;60,任务1·铜矿;90,任务2·安顿流民;120,任务3·锡矿;150,任务4·动物肉块;180,任务5·打水煮茶;210,任务6·江湖秘闻;240,任务7·采集蜂蜜;270,任务8·教训混混;300,任务9·风雅对诗;330,任务10·青龙棋局",nRefresh=3600,key="茶馆·预测",},{nClass=20,nIcon=17135,nFrame=6,szName="铜矿·安顿流民",nTime=30,nRefresh=3600,key="茶馆·预测·任务1",},{nClass=20,nIcon=17135,nFrame=6,szName="锡矿·动物肉块",nTime=30,nRefresh=3600,key="茶馆·预测·任务2",},{nClass=20,nIcon=17135,nFrame=6,szName="打水煮茶·江湖秘闻",nTime=30,nRefresh=3600,key="茶馆·预测·任务3",},{nClass=20,nIcon=17135,nFrame=6,szName="采集蜂蜜·教训混混",nTime=30,nRefresh=3600,key="茶馆·预测·任务4",},{nClass=20,nIcon=17135,nFrame=6,szName="风雅对诗·青龙棋局",nTime=30,nRefresh=3600,key="茶馆·预测·任务5",},},},</v>
      </c>
      <c r="N487" t="s">
        <v>7033</v>
      </c>
      <c r="O487" t="s">
        <v>7034</v>
      </c>
      <c r="P487" t="s">
        <v>7035</v>
      </c>
      <c r="Q487" t="s">
        <v>7036</v>
      </c>
      <c r="R487" t="s">
        <v>7037</v>
      </c>
      <c r="S487" t="s">
        <v>7038</v>
      </c>
    </row>
    <row r="488" spans="1:20" x14ac:dyDescent="0.15">
      <c r="C488" t="s">
        <v>7039</v>
      </c>
      <c r="M488" t="str">
        <f t="shared" si="7"/>
        <v>{szContent="你已接受了[红尘饮茶·花茶材料]。\n",[20]={},tCountdown={{nClass=20,nIcon=17135,nFrame=7,szName="茶馆·预测",nTime="30,本日预测·爱心满满;60,任务1·花茶材料;90,任务2·收集柴火;120,任务3·调皮灵猫;150,任务4·青龙棋局;180,任务5·风雅对诗;210,任务6·教训混混;240,任务7·采集蜂蜜;270,任务8·江湖秘闻;300,任务9·打水煮茶;330,任务10·动物肉块",nRefresh=3600,key="茶馆·预测",},{nClass=20,nIcon=17135,nFrame=6,szName="花茶材料·收集柴火",nTime=30,nRefresh=3600,key="茶馆·预测·任务1",},{nClass=20,nIcon=17135,nFrame=6,szName="调皮灵猫·青龙棋局",nTime=30,nRefresh=3600,key="茶馆·预测·任务2",},{nClass=20,nIcon=17135,nFrame=6,szName="风雅对诗·教训混混",nTime=30,nRefresh=3600,key="茶馆·预测·任务3",},{nClass=20,nIcon=17135,nFrame=6,szName="采集蜂蜜·江湖秘闻",nTime=30,nRefresh=3600,key="茶馆·预测·任务4",},{nClass=20,nIcon=17135,nFrame=6,szName="打水煮茶·动物肉块",nTime=30,nRefresh=3600,key="茶馆·预测·任务5",},},},</v>
      </c>
      <c r="N488" t="s">
        <v>7040</v>
      </c>
      <c r="O488" t="s">
        <v>7041</v>
      </c>
      <c r="P488" t="s">
        <v>7042</v>
      </c>
      <c r="Q488" t="s">
        <v>7043</v>
      </c>
      <c r="R488" t="s">
        <v>7031</v>
      </c>
      <c r="S488" t="s">
        <v>7018</v>
      </c>
    </row>
    <row r="489" spans="1:20" x14ac:dyDescent="0.15">
      <c r="C489" t="s">
        <v>7044</v>
      </c>
      <c r="M489" t="str">
        <f t="shared" si="7"/>
        <v>{szContent="你已接受了[红尘饮茶·安顿流民]。\n",[20]={},tCountdown={{nClass=20,nIcon=17135,nFrame=7,szName="茶馆·预测",nTime="30,本日预测·铜矿（可能）;60,任务1·安顿流民;90,任务2·动物肉块;120,任务3·打水煮茶;150,任务4·江湖秘闻;180,任务5·采集蜂蜜;210,任务6·教训混混;240,任务7·风雅对诗;270,任务8·青龙棋局;300,任务9·花茶材料;330,任务10·收集柴火|铜矿",nRefresh=3600,key="茶馆·预测",},{nClass=20,nIcon=17135,nFrame=6,szName="安顿流民·动物肉块",nTime=30,nRefresh=3600,key="茶馆·预测·任务1",},{nClass=20,nIcon=17135,nFrame=6,szName="打水煮茶·江湖秘闻",nTime=30,nRefresh=3600,key="茶馆·预测·任务2",},{nClass=20,nIcon=17135,nFrame=6,szName="采集蜂蜜·教训混混",nTime=30,nRefresh=3600,key="茶馆·预测·任务3",},{nClass=20,nIcon=17135,nFrame=6,szName="风雅对诗·青龙棋局",nTime=30,nRefresh=3600,key="茶馆·预测·任务4",},{nClass=20,nIcon=17135,nFrame=6,szName="花茶材料·收集柴火|铜矿",nTime=30,nRefresh=3600,key="茶馆·预测·任务5",},},},</v>
      </c>
      <c r="N489" t="s">
        <v>7045</v>
      </c>
      <c r="O489" t="s">
        <v>7046</v>
      </c>
      <c r="P489" t="s">
        <v>7047</v>
      </c>
      <c r="Q489" t="s">
        <v>7048</v>
      </c>
      <c r="R489" t="s">
        <v>7049</v>
      </c>
      <c r="S489" t="s">
        <v>7050</v>
      </c>
    </row>
    <row r="490" spans="1:20" x14ac:dyDescent="0.15">
      <c r="C490" t="s">
        <v>7051</v>
      </c>
      <c r="M490" t="str">
        <f t="shared" si="7"/>
        <v>{szContent="你已接受了[红尘饮茶·收集柴火]。\n",[20]={},tCountdown={{nClass=20,nIcon=17135,nFrame=7,szName="茶馆·预测",nTime="30,本日预测·爱心满满;60,任务1·收集柴火;90,任务2·调皮灵猫;120,任务3·花茶材料;150,任务4·青龙棋局;180,任务5·风雅对诗;210,任务6·教训混混;240,任务7·采集蜂蜜;270,任务8·江湖秘闻;300,任务9·打水煮茶;330,任务10·动物肉块",nRefresh=3600,key="茶馆·预测",},{nClass=20,nIcon=17135,nFrame=6,szName="收集柴火·调皮灵猫",nTime=30,nRefresh=3600,key="茶馆·预测·任务1",},{nClass=20,nIcon=17135,nFrame=6,szName="花茶材料·青龙棋局",nTime=30,nRefresh=3600,key="茶馆·预测·任务2",},{nClass=20,nIcon=17135,nFrame=6,szName="风雅对诗·教训混混",nTime=30,nRefresh=3600,key="茶馆·预测·任务3",},{nClass=20,nIcon=17135,nFrame=6,szName="采集蜂蜜·江湖秘闻",nTime=30,nRefresh=3600,key="茶馆·预测·任务4",},{nClass=20,nIcon=17135,nFrame=6,szName="打水煮茶·动物肉块",nTime=30,nRefresh=3600,key="茶馆·预测·任务5",},},},</v>
      </c>
      <c r="N490" t="s">
        <v>7052</v>
      </c>
      <c r="O490" t="s">
        <v>7053</v>
      </c>
      <c r="P490" t="s">
        <v>7054</v>
      </c>
      <c r="Q490" t="s">
        <v>7043</v>
      </c>
      <c r="R490" t="s">
        <v>7031</v>
      </c>
      <c r="S490" t="s">
        <v>7018</v>
      </c>
    </row>
    <row r="491" spans="1:20" x14ac:dyDescent="0.15">
      <c r="C491" t="s">
        <v>7055</v>
      </c>
      <c r="M491" t="str">
        <f t="shared" si="7"/>
        <v>{szContent="你已接受了[红尘饮茶·打水煮茶]。\n",[20]={},tCountdown={{nClass=20,nIcon=17135,nFrame=7,szName="茶馆·预测",nTime="30,本日预测·爱心满满;60,任务1·打水煮茶;90,任务2·江湖秘闻;120,任务3·采集蜂蜜;150,任务4·动物肉块;180,任务5·教训混混;210,任务6·风雅对诗;240,任务7·青龙棋局;270,任务8·花茶材料;300,任务9·收集柴火;330,任务10·调皮灵猫",nRefresh=3600,key="茶馆·预测",},{nClass=20,nIcon=17135,nFrame=5,szName="在附近水坑游泳状态即可打水",nTime=10,key="茶馆·提示0",},{nClass=20,nIcon=17135,nFrame=6,szName="打水煮茶·江湖秘闻",nTime=30,nRefresh=3600,key="茶馆·预测·任务1",},{nClass=20,nIcon=17135,nFrame=6,szName="采集蜂蜜·动物肉块",nTime=30,nRefresh=3600,key="茶馆·预测·任务2",},{nClass=20,nIcon=17135,nFrame=6,szName="教训混混·风雅对诗",nTime=30,nRefresh=3600,key="茶馆·预测·任务3",},{nClass=20,nIcon=17135,nFrame=6,szName="青龙棋局·花茶材料",nTime=30,nRefresh=3600,key="茶馆·预测·任务4",},{nClass=20,nIcon=17135,nFrame=6,szName="收集柴火·调皮灵猫",nTime=30,nRefresh=3600,key="茶馆·预测·任务5",},},},</v>
      </c>
      <c r="N491" t="s">
        <v>7056</v>
      </c>
      <c r="O491" t="s">
        <v>7099</v>
      </c>
      <c r="P491" t="s">
        <v>7058</v>
      </c>
      <c r="Q491" t="s">
        <v>7059</v>
      </c>
      <c r="R491" t="s">
        <v>7060</v>
      </c>
      <c r="S491" t="s">
        <v>7061</v>
      </c>
      <c r="T491" t="s">
        <v>7062</v>
      </c>
    </row>
    <row r="492" spans="1:20" x14ac:dyDescent="0.15">
      <c r="C492" t="s">
        <v>7063</v>
      </c>
      <c r="M492" t="str">
        <f t="shared" si="7"/>
        <v>{szContent="你已接受了[红尘饮茶·川贝]。\n",[20]={},tCountdown={{nClass=20,nIcon=17135,nFrame=7,szName="茶馆·预测",nTime="30,预测·川贝|枸杞|精肉|杂碎|锡铜;60,任务1·川贝;90,任务2·枸杞;120,任务3·芋粉扣肉;150,任务4·五香酱肉;180,任务5·锡矿;210,任务6·铜矿;240,任务7·调皮灵猫;270,任务8·收集柴火;300,任务9·花茶材料;330,任务10·青龙棋局|安顿流民",nRefresh=3600,key="茶馆·预测",},{nClass=20,nIcon=17135,nFrame=6,szName="川贝·枸杞",nTime=30,nRefresh=3600,key="茶馆·预测·任务1",},{nClass=20,nIcon=17135,nFrame=6,szName="芋粉扣肉·五香酱肉",nTime=30,nRefresh=3600,key="茶馆·预测·任务2",},{nClass=20,nIcon=17135,nFrame=6,szName="锡矿·铜矿",nTime=30,nRefresh=3600,key="茶馆·预测·任务3",},{nClass=20,nIcon=17135,nFrame=6,szName="调皮灵猫·收集柴火",nTime=30,nRefresh=3600,key="茶馆·预测·任务4",},{nClass=20,nIcon=17135,nFrame=6,szName="花茶材料·青龙棋局|安顿流民",nTime=30,nRefresh=3600,key="茶馆·预测·任务5",},},},</v>
      </c>
      <c r="N492" t="s">
        <v>7064</v>
      </c>
      <c r="O492" t="s">
        <v>7065</v>
      </c>
      <c r="P492" t="s">
        <v>7066</v>
      </c>
      <c r="Q492" t="s">
        <v>7067</v>
      </c>
      <c r="R492" t="s">
        <v>7068</v>
      </c>
      <c r="S492" t="s">
        <v>7069</v>
      </c>
    </row>
    <row r="493" spans="1:20" x14ac:dyDescent="0.15">
      <c r="C493" t="s">
        <v>7070</v>
      </c>
      <c r="M493" t="str">
        <f t="shared" si="7"/>
        <v>{szContent="你已接受了[红尘饮茶·江湖秘闻]。\n",[20]={},tCountdown={{nClass=20,nIcon=17135,nFrame=7,szName="茶馆·预测",nTime="30,本日预测·爱心满满;60,任务1·江湖秘闻;90,任务2·采集蜂蜜;120,任务3·教训混混;150,任务4·风雅对诗;180,任务5·青龙棋局;210,任务6·花茶材料;240,任务7·收集柴火;270,任务8·调皮灵猫;300,任务9·打水煮茶;330,任务10·动物肉块",nRefresh=3600,key="茶馆·预测",},{nClass=20,nIcon=17135,nFrame=5,szName="选项1帮会+选项4门派合并为正确答案",nTime=15,key="茶馆·提示0",},{nClass=20,nIcon=17135,nFrame=6,szName="江湖秘闻·采集蜂蜜",nTime=30,nRefresh=3600,key="茶馆·预测·任务1",},{nClass=20,nIcon=17135,nFrame=6,szName="教训混混·风雅对诗",nTime=30,nRefresh=3600,key="茶馆·预测·任务2",},{nClass=20,nIcon=17135,nFrame=6,szName="青龙棋局·花茶材料",nTime=30,nRefresh=3600,key="茶馆·预测·任务3",},{nClass=20,nIcon=17135,nFrame=6,szName="收集柴火·调皮灵猫",nTime=30,nRefresh=3600,key="茶馆·预测·任务4",},{nClass=20,nIcon=17135,nFrame=6,szName="打水煮茶·动物肉块",nTime=30,nRefresh=3600,key="茶馆·预测·任务5",},},},</v>
      </c>
      <c r="N493" t="s">
        <v>7071</v>
      </c>
      <c r="O493" t="s">
        <v>6561</v>
      </c>
      <c r="P493" t="s">
        <v>7072</v>
      </c>
      <c r="Q493" t="s">
        <v>7073</v>
      </c>
      <c r="R493" t="s">
        <v>7074</v>
      </c>
      <c r="S493" t="s">
        <v>7075</v>
      </c>
      <c r="T493" t="s">
        <v>7018</v>
      </c>
    </row>
    <row r="494" spans="1:20" x14ac:dyDescent="0.15">
      <c r="C494" t="s">
        <v>7076</v>
      </c>
      <c r="M494" t="str">
        <f t="shared" si="7"/>
        <v>{szContent="你已接受了[红尘饮茶·枸杞]。\n",[20]={},tCountdown={{nClass=20,nIcon=17135,nFrame=7,szName="茶馆·预测",nTime="30,预测·枸杞|精肉|杂碎|锡铜;60,任务1·枸杞;90,任务2·芋粉扣肉;120,任务3·五香酱肉;150,任务4·锡矿;180,任务5·铜矿;210,任务6·安顿流民;240,任务7·动物肉块;270,任务8·打水煮茶;300,任务9·江湖秘闻;330,任务10·采集蜂蜜",nRefresh=3600,key="茶馆·预测",},{nClass=20,nIcon=17135,nFrame=6,szName="枸杞·芋粉扣肉",nTime=30,nRefresh=3600,key="茶馆·预测·任务1",},{nClass=20,nIcon=17135,nFrame=6,szName="五香酱肉·锡矿",nTime=30,nRefresh=3600,key="茶馆·预测·任务2",},{nClass=20,nIcon=17135,nFrame=6,szName="铜矿·安顿流民",nTime=30,nRefresh=3600,key="茶馆·预测·任务3",},{nClass=20,nIcon=17135,nFrame=6,szName="动物肉块·打水煮茶",nTime=30,nRefresh=3600,key="茶馆·预测·任务4",},{nClass=20,nIcon=17135,nFrame=6,szName="江湖秘闻·采集蜂蜜",nTime=30,nRefresh=3600,key="茶馆·预测·任务5",},},},</v>
      </c>
      <c r="N494" t="s">
        <v>7077</v>
      </c>
      <c r="O494" t="s">
        <v>7078</v>
      </c>
      <c r="P494" t="s">
        <v>7008</v>
      </c>
      <c r="Q494" t="s">
        <v>7009</v>
      </c>
      <c r="R494" t="s">
        <v>7010</v>
      </c>
      <c r="S494" t="s">
        <v>7011</v>
      </c>
    </row>
    <row r="495" spans="1:20" x14ac:dyDescent="0.15">
      <c r="C495" t="s">
        <v>7079</v>
      </c>
      <c r="M495" t="str">
        <f t="shared" si="7"/>
        <v>{szContent="你已完成了[快马江湖杯中茶]。\n",[20]={},tCountdown={{nClass=20,nIcon=17135,nFrame=7,szName="茶馆·预测",nTime=-1,key="茶馆·预测",},},},</v>
      </c>
      <c r="N495" t="s">
        <v>7080</v>
      </c>
    </row>
    <row r="496" spans="1:20" x14ac:dyDescent="0.15">
      <c r="C496" t="s">
        <v>7100</v>
      </c>
      <c r="F496">
        <v>1</v>
      </c>
      <c r="M496" t="str">
        <f t="shared" si="7"/>
        <v>{szContent="”在阴山大草原捕获",bSearch=true,[20]={},tCountdown={{nClass=20,nIcon=1899,nFrame=5,szName="马驹·已被捕获",nTime=10,key="阴山大草原",},},},</v>
      </c>
      <c r="N496" t="s">
        <v>7101</v>
      </c>
    </row>
    <row r="497" spans="1:20" x14ac:dyDescent="0.15">
      <c r="C497" t="s">
        <v>6423</v>
      </c>
      <c r="D497" t="s">
        <v>6424</v>
      </c>
      <c r="E497" t="s">
        <v>2718</v>
      </c>
      <c r="G497">
        <v>1</v>
      </c>
      <c r="M497" t="str">
        <f t="shared" si="7"/>
        <v>{szContent="([浩气恶人]+)[盟谷]-的【(.-)】帮会成功占领【(.-)】据点！",szNote="{$3}·{$1}占领",col={255,255,100,},bReg=true,[20]={},tCountdown={{nClass=20,nIcon=2397,nFrame=-1,szName="",nTime=0.001,nRefresh=2,key="{$3}·浩气占领",},{nClass=20,nIcon=2397,nFrame=-1,szName="{$3}·浩气占领",nTime=-1,key="{$3}·浩气占领",},{nClass=20,nIcon=2398,nFrame=-1,szName="",nTime=0.001,nRefresh=2,key="{$3}·恶人占领",},{nClass=20,nIcon=2398,nFrame=-1,szName="{$3}·恶人占领",nTime=-1,key="{$3}·恶人占领",},{nClass=20,nIcon=2400,nFrame=7,szName="{$3}·{$1}占领",nTime=0,key="{$3}·{$1}占领",},{nClass=20,nIcon=20122,nFrame=7,szName="【{$3}】·浩气占领",nTime=30,nRefresh=1,key="{$3}·浩气占领",},{nClass=20,nIcon=20114,nFrame=3,szName="【{$3}】·恶人占领",nTime=30,nRefresh=1,key="{$3}·恶人占领",},},},</v>
      </c>
      <c r="N497" t="s">
        <v>6680</v>
      </c>
      <c r="O497" t="s">
        <v>6681</v>
      </c>
      <c r="P497" t="s">
        <v>6682</v>
      </c>
      <c r="Q497" t="s">
        <v>6683</v>
      </c>
      <c r="R497" t="s">
        <v>6684</v>
      </c>
      <c r="S497" t="s">
        <v>6685</v>
      </c>
      <c r="T497" t="s">
        <v>6686</v>
      </c>
    </row>
    <row r="498" spans="1:20" x14ac:dyDescent="0.15">
      <c r="C498" t="s">
        <v>6687</v>
      </c>
      <c r="D498" t="s">
        <v>6688</v>
      </c>
      <c r="E498" t="s">
        <v>2718</v>
      </c>
      <c r="G498">
        <v>1</v>
      </c>
      <c r="M498" t="str">
        <f t="shared" si="7"/>
        <v>{szContent="([浩气恶人]+)[盟谷]-位于(.-)的【(.-)据点】大旗被夺",szNote="{$3}·{$1}大旗被夺",col={255,255,100,},bReg=true,[20]={},tCountdown={{nClass=20,nIcon=2397,nFrame=-1,szName="",nTime=0.001,nRefresh=2,key="{$3}·浩气大旗被夺",},{nClass=20,nIcon=2397,nFrame=-1,szName="{$3}·浩气大旗被夺",nTime=-1,key="{$3}·浩气大旗被夺",},{nClass=20,nIcon=2398,nFrame=-1,szName="",nTime=0.001,nRefresh=2,key="{$3}·恶人大旗被夺",},{nClass=20,nIcon=2398,nFrame=-1,szName="{$3}·恶人大旗被夺",nTime=-1,key="{$3}·恶人大旗被夺",},{nClass=20,nIcon=2400,nFrame=7,szName="{$3}·{$1}大旗被夺",nTime=0,key="{$3}·{$1}大旗被夺",},{nClass=20,nIcon=4837,nFrame=7,szName="{$2}【{$3}】浩气大旗被夺",nTime=30,nRefresh=1,key="{$3}·浩气大旗被夺",},{nClass=20,nIcon=4838,nFrame=3,szName="{$2}【{$3}】恶人大旗被夺",nTime=30,nRefresh=1,key="{$3}·恶人大旗被夺",},},},</v>
      </c>
      <c r="N498" t="s">
        <v>6689</v>
      </c>
      <c r="O498" t="s">
        <v>6690</v>
      </c>
      <c r="P498" t="s">
        <v>6691</v>
      </c>
      <c r="Q498" t="s">
        <v>6692</v>
      </c>
      <c r="R498" t="s">
        <v>6693</v>
      </c>
      <c r="S498" t="s">
        <v>6694</v>
      </c>
      <c r="T498" t="s">
        <v>6695</v>
      </c>
    </row>
    <row r="499" spans="1:20" x14ac:dyDescent="0.15">
      <c r="C499" t="s">
        <v>6696</v>
      </c>
      <c r="D499" t="s">
        <v>6697</v>
      </c>
      <c r="E499" t="s">
        <v>2718</v>
      </c>
      <c r="G499">
        <v>1</v>
      </c>
      <c r="M499" t="str">
        <f t="shared" si="7"/>
        <v>{szContent="^【(.*)】据点大旗.*重置回初始位置！",szNote="{$1}大旗重置",col={255,255,100,},bReg=true,[20]={},tCountdown={{nClass=20,nIcon=592,nFrame=4,szName="【{$1}】大旗重置",nTime=180,key="{$1}·大旗重置",},},},</v>
      </c>
      <c r="N499" t="s">
        <v>6698</v>
      </c>
    </row>
    <row r="500" spans="1:20" x14ac:dyDescent="0.15">
      <c r="C500" t="s">
        <v>6699</v>
      </c>
      <c r="D500" t="s">
        <v>6700</v>
      </c>
      <c r="E500" t="s">
        <v>2718</v>
      </c>
      <c r="G500">
        <v>1</v>
      </c>
      <c r="M500" t="str">
        <f t="shared" si="7"/>
        <v>{szContent="^江湖快报！(.-)据点粮仓被一群([浩气恶人]+)[盟谷]-人士洗劫，损失一半据点资金。",szNote="{$1}·{$2}劫粮",col={255,255,100,},bReg=true,[20]={},tCountdown={{nClass=20,nIcon=2397,nFrame=-1,szName="",nTime=0.001,nRefresh=2,key="{$1}·浩气劫粮",},{nClass=20,nIcon=2397,nFrame=-1,szName="{$1}·浩气劫粮",nTime=-1,key="{$1}·浩气劫粮",},{nClass=20,nIcon=2398,nFrame=-1,szName="",nTime=0.001,nRefresh=2,key="{$1}·恶人劫粮",},{nClass=20,nIcon=2398,nFrame=-1,szName="{$1}·恶人劫粮",nTime=-1,key="{$1}·恶人劫粮",},{nClass=20,nIcon=2400,nFrame=7,szName="{$1}·{$2}劫粮",nTime=0,key="{$1}·{$2}劫粮",},{nClass=20,nIcon=15387,nFrame=7,szName="【{$1}】浩气劫粮",nTime=30,nRefresh=1,key="{$1}·浩气劫粮",},{nClass=20,nIcon=15383,nFrame=3,szName="【{$1}】恶人劫粮",nTime=30,nRefresh=1,key="{$1}·恶人劫粮",},},},</v>
      </c>
      <c r="N500" t="s">
        <v>6701</v>
      </c>
      <c r="O500" t="s">
        <v>6702</v>
      </c>
      <c r="P500" t="s">
        <v>6703</v>
      </c>
      <c r="Q500" t="s">
        <v>6704</v>
      </c>
      <c r="R500" t="s">
        <v>6705</v>
      </c>
      <c r="S500" t="s">
        <v>6706</v>
      </c>
      <c r="T500" t="s">
        <v>6707</v>
      </c>
    </row>
    <row r="501" spans="1:20" x14ac:dyDescent="0.15">
      <c r="A501" t="s">
        <v>257</v>
      </c>
      <c r="B501">
        <v>217</v>
      </c>
      <c r="M501" t="str">
        <f t="shared" si="7"/>
        <v>},[217]={</v>
      </c>
    </row>
    <row r="502" spans="1:20" x14ac:dyDescent="0.15">
      <c r="C502" t="s">
        <v>7102</v>
      </c>
      <c r="F502">
        <v>1</v>
      </c>
      <c r="M502" t="str">
        <f t="shared" si="7"/>
        <v>{szContent="”在黑戈壁捕获",bSearch=true,[20]={},tCountdown={{nClass=20,nIcon=1899,nFrame=5,szName="马驹·已被捕获",nTime=10,key="黑戈壁",},},},</v>
      </c>
      <c r="N502" t="s">
        <v>7103</v>
      </c>
    </row>
    <row r="503" spans="1:20" x14ac:dyDescent="0.15">
      <c r="A503" t="s">
        <v>258</v>
      </c>
      <c r="B503">
        <v>239</v>
      </c>
      <c r="M503" t="str">
        <f t="shared" si="7"/>
        <v>},[239]={</v>
      </c>
    </row>
    <row r="504" spans="1:20" x14ac:dyDescent="0.15">
      <c r="C504" t="s">
        <v>6970</v>
      </c>
      <c r="M504" t="str">
        <f t="shared" si="7"/>
        <v>{szContent="本次贡献度:100\n",[20]={},tCountdown={{nClass=20,nIcon=17135,nFrame=3,szName="完美完成·洛阳城事件·神都玉佩",nTime=5,key="公共事件·结算",},},},</v>
      </c>
      <c r="N504" t="s">
        <v>7104</v>
      </c>
    </row>
    <row r="505" spans="1:20" x14ac:dyDescent="0.15">
      <c r="C505" t="s">
        <v>7105</v>
      </c>
      <c r="M505" t="str">
        <f t="shared" si="7"/>
        <v>{szContent="你已完成了[洛阳城·攻打应天门]。\n",[20]={},},</v>
      </c>
    </row>
    <row r="506" spans="1:20" x14ac:dyDescent="0.15">
      <c r="C506" t="s">
        <v>6972</v>
      </c>
      <c r="M506" t="str">
        <f t="shared" si="7"/>
        <v>{szContent="本日已不能从本事件获得奖励。\n",[20]={},tCountdown={{nClass=20,nIcon=17135,nFrame=0,szName="洛阳城事件·已上限·神都玉佩",nTime=10.1,nRefresh=3600,key="公共事件·上限·神都玉佩",},},},</v>
      </c>
      <c r="N506" t="s">
        <v>7106</v>
      </c>
    </row>
    <row r="507" spans="1:20" x14ac:dyDescent="0.15">
      <c r="C507" t="s">
        <v>6419</v>
      </c>
      <c r="G507">
        <v>1</v>
      </c>
      <c r="M507" t="str">
        <f t="shared" si="7"/>
        <v>{szContent="^本日还能从本事件获得(%d-)贡献度的奖励。",bReg=true,[20]={},tCountdown={{nClass=20,nIcon=13,nFrame=7,szName="贡献度上限剩余·{$1}",nTime=15,key="公共事件·结算",},},},</v>
      </c>
      <c r="N507" t="s">
        <v>6420</v>
      </c>
    </row>
    <row r="508" spans="1:20" x14ac:dyDescent="0.15">
      <c r="C508" t="s">
        <v>6421</v>
      </c>
      <c r="G508">
        <v>1</v>
      </c>
      <c r="M508" t="str">
        <f t="shared" si="7"/>
        <v>{szContent="^%[(.-)%]：(%d+)/(%d%d)\n",bReg=true,[20]={},tCountdown={{nClass=20,nIcon=17135,nFrame=6,szName="{$1}·{$2}/{$3}",nTime=5,key="成就进度",},},},</v>
      </c>
      <c r="N508" t="s">
        <v>7107</v>
      </c>
    </row>
    <row r="509" spans="1:20" x14ac:dyDescent="0.15">
      <c r="A509" t="s">
        <v>260</v>
      </c>
      <c r="B509">
        <v>302</v>
      </c>
      <c r="M509" t="str">
        <f t="shared" si="7"/>
        <v>},[302]={</v>
      </c>
    </row>
    <row r="510" spans="1:20" x14ac:dyDescent="0.15">
      <c r="C510" t="s">
        <v>7108</v>
      </c>
      <c r="M510" t="str">
        <f t="shared" si="7"/>
        <v>{szContent="今日无法再通过互动来获得雪雪的好感度了。\n",[20]={},tCountdown={{nClass=20,nIcon=17135,nFrame=5,szName="雪雪·交互上限",nTime=10,nRefresh=3600,key="雪雪养成·交互上限",},},},</v>
      </c>
      <c r="N510" t="s">
        <v>7109</v>
      </c>
    </row>
    <row r="511" spans="1:20" x14ac:dyDescent="0.15">
      <c r="C511" t="s">
        <v>7110</v>
      </c>
      <c r="M511" t="str">
        <f t="shared" si="7"/>
        <v>{szContent="雪雪对你的好感度上升了一个等级！新的剧情开启！\n",[20]={},tCountdown={{nClass=20,nIcon=17135,nFrame=3,szName="雪雪·新剧情·开启",nTime=20,nRefresh=180,key="雪雪·剧情",},{nClass=20,nIcon=17135,nFrame=6,szName="若命途未满不触发剧情3·一梦长",nTime=20.1,nRefresh=180,key="雪雪·剧情·提示1",},{nClass=20,nIcon=17135,nFrame=6,szName="雪雪依旧停留在云梦幽泽",nTime=20.1,nRefresh=180,key="雪雪·剧情·提示2",},{nClass=20,nIcon=17135,nFrame=6,szName="仍可·互动·做饭·旅途",nTime=20.1,nRefresh=180,key="雪雪·剧情·提示3",},{nClass=20,nIcon=17135,nFrame=7,szName="若命途已满可自选是否触发",nTime=20.1,nRefresh=180,key="雪雪·剧情·提示4",},{nClass=20,nIcon=17135,nFrame=7,szName="停云居·交互船·触发剧情3",nTime=20.1,nRefresh=180,key="雪雪·剧情·提示5",},},},</v>
      </c>
      <c r="N511" t="s">
        <v>7111</v>
      </c>
      <c r="O511" t="s">
        <v>7112</v>
      </c>
      <c r="P511" t="s">
        <v>7113</v>
      </c>
      <c r="Q511" t="s">
        <v>7114</v>
      </c>
      <c r="R511" t="s">
        <v>7115</v>
      </c>
      <c r="S511" t="s">
        <v>7116</v>
      </c>
    </row>
    <row r="512" spans="1:20" x14ac:dyDescent="0.15">
      <c r="C512" t="s">
        <v>7117</v>
      </c>
      <c r="M512" t="str">
        <f t="shared" si="7"/>
        <v>{szContent="此任务完成后，雪雪的命途不可再改变。想要修改雪雪的命途，可以放弃任务后选择每天带雪雪游玩。最终阶段游玩时命途的改变为平时的三倍。\n",[20]={},tCountdown={{nClass=14,nIcon=17135,nFrame=7,szName="任务完成则命途不可再改变",nTime=10.1,key="雪雪·命途1",},{nClass=14,nIcon=17135,nFrame=7,szName="可放弃任务继续游玩修改命途",nTime=10.1,key="雪雪·命途2",},},},</v>
      </c>
      <c r="N512" t="s">
        <v>5798</v>
      </c>
      <c r="O512" t="s">
        <v>5799</v>
      </c>
    </row>
    <row r="513" spans="1:14" x14ac:dyDescent="0.15">
      <c r="C513" t="s">
        <v>7118</v>
      </c>
      <c r="M513" t="str">
        <f t="shared" si="7"/>
        <v>{szContent="你已接受了[溪山再闻凌雪事]。\n",[20]={},},</v>
      </c>
    </row>
    <row r="514" spans="1:14" x14ac:dyDescent="0.15">
      <c r="C514" t="s">
        <v>7119</v>
      </c>
      <c r="M514" t="str">
        <f t="shared" ref="M514:M568" si="8">IF(ISBLANK(B514)=FALSE,IF(ISBLANK(B513),"},["&amp;B514&amp;"]={","["&amp;B514&amp;"]={"),IF(AND(ISBLANK(B514),ISBLANK(C514),ISBLANK(F514),ISBLANK(G514),OR(ISBLANK(B513)=FALSE,ISBLANK(C513)=FALSE,ISBLANK(F513)=FALSE,ISBLANK(G513)=FALSE)),"},},}",IF(ISBLANK(C514),"","{szContent="""&amp;C514&amp;""","&amp;IF(D514&lt;&gt;"","szNote="""&amp;D514&amp;""",","")&amp;IF(E514&lt;&gt;"","col={"&amp;E514&amp;"},","")&amp;IF(F514&gt;0,"bSearch=true,","")&amp;IF(G514&gt;0,"bReg=true,","")&amp;"[20]={"&amp;IF(H514&gt;0,"szVoice="""&amp;H514&amp;""",","")&amp;IF(I514&gt;0,"bTeamChannel=true,","")&amp;IF(J514&gt;0,"bWhisperChannel=true,","")&amp;IF(K514&gt;0,"bCenterAlarm=true,","")&amp;IF(L514&gt;0,"bScreenHead=true,","")&amp;"},"&amp;IF(N514&lt;&gt;"","tCountdown={"&amp;_xlfn.TEXTJOIN("",TRUE,N514:ZZ514)&amp;"},","")&amp;"},")))</f>
        <v>{szContent="你已完成了[山高路远祈再会]。\n",[20]={},},</v>
      </c>
    </row>
    <row r="515" spans="1:14" x14ac:dyDescent="0.15">
      <c r="A515" t="s">
        <v>939</v>
      </c>
      <c r="B515">
        <v>325</v>
      </c>
      <c r="M515" t="str">
        <f t="shared" si="8"/>
        <v>},[325]={</v>
      </c>
    </row>
    <row r="516" spans="1:14" x14ac:dyDescent="0.15">
      <c r="C516" t="s">
        <v>6970</v>
      </c>
      <c r="M516" t="str">
        <f t="shared" si="8"/>
        <v>{szContent="本次贡献度:100\n",[20]={},tCountdown={{nClass=20,nIcon=17135,nFrame=3,szName="守卫泥兰·完美完成·沧海珠贝",nTime=5,key="公共事件·结算",},},},</v>
      </c>
      <c r="N516" t="s">
        <v>7120</v>
      </c>
    </row>
    <row r="517" spans="1:14" x14ac:dyDescent="0.15">
      <c r="A517" t="s">
        <v>261</v>
      </c>
      <c r="B517">
        <v>330</v>
      </c>
      <c r="M517" t="str">
        <f t="shared" si="8"/>
        <v>},[330]={</v>
      </c>
    </row>
    <row r="518" spans="1:14" x14ac:dyDescent="0.15">
      <c r="C518" t="s">
        <v>6970</v>
      </c>
      <c r="M518" t="str">
        <f t="shared" si="8"/>
        <v>{szContent="本次贡献度:100\n",[20]={},tCountdown={{nClass=20,nIcon=17135,nFrame=3,szName="完美完成·雪国冬猎·沧海珠贝",nTime=5,key="公共事件·结算",},},},</v>
      </c>
      <c r="N518" t="s">
        <v>7121</v>
      </c>
    </row>
    <row r="519" spans="1:14" x14ac:dyDescent="0.15">
      <c r="A519" t="s">
        <v>941</v>
      </c>
      <c r="B519">
        <v>332</v>
      </c>
      <c r="M519" t="str">
        <f t="shared" si="8"/>
        <v>},[332]={</v>
      </c>
    </row>
    <row r="520" spans="1:14" x14ac:dyDescent="0.15">
      <c r="C520" t="s">
        <v>7122</v>
      </c>
      <c r="M520" t="str">
        <f t="shared" si="8"/>
        <v>{szContent="你已接受了[沧澜饮茶·打水煮茶]。\n",[20]={},tCountdown={{nClass=20,nIcon=17135,nFrame=5,szName="在附近游泳状态即可打水",nTime=10,key="茶馆·提示0",},},},</v>
      </c>
      <c r="N520" t="s">
        <v>7123</v>
      </c>
    </row>
    <row r="521" spans="1:14" x14ac:dyDescent="0.15">
      <c r="C521" t="s">
        <v>7124</v>
      </c>
      <c r="M521" t="str">
        <f t="shared" si="8"/>
        <v>{szContent="你已接受了[沧澜饮茶·江湖秘闻]。\n",[20]={},tCountdown={{nClass=20,nIcon=17135,nFrame=5,szName="选项1帮会+选项4门派合并为正确答案",nTime=15,key="茶馆·提示0",},},},</v>
      </c>
      <c r="N521" t="s">
        <v>6561</v>
      </c>
    </row>
    <row r="522" spans="1:14" x14ac:dyDescent="0.15">
      <c r="C522" t="s">
        <v>6972</v>
      </c>
      <c r="M522" t="str">
        <f t="shared" si="8"/>
        <v>{szContent="本日已不能从本事件获得奖励。\n",[20]={},tCountdown={{nClass=20,nIcon=17135,nFrame=0,szName="雾岛寻丹·已上限·沧海珠贝",nTime=10.1,nRefresh=3600,key="公共事件·上限·沧海珠贝",},},},</v>
      </c>
      <c r="N522" t="s">
        <v>7125</v>
      </c>
    </row>
    <row r="523" spans="1:14" x14ac:dyDescent="0.15">
      <c r="C523" t="s">
        <v>6970</v>
      </c>
      <c r="M523" t="str">
        <f t="shared" si="8"/>
        <v>{szContent="本次贡献度:100\n",[20]={},tCountdown={{nClass=20,nIcon=17135,nFrame=3,szName="完美完成·雾岛寻丹·沧海珠贝",nTime=5,key="公共事件·结算",},},},</v>
      </c>
      <c r="N523" t="s">
        <v>7126</v>
      </c>
    </row>
    <row r="524" spans="1:14" x14ac:dyDescent="0.15">
      <c r="C524" t="s">
        <v>7127</v>
      </c>
      <c r="F524">
        <v>1</v>
      </c>
      <c r="M524" t="str">
        <f t="shared" si="8"/>
        <v>{szContent="当前贡献度100。",bSearch=true,[20]={},tCountdown={{nClass=20,nIcon=17135,nFrame=2,szName="雾岛寻丹·贡献度·已满",nTime=30,key="雾岛寻丹",},},},</v>
      </c>
      <c r="N524" t="s">
        <v>7128</v>
      </c>
    </row>
    <row r="525" spans="1:14" x14ac:dyDescent="0.15">
      <c r="A525" t="s">
        <v>262</v>
      </c>
      <c r="B525">
        <v>334</v>
      </c>
      <c r="M525" t="str">
        <f t="shared" si="8"/>
        <v>},[334]={</v>
      </c>
    </row>
    <row r="526" spans="1:14" x14ac:dyDescent="0.15">
      <c r="C526" t="s">
        <v>6972</v>
      </c>
      <c r="M526" t="str">
        <f t="shared" si="8"/>
        <v>{szContent="本日已不能从本事件获得奖励。\n",[20]={},tCountdown={{nClass=20,nIcon=17135,nFrame=0,szName="越海珠贝·已上限·沧海珠贝",nTime=10.1,nRefresh=3600,key="公共事件·上限·沧海珠贝",},},},</v>
      </c>
      <c r="N526" t="s">
        <v>7129</v>
      </c>
    </row>
    <row r="527" spans="1:14" x14ac:dyDescent="0.15">
      <c r="C527" t="s">
        <v>6970</v>
      </c>
      <c r="M527" t="str">
        <f t="shared" si="8"/>
        <v>{szContent="本次贡献度:100\n",[20]={},tCountdown={{nClass=20,nIcon=17135,nFrame=3,szName="完美完成·越海珠贝·沧海珠贝",nTime=5,key="公共事件·结算",},},},</v>
      </c>
      <c r="N527" t="s">
        <v>7130</v>
      </c>
    </row>
    <row r="528" spans="1:14" x14ac:dyDescent="0.15">
      <c r="A528" t="s">
        <v>264</v>
      </c>
      <c r="B528">
        <v>411</v>
      </c>
      <c r="M528" t="str">
        <f t="shared" si="8"/>
        <v>},[411]={</v>
      </c>
    </row>
    <row r="529" spans="1:20" x14ac:dyDescent="0.15">
      <c r="C529" t="s">
        <v>7131</v>
      </c>
      <c r="F529">
        <v>1</v>
      </c>
      <c r="M529" t="str">
        <f t="shared" si="8"/>
        <v>{szContent="”在鲲鹏岛捕获",bSearch=true,[20]={},tCountdown={{nClass=20,nIcon=1899,nFrame=5,szName="马驹·已被捕获",nTime=10,key="鲲鹏岛",},},},</v>
      </c>
      <c r="N529" t="s">
        <v>7132</v>
      </c>
    </row>
    <row r="530" spans="1:20" x14ac:dyDescent="0.15">
      <c r="A530" t="s">
        <v>1002</v>
      </c>
      <c r="B530">
        <v>444</v>
      </c>
      <c r="M530" t="str">
        <f t="shared" si="8"/>
        <v>},[444]={</v>
      </c>
    </row>
    <row r="531" spans="1:20" x14ac:dyDescent="0.15">
      <c r="C531" t="s">
        <v>7124</v>
      </c>
      <c r="M531" t="str">
        <f t="shared" si="8"/>
        <v>{szContent="你已接受了[沧澜饮茶·江湖秘闻]。\n",[20]={},tCountdown={{nClass=20,nIcon=17135,nFrame=5,szName="选项1帮会+选项4门派合并为正确答案",nTime=15,key="茶馆·提示0",},},},</v>
      </c>
      <c r="N531" t="s">
        <v>6561</v>
      </c>
    </row>
    <row r="532" spans="1:20" x14ac:dyDescent="0.15">
      <c r="C532" t="s">
        <v>7122</v>
      </c>
      <c r="M532" t="str">
        <f t="shared" si="8"/>
        <v>{szContent="你已接受了[沧澜饮茶·打水煮茶]。\n",[20]={},tCountdown={{nClass=20,nIcon=17135,nFrame=5,szName="在附近游泳状态即可打水",nTime=10,key="茶馆·提示0",},},},</v>
      </c>
      <c r="N532" t="s">
        <v>7123</v>
      </c>
    </row>
    <row r="533" spans="1:20" x14ac:dyDescent="0.15">
      <c r="A533" t="s">
        <v>265</v>
      </c>
      <c r="B533">
        <v>451</v>
      </c>
      <c r="M533" t="str">
        <f t="shared" si="8"/>
        <v>},[451]={</v>
      </c>
    </row>
    <row r="534" spans="1:20" x14ac:dyDescent="0.15">
      <c r="C534" t="s">
        <v>7133</v>
      </c>
      <c r="D534" t="s">
        <v>7133</v>
      </c>
      <c r="F534">
        <v>1</v>
      </c>
      <c r="K534">
        <v>1</v>
      </c>
      <c r="M534" t="str">
        <f t="shared" si="8"/>
        <v>{szContent="柴钗采货归来",szNote="柴钗采货归来",bSearch=true,[20]={bCenterAlarm=true,},tCountdown={{nClass=20,nIcon=17135,nFrame=3,szName="柴钗采货归来",nTime=5,},},},</v>
      </c>
      <c r="N534" t="s">
        <v>7134</v>
      </c>
    </row>
    <row r="535" spans="1:20" x14ac:dyDescent="0.15">
      <c r="A535" t="s">
        <v>1028</v>
      </c>
      <c r="B535">
        <v>475</v>
      </c>
      <c r="M535" t="str">
        <f t="shared" si="8"/>
        <v>},[475]={</v>
      </c>
    </row>
    <row r="536" spans="1:20" x14ac:dyDescent="0.15">
      <c r="C536" t="s">
        <v>7135</v>
      </c>
      <c r="M536" t="str">
        <f t="shared" si="8"/>
        <v>{szContent="你已接受了[剑照湖波]。\n",[20]={},tCountdown={{nClass=20,nIcon=17135,nFrame=6,szName="前往·千岛湖",nTime=15,key="任务提示1",},},},</v>
      </c>
      <c r="N536" t="s">
        <v>7136</v>
      </c>
    </row>
    <row r="537" spans="1:20" x14ac:dyDescent="0.15">
      <c r="C537" t="s">
        <v>7137</v>
      </c>
      <c r="M537" t="str">
        <f t="shared" si="8"/>
        <v>{szContent="你已接受了[品茗江湖·江湖秘闻]。\n",[20]={},tCountdown={{nClass=20,nIcon=17135,nFrame=5,szName="选项1帮会+选项4门派合并为正确答案",nTime=15,key="茶馆·提示0",},},},</v>
      </c>
      <c r="N537" t="s">
        <v>6561</v>
      </c>
    </row>
    <row r="538" spans="1:20" x14ac:dyDescent="0.15">
      <c r="A538" t="s">
        <v>1109</v>
      </c>
      <c r="B538">
        <v>565</v>
      </c>
      <c r="M538" t="str">
        <f t="shared" si="8"/>
        <v>},[565]={</v>
      </c>
    </row>
    <row r="539" spans="1:20" x14ac:dyDescent="0.15">
      <c r="C539" t="s">
        <v>7138</v>
      </c>
      <c r="G539">
        <v>1</v>
      </c>
      <c r="M539" t="str">
        <f t="shared" si="8"/>
        <v>{szContent="^恭喜你.-到了(%-?%d+%.?%d-)斤重的%[(.+)%]",bReg=true,[20]={},tCountdown={{nClass=20,nIcon=1465,nFrame=-1,szName="　",nTime=0.001,nRefresh=3600,key="哲罗鲑",},{nClass=20,nIcon=1465,nFrame=-1,szName="　",nTime=0.001,nRefresh=3600,key="叉尾斗鱼",},{nClass=20,nIcon=1465,nFrame=-1,szName="　",nTime=0.001,nRefresh=3600,key="翻车鱼",},{nClass=20,nIcon=17135,nFrame=5,szName="{$2}",nTime=0,key="{$2}",},{nClass=20,nIcon=16531,nFrame=3,szName="哲罗鲑·{$1}斤",nTime=120,nRefresh=120,key="哲罗鲑",},{nClass=20,nIcon=16516,nFrame=3,szName="叉尾斗鱼·{$1}斤",nTime=120,nRefresh=120,key="叉尾斗鱼",},{nClass=20,nIcon=16517,nFrame=3,szName="翻车鱼·{$1}斤",nTime=120,nRefresh=120,key="翻车鱼",},},},</v>
      </c>
      <c r="N539" t="s">
        <v>7139</v>
      </c>
      <c r="O539" t="s">
        <v>7140</v>
      </c>
      <c r="P539" t="s">
        <v>7141</v>
      </c>
      <c r="Q539" t="s">
        <v>7142</v>
      </c>
      <c r="R539" t="s">
        <v>7143</v>
      </c>
      <c r="S539" t="s">
        <v>7144</v>
      </c>
      <c r="T539" t="s">
        <v>7145</v>
      </c>
    </row>
    <row r="540" spans="1:20" x14ac:dyDescent="0.15">
      <c r="A540" t="s">
        <v>267</v>
      </c>
      <c r="B540">
        <v>582</v>
      </c>
      <c r="M540" t="str">
        <f t="shared" si="8"/>
        <v>},[582]={</v>
      </c>
    </row>
    <row r="541" spans="1:20" x14ac:dyDescent="0.15">
      <c r="C541" t="s">
        <v>7146</v>
      </c>
      <c r="M541" t="str">
        <f t="shared" si="8"/>
        <v>{szContent="你已接受了[何日成功]。\n",[20]={},tCountdown={{nClass=20,nIcon=17135,nFrame=6,szName="前往·少林·乱世",nTime=15,key="任务提示1",},},},</v>
      </c>
      <c r="N541" t="s">
        <v>7147</v>
      </c>
    </row>
    <row r="542" spans="1:20" x14ac:dyDescent="0.15">
      <c r="C542" t="s">
        <v>7148</v>
      </c>
      <c r="M542" t="str">
        <f t="shared" si="8"/>
        <v>{szContent="你已接受了[【天字】收书·刀宗史略]。\n",[20]={},tCountdown={{nClass=20,nIcon=245,nFrame=5,szName="任务终点·太原·扬州·轩辕奚笙",nTime=20,key="茶馆·抄书0",},{nClass=20,nIcon=245,nFrame=5,szName="刀宗史略·卷三·白鹿纸·五彩墨",nTime=20,key="茶馆·抄书1",},{nClass=20,nIcon=245,nFrame=5,szName="刀宗史略·卷四·玉版纸·朱砂墨",nTime=20,key="茶馆·抄书2",},},},</v>
      </c>
      <c r="N542" t="s">
        <v>7149</v>
      </c>
      <c r="O542" t="s">
        <v>7150</v>
      </c>
      <c r="P542" t="s">
        <v>7151</v>
      </c>
    </row>
    <row r="543" spans="1:20" x14ac:dyDescent="0.15">
      <c r="C543" t="s">
        <v>7152</v>
      </c>
      <c r="M543" t="str">
        <f t="shared" si="8"/>
        <v>{szContent="你已接受了[【天字】收书·刀宗人物小传]。\n",[20]={},tCountdown={{nClass=20,nIcon=245,nFrame=5,szName="任务终点·太原·扬州·轩辕奚笙",nTime=20,key="茶馆·抄书0",},{nClass=20,nIcon=245,nFrame=5,szName="披星阁阁主·左伶·玉版纸·朱砂墨",nTime=20,key="茶馆·抄书1",},{nClass=20,nIcon=245,nFrame=5,szName="带月阁阁主·萧孟·粉蜡笺·玉泉墨",nTime=20,key="茶馆·抄书2",},},},</v>
      </c>
      <c r="N543" t="s">
        <v>7149</v>
      </c>
      <c r="O543" t="s">
        <v>7153</v>
      </c>
      <c r="P543" t="s">
        <v>7154</v>
      </c>
    </row>
    <row r="544" spans="1:20" x14ac:dyDescent="0.15">
      <c r="C544" t="s">
        <v>7155</v>
      </c>
      <c r="M544" t="str">
        <f t="shared" si="8"/>
        <v>{szContent="你已接受了[新茗评话·推销小吃]。\n",[20]={},tCountdown={{nClass=20,nIcon=17135,nFrame=0,szName="若缺成就·心慈手软·可去洛阳·战乱",nTime=10,key="茶馆·成就",},},},</v>
      </c>
      <c r="N544" t="s">
        <v>7156</v>
      </c>
    </row>
    <row r="545" spans="1:19" x14ac:dyDescent="0.15">
      <c r="C545" t="s">
        <v>7157</v>
      </c>
      <c r="M545" t="str">
        <f t="shared" si="8"/>
        <v>{szContent="你已完成了[新茗评话·剁馅英杰传]。\n",[20]={},tCountdown={{nClass=20,nIcon=7518,nFrame=5,szName="成就·肉馅豪杰",nTime=0,key="茶馆·成就",},},},</v>
      </c>
      <c r="N545" t="s">
        <v>7158</v>
      </c>
    </row>
    <row r="546" spans="1:19" x14ac:dyDescent="0.15">
      <c r="C546" t="s">
        <v>7159</v>
      </c>
      <c r="M546" t="str">
        <f t="shared" si="8"/>
        <v>{szContent="你已接受了[新茗评话·江湖秘闻]。\n",[20]={},tCountdown={{nClass=20,nIcon=17135,nFrame=5,szName="选项1帮会+选项4门派合并为正确答案",nTime=10,key="茶馆·提示0",},},},</v>
      </c>
      <c r="N546" t="s">
        <v>7160</v>
      </c>
    </row>
    <row r="547" spans="1:19" x14ac:dyDescent="0.15">
      <c r="A547" t="s">
        <v>1167</v>
      </c>
      <c r="B547">
        <v>627</v>
      </c>
      <c r="M547" t="str">
        <f t="shared" si="8"/>
        <v>},[627]={</v>
      </c>
    </row>
    <row r="548" spans="1:19" x14ac:dyDescent="0.15">
      <c r="C548" t="s">
        <v>7161</v>
      </c>
      <c r="G548">
        <v>1</v>
      </c>
      <c r="M548" t="str">
        <f t="shared" si="8"/>
        <v>{szContent="^在众人齐心猛攻下，%[(.-)%]的世界首领“(.-)”已力竭败退！",bReg=true,[20]={},tCountdown={{nClass=20,nIcon=17135,nFrame=6,szName="{$1}·{$2}·已败退",nTime=5,nRefresh=1,key="{$2}",},},},</v>
      </c>
      <c r="N548" t="s">
        <v>7162</v>
      </c>
    </row>
    <row r="549" spans="1:19" x14ac:dyDescent="0.15">
      <c r="C549" t="s">
        <v>7163</v>
      </c>
      <c r="E549" t="s">
        <v>2529</v>
      </c>
      <c r="G549">
        <v>1</v>
      </c>
      <c r="M549" t="str">
        <f t="shared" si="8"/>
        <v>{szContent="^%[(.-)%]服务器：%[(.-)%]大侠，率领%[恶人谷%]阵营侠士们，成功夺得【([隐樵天生赤岩关]-)】",col={255,100,100,},bReg=true,[20]={},tCountdown={{nClass=20,nIcon=17582,nFrame=3,szName="恶人谷·[{$1}]·{$3}",nTime=180,key="关隘·拾取·恶人谷",},},},</v>
      </c>
      <c r="N549" t="s">
        <v>7164</v>
      </c>
    </row>
    <row r="550" spans="1:19" x14ac:dyDescent="0.15">
      <c r="C550" t="s">
        <v>7165</v>
      </c>
      <c r="E550" t="s">
        <v>2524</v>
      </c>
      <c r="G550">
        <v>1</v>
      </c>
      <c r="M550" t="str">
        <f t="shared" si="8"/>
        <v>{szContent="^%[(.-)%]服务器：%[(.-)%]大侠，率领%[浩气盟%]阵营侠士们，成功夺得【([隐樵天生赤岩关]-)】",col={100,100,255,},bReg=true,[20]={},tCountdown={{nClass=20,nIcon=17583,nFrame=7,szName="浩气盟·[{$1}]·{$3}",nTime=180,key="关隘·拾取·浩气盟",},},},</v>
      </c>
      <c r="N550" t="s">
        <v>7166</v>
      </c>
    </row>
    <row r="551" spans="1:19" x14ac:dyDescent="0.15">
      <c r="C551" t="s">
        <v>7167</v>
      </c>
      <c r="E551" t="s">
        <v>2718</v>
      </c>
      <c r="G551">
        <v>1</v>
      </c>
      <c r="M551" t="str">
        <f t="shared" si="8"/>
        <v>{szContent="%[(.-)%]【(.-)】岂是你们这些([浩气恶人]-)宵小敢染指的，([浩气恶人]-)的兄弟们随我杀！",col={255,255,100,},bReg=true,[20]={},tCountdown={{nClass=20,nIcon=1465,nFrame=-1,szName="　",nTime=0.001,nRefresh=600,key="关隘·进攻·浩气",},{nClass=20,nIcon=1465,nFrame=-1,szName="　",nTime=0.001,nRefresh=600,key="关隘·进攻·恶人",},{nClass=20,nIcon=13,nFrame=5,szName="关隘·进攻·{$3}",nTime=0,key="关隘·进攻·{$3}",},{nClass=20,nIcon=11370,nFrame=7,szName="浩气进攻·[{$1}]·{$2}",nTime=10,nRefresh=10,key="关隘·进攻·浩气",},{nClass=20,nIcon=11369,nFrame=3,szName="恶人进攻·[{$1}]·{$2}",nTime=10,nRefresh=10,key="关隘·进攻·恶人",},},},</v>
      </c>
      <c r="N551" t="s">
        <v>7168</v>
      </c>
      <c r="O551" t="s">
        <v>7169</v>
      </c>
      <c r="P551" t="s">
        <v>7170</v>
      </c>
      <c r="Q551" t="s">
        <v>7171</v>
      </c>
      <c r="R551" t="s">
        <v>7172</v>
      </c>
    </row>
    <row r="552" spans="1:19" x14ac:dyDescent="0.15">
      <c r="C552" t="s">
        <v>7173</v>
      </c>
      <c r="M552" t="str">
        <f t="shared" si="8"/>
        <v>{szContent="你已进入地图【跨服·烂柯山】。",[20]={},tCountdown={{nClass=20,nIcon=3536,nFrame=-1,szName="",nTime=0.01,nRefresh=20,key="关阵营·失败提示1",},{nClass=20,nIcon=3536,nFrame=-1,szName="关阵营·失败提示1",nTime=-1,key="关阵营·失败提示1",},{nClass=20,nIcon=3536,nFrame=-1,szName="",nTime=0.01,nRefresh=20,key="关阵营·失败提示2",},{nClass=20,nIcon=3536,nFrame=-1,szName="关阵营·失败提示2",nTime=-1,key="关阵营·失败提示2",},{nClass=20,nIcon=13547,nFrame=-1,szName="",nTime=0.01,nRefresh=5,key="拍卖分红",},{nClass=20,nIcon=13547,nFrame=5,szName="拍卖分红·已获得",nTime=-1,key="拍卖分红",},},},</v>
      </c>
      <c r="N552" t="s">
        <v>7174</v>
      </c>
      <c r="O552" t="s">
        <v>7175</v>
      </c>
      <c r="P552" t="s">
        <v>7176</v>
      </c>
      <c r="Q552" t="s">
        <v>7177</v>
      </c>
      <c r="R552" t="s">
        <v>7178</v>
      </c>
      <c r="S552" t="s">
        <v>7179</v>
      </c>
    </row>
    <row r="553" spans="1:19" x14ac:dyDescent="0.15">
      <c r="C553" t="s">
        <v>7180</v>
      </c>
      <c r="M553" t="str">
        <f t="shared" si="8"/>
        <v>{szContent="你已接受了[战！烂柯山]。\n",[20]={},tCountdown={{nClass=20,nIcon=3536,nFrame=-1,szName="",nTime=0.01,nRefresh=20,key="关阵营·失败提示1",},{nClass=20,nIcon=3536,nFrame=-1,szName="关阵营·失败提示1",nTime=-1,key="关阵营·失败提示1",},{nClass=20,nIcon=3536,nFrame=-1,szName="",nTime=0.01,nRefresh=20,key="关阵营·失败提示2",},{nClass=20,nIcon=3536,nFrame=-1,szName="关阵营·失败提示2",nTime=-1,key="关阵营·失败提示2",},},},</v>
      </c>
      <c r="N553" t="s">
        <v>7174</v>
      </c>
      <c r="O553" t="s">
        <v>7175</v>
      </c>
      <c r="P553" t="s">
        <v>7176</v>
      </c>
      <c r="Q553" t="s">
        <v>7177</v>
      </c>
    </row>
    <row r="554" spans="1:19" x14ac:dyDescent="0.15">
      <c r="C554" t="s">
        <v>6358</v>
      </c>
      <c r="M554" t="str">
        <f t="shared" si="8"/>
        <v>{szContent="关闭阵营模式失败。\n",[20]={},tCountdown={{nClass=20,nIcon=3536,nFrame=5,szName="阵营模式",nTime=0,key="阵营模式",},{nClass=20,nIcon=3536,nFrame=5,szName="关闭阵营剩余",nTime=0,key="关闭阵营剩余",},{nClass=20,nIcon=3536,nFrame=5,szName="关闭阵营模式失败",nTime=5,nRefresh=600,key="关阵营·失败提示1",},{nClass=20,nIcon=3536,nFrame=5,szName="查看是否接取阵营任务",nTime=5,nRefresh=600,key="关阵营·失败提示2",},},},</v>
      </c>
      <c r="N554" t="s">
        <v>6382</v>
      </c>
      <c r="O554" t="s">
        <v>6360</v>
      </c>
      <c r="P554" t="s">
        <v>7181</v>
      </c>
      <c r="Q554" t="s">
        <v>7182</v>
      </c>
    </row>
    <row r="555" spans="1:19" x14ac:dyDescent="0.15">
      <c r="A555" t="s">
        <v>1184</v>
      </c>
      <c r="B555">
        <v>647</v>
      </c>
      <c r="M555" t="str">
        <f t="shared" si="8"/>
        <v>},[647]={</v>
      </c>
    </row>
    <row r="556" spans="1:19" x14ac:dyDescent="0.15">
      <c r="C556" t="s">
        <v>7183</v>
      </c>
      <c r="M556" t="str">
        <f t="shared" si="8"/>
        <v>{szContent="你已接受了[保护友人]。\n",[20]={},tCountdown={{nClass=20,nIcon=17135,nFrame=0,szName="可以出洞口从背后攻击",nTime=30,},},},</v>
      </c>
      <c r="N556" t="s">
        <v>7184</v>
      </c>
    </row>
    <row r="557" spans="1:19" x14ac:dyDescent="0.15">
      <c r="C557" t="s">
        <v>7185</v>
      </c>
      <c r="M557" t="str">
        <f t="shared" si="8"/>
        <v>{szContent="你已接受了[入人间]。\n",[20]={},tCountdown={{nClass=20,nIcon=17135,nFrame=0,szName="洞口在大地图泉字东边下方",nTime=20,},},},</v>
      </c>
      <c r="N557" t="s">
        <v>7186</v>
      </c>
    </row>
    <row r="558" spans="1:19" x14ac:dyDescent="0.15">
      <c r="C558" t="s">
        <v>7187</v>
      </c>
      <c r="M558" t="str">
        <f t="shared" si="8"/>
        <v>{szContent="你已完成了[引人耳目]。\n",[20]={},tCountdown={{nClass=20,nIcon=17135,nFrame=5,szName="罗道山",nTime=0,key="罗道山",},},},</v>
      </c>
      <c r="N558" t="s">
        <v>7188</v>
      </c>
    </row>
    <row r="559" spans="1:19" x14ac:dyDescent="0.15">
      <c r="C559" t="s">
        <v>7189</v>
      </c>
      <c r="M559" t="str">
        <f t="shared" si="8"/>
        <v>{szContent="你已接受了[搬运物用]。\n",[20]={},tCountdown={{nClass=20,nIcon=17135,nFrame=3,szName="先使用·白羽焰翼",nTime=20,nRefresh=20,key="周常提示",},},},</v>
      </c>
      <c r="N559" t="s">
        <v>7190</v>
      </c>
    </row>
    <row r="560" spans="1:19" x14ac:dyDescent="0.15">
      <c r="C560" t="s">
        <v>7191</v>
      </c>
      <c r="M560" t="str">
        <f t="shared" si="8"/>
        <v>{szContent="你已完成了[搬运物用]。\n",[20]={},tCountdown={{nClass=20,nIcon=17135,nFrame=3,szName="周常提示",nTime=0,key="周常提示",},},},</v>
      </c>
      <c r="N560" t="s">
        <v>7192</v>
      </c>
    </row>
    <row r="561" spans="1:20" x14ac:dyDescent="0.15">
      <c r="C561" t="s">
        <v>7193</v>
      </c>
      <c r="F561">
        <v>1</v>
      </c>
      <c r="M561" t="str">
        <f t="shared" si="8"/>
        <v>{szContent="侠士一不留心打碎了酒坛，浓烈的酒香引来野猪王的觊觎！\n",bSearch=true,[20]={},tCountdown={{nClass=20,nIcon=13,nFrame=5,szName="野猪王·刷新",nTime=10,key="银霜口·野猪王",},},},</v>
      </c>
      <c r="N561" t="s">
        <v>7194</v>
      </c>
    </row>
    <row r="562" spans="1:20" x14ac:dyDescent="0.15">
      <c r="A562" t="s">
        <v>1193</v>
      </c>
      <c r="B562">
        <v>656</v>
      </c>
      <c r="M562" t="str">
        <f t="shared" si="8"/>
        <v>},[656]={</v>
      </c>
    </row>
    <row r="563" spans="1:20" x14ac:dyDescent="0.15">
      <c r="C563" t="s">
        <v>6423</v>
      </c>
      <c r="D563" t="s">
        <v>6424</v>
      </c>
      <c r="E563" t="s">
        <v>2718</v>
      </c>
      <c r="G563">
        <v>1</v>
      </c>
      <c r="M563" t="str">
        <f t="shared" si="8"/>
        <v>{szContent="([浩气恶人]+)[盟谷]-的【(.-)】帮会成功占领【(.-)】据点！",szNote="{$3}·{$1}占领",col={255,255,100,},bReg=true,[20]={},tCountdown={{nClass=20,nIcon=2397,nFrame=-1,szName="",nTime=0.001,nRefresh=2,key="{$3}·浩气占领",},{nClass=20,nIcon=2397,nFrame=-1,szName="{$3}·浩气占领",nTime=-1,key="{$3}·浩气占领",},{nClass=20,nIcon=2398,nFrame=-1,szName="",nTime=0.001,nRefresh=2,key="{$3}·恶人占领",},{nClass=20,nIcon=2398,nFrame=-1,szName="{$3}·恶人占领",nTime=-1,key="{$3}·恶人占领",},{nClass=20,nIcon=2400,nFrame=7,szName="{$3}·{$1}占领",nTime=0,key="{$3}·{$1}占领",},{nClass=20,nIcon=20122,nFrame=7,szName="【{$3}】·浩气占领",nTime=30,nRefresh=1,key="{$3}·浩气占领",},{nClass=20,nIcon=20114,nFrame=3,szName="【{$3}】·恶人占领",nTime=30,nRefresh=1,key="{$3}·恶人占领",},},},</v>
      </c>
      <c r="N563" t="s">
        <v>6680</v>
      </c>
      <c r="O563" t="s">
        <v>6681</v>
      </c>
      <c r="P563" t="s">
        <v>6682</v>
      </c>
      <c r="Q563" t="s">
        <v>6683</v>
      </c>
      <c r="R563" t="s">
        <v>6684</v>
      </c>
      <c r="S563" t="s">
        <v>6685</v>
      </c>
      <c r="T563" t="s">
        <v>6686</v>
      </c>
    </row>
    <row r="564" spans="1:20" x14ac:dyDescent="0.15">
      <c r="C564" t="s">
        <v>6687</v>
      </c>
      <c r="D564" t="s">
        <v>6688</v>
      </c>
      <c r="E564" t="s">
        <v>2718</v>
      </c>
      <c r="G564">
        <v>1</v>
      </c>
      <c r="M564" t="str">
        <f t="shared" si="8"/>
        <v>{szContent="([浩气恶人]+)[盟谷]-位于(.-)的【(.-)据点】大旗被夺",szNote="{$3}·{$1}大旗被夺",col={255,255,100,},bReg=true,[20]={},tCountdown={{nClass=20,nIcon=2397,nFrame=-1,szName="",nTime=0.001,nRefresh=2,key="{$3}·浩气大旗被夺",},{nClass=20,nIcon=2397,nFrame=-1,szName="{$3}·浩气大旗被夺",nTime=-1,key="{$3}·浩气大旗被夺",},{nClass=20,nIcon=2398,nFrame=-1,szName="",nTime=0.001,nRefresh=2,key="{$3}·恶人大旗被夺",},{nClass=20,nIcon=2398,nFrame=-1,szName="{$3}·恶人大旗被夺",nTime=-1,key="{$3}·恶人大旗被夺",},{nClass=20,nIcon=2400,nFrame=7,szName="{$3}·{$1}大旗被夺",nTime=0,key="{$3}·{$1}大旗被夺",},{nClass=20,nIcon=4837,nFrame=7,szName="{$2}【{$3}】浩气大旗被夺",nTime=30,nRefresh=1,key="{$3}·浩气大旗被夺",},{nClass=20,nIcon=4838,nFrame=3,szName="{$2}【{$3}】恶人大旗被夺",nTime=30,nRefresh=1,key="{$3}·恶人大旗被夺",},},},</v>
      </c>
      <c r="N564" t="s">
        <v>6689</v>
      </c>
      <c r="O564" t="s">
        <v>6690</v>
      </c>
      <c r="P564" t="s">
        <v>6691</v>
      </c>
      <c r="Q564" t="s">
        <v>6692</v>
      </c>
      <c r="R564" t="s">
        <v>6693</v>
      </c>
      <c r="S564" t="s">
        <v>6694</v>
      </c>
      <c r="T564" t="s">
        <v>6695</v>
      </c>
    </row>
    <row r="565" spans="1:20" x14ac:dyDescent="0.15">
      <c r="C565" t="s">
        <v>6696</v>
      </c>
      <c r="D565" t="s">
        <v>6697</v>
      </c>
      <c r="E565" t="s">
        <v>2718</v>
      </c>
      <c r="G565">
        <v>1</v>
      </c>
      <c r="M565" t="str">
        <f t="shared" si="8"/>
        <v>{szContent="^【(.*)】据点大旗.*重置回初始位置！",szNote="{$1}大旗重置",col={255,255,100,},bReg=true,[20]={},tCountdown={{nClass=20,nIcon=592,nFrame=4,szName="【{$1}】大旗重置",nTime=180,key="{$1}·大旗重置",},},},</v>
      </c>
      <c r="N565" t="s">
        <v>6698</v>
      </c>
    </row>
    <row r="566" spans="1:20" x14ac:dyDescent="0.15">
      <c r="C566" t="s">
        <v>6699</v>
      </c>
      <c r="D566" t="s">
        <v>6700</v>
      </c>
      <c r="E566" t="s">
        <v>2718</v>
      </c>
      <c r="G566">
        <v>1</v>
      </c>
      <c r="M566" t="str">
        <f t="shared" si="8"/>
        <v>{szContent="^江湖快报！(.-)据点粮仓被一群([浩气恶人]+)[盟谷]-人士洗劫，损失一半据点资金。",szNote="{$1}·{$2}劫粮",col={255,255,100,},bReg=true,[20]={},tCountdown={{nClass=20,nIcon=2397,nFrame=-1,szName="",nTime=0.001,nRefresh=2,key="{$1}·浩气劫粮",},{nClass=20,nIcon=2397,nFrame=-1,szName="{$1}·浩气劫粮",nTime=-1,key="{$1}·浩气劫粮",},{nClass=20,nIcon=2398,nFrame=-1,szName="",nTime=0.001,nRefresh=2,key="{$1}·恶人劫粮",},{nClass=20,nIcon=2398,nFrame=-1,szName="{$1}·恶人劫粮",nTime=-1,key="{$1}·恶人劫粮",},{nClass=20,nIcon=2400,nFrame=7,szName="{$1}·{$2}劫粮",nTime=0,key="{$1}·{$2}劫粮",},{nClass=20,nIcon=15387,nFrame=7,szName="【{$1}】浩气劫粮",nTime=30,nRefresh=1,key="{$1}·浩气劫粮",},{nClass=20,nIcon=15383,nFrame=3,szName="【{$1}】恶人劫粮",nTime=30,nRefresh=1,key="{$1}·恶人劫粮",},},},</v>
      </c>
      <c r="N566" t="s">
        <v>6701</v>
      </c>
      <c r="O566" t="s">
        <v>6702</v>
      </c>
      <c r="P566" t="s">
        <v>6703</v>
      </c>
      <c r="Q566" t="s">
        <v>6704</v>
      </c>
      <c r="R566" t="s">
        <v>6705</v>
      </c>
      <c r="S566" t="s">
        <v>6706</v>
      </c>
      <c r="T566" t="s">
        <v>6707</v>
      </c>
    </row>
    <row r="567" spans="1:20" x14ac:dyDescent="0.15">
      <c r="M567" t="str">
        <f t="shared" si="8"/>
        <v>},},}</v>
      </c>
    </row>
    <row r="568" spans="1:20" x14ac:dyDescent="0.15">
      <c r="M568" t="str">
        <f t="shared" si="8"/>
        <v/>
      </c>
    </row>
  </sheetData>
  <phoneticPr fontId="18" type="noConversion"/>
  <pageMargins left="0.75" right="0.75" top="1" bottom="1" header="0.5" footer="0.5"/>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茗伊团队监控数据手册</vt:lpstr>
      <vt:lpstr>字典</vt:lpstr>
      <vt:lpstr>有利气劲</vt:lpstr>
      <vt:lpstr>不利气劲</vt:lpstr>
      <vt:lpstr>武学招式</vt:lpstr>
      <vt:lpstr>系统角色</vt:lpstr>
      <vt:lpstr>交互物件</vt:lpstr>
      <vt:lpstr>角色喊话</vt:lpstr>
      <vt:lpstr>系统频道</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2024-01-14T19:36:11Z</dcterms:created>
  <dcterms:modified xsi:type="dcterms:W3CDTF">2025-11-14T17:35:51Z</dcterms:modified>
</cp:coreProperties>
</file>